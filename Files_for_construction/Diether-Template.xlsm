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backupFile="1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eddbd1bea95931d/科研！/数据库/Rawfile/Template/Files_for_construction/"/>
    </mc:Choice>
  </mc:AlternateContent>
  <xr:revisionPtr revIDLastSave="5" documentId="13_ncr:20001_{5C6BCC37-5CF6-4ECF-B424-523ACDEA2EFD}" xr6:coauthVersionLast="47" xr6:coauthVersionMax="47" xr10:uidLastSave="{BE892EA4-07B7-4553-B652-18946E904D7B}"/>
  <bookViews>
    <workbookView minimized="1" xWindow="-24945" yWindow="3855" windowWidth="21600" windowHeight="11295" tabRatio="908" activeTab="3" xr2:uid="{00000000-000D-0000-FFFF-FFFF00000000}"/>
  </bookViews>
  <sheets>
    <sheet name="Statistics" sheetId="48" r:id="rId1"/>
    <sheet name="__JChemStructureSheet" sheetId="218" state="hidden" r:id="rId2"/>
    <sheet name="ExportControl" sheetId="59" r:id="rId3"/>
    <sheet name="Archaeol" sheetId="60" r:id="rId4"/>
    <sheet name="PG-Archaeol" sheetId="172" r:id="rId5"/>
    <sheet name="Sulfo-PG-Archaeol" sheetId="201" r:id="rId6"/>
  </sheets>
  <definedNames>
    <definedName name="_xlnm._FilterDatabase" localSheetId="3" hidden="1">Archaeol!$A$6:$AH$8</definedName>
    <definedName name="_xlnm._FilterDatabase" localSheetId="4" hidden="1">'PG-Archaeol'!$B$6:$AN$8</definedName>
    <definedName name="_xlnm._FilterDatabase" localSheetId="5" hidden="1">'Sulfo-PG-Archaeol'!$B$6:$AN$8</definedName>
    <definedName name="_xlcn.WorksheetConnection_dietherbuiltnewlistTemplate.xlsm表11" hidden="1">表1[]</definedName>
    <definedName name="表1_" localSheetId="4" hidden="1">'PG-Archaeol'!$A$6:$A$26</definedName>
    <definedName name="表1_" localSheetId="5" hidden="1">'Sulfo-PG-Archaeol'!$A$6:$A$26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表1" name="表1" connection="WorksheetConnection_dietherbuilt-newlist-Template.xlsm!表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59" l="1"/>
  <c r="A3" i="59"/>
  <c r="M3" i="48"/>
  <c r="M4" i="48"/>
  <c r="Q4" i="48" a="1"/>
  <c r="Q3" i="48" a="1"/>
  <c r="Q4" i="48" l="1"/>
  <c r="Q3" i="48"/>
  <c r="C2" i="201" l="1"/>
  <c r="B1" i="201"/>
  <c r="C2" i="172"/>
  <c r="B1" i="172"/>
  <c r="C2" i="60"/>
  <c r="B1" i="60"/>
  <c r="Q2" i="48" a="1"/>
  <c r="Q2" i="48" l="1"/>
  <c r="D5" i="172"/>
  <c r="D5" i="201"/>
  <c r="D5" i="60" l="1"/>
  <c r="F3" i="6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9F13466-5810-4192-B920-A742BA72B746}" keepAlive="1" name="ModelConnection_表11" description="数据模型" type="5" refreshedVersion="8" minRefreshableVersion="5" saveData="1">
    <dbPr connection="Data Model Connection" command="表1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2FC6220B-9E9F-4BF3-8E3E-20A0F66A41C9}" keepAlive="1" name="ModelConnection_表129" description="数据模型" type="5" refreshedVersion="8" minRefreshableVersion="5" saveData="1">
    <dbPr connection="Data Model Connection" command="表1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E96B53CA-C88F-4561-BDA9-D9A3C0B962BC}" keepAlive="1" name="ThisWorkbookDataModel" description="数据模型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7A55319B-F74D-4BC8-A86E-E3C569FB96E5}" name="WorksheetConnection_dietherbuilt-newlist-Template.xlsm!表1" type="102" refreshedVersion="8" minRefreshableVersion="5" saveData="1">
    <extLst>
      <ext xmlns:x15="http://schemas.microsoft.com/office/spreadsheetml/2010/11/main" uri="{DE250136-89BD-433C-8126-D09CA5730AF9}">
        <x15:connection id="表1" autoDelete="1">
          <x15:rangePr sourceName="_xlcn.WorksheetConnection_dietherbuiltnewlistTemplate.xlsm表11"/>
        </x15:connection>
      </ext>
    </extLst>
  </connection>
  <connection id="5" xr16:uid="{CBE1C853-9CDC-415F-9E02-4F99D85FBFFF}" keepAlive="1" name="查询 - 表1" description="与工作簿中“表1”查询的连接。" type="5" refreshedVersion="0" background="1">
    <dbPr connection="Provider=Microsoft.Mashup.OleDb.1;Data Source=$Workbook$;Location=表1;Extended Properties=&quot;&quot;" command="SELECT * FROM [表1]"/>
  </connection>
  <connection id="6" xr16:uid="{228CCF98-8A57-43EC-AFC7-50BE36DD1EF7}" keepAlive="1" name="查询 - 表5" description="与工作簿中“表5”查询的连接。" type="5" refreshedVersion="8" background="1" saveData="1">
    <dbPr connection="Provider=Microsoft.Mashup.OleDb.1;Data Source=$Workbook$;Location=表5;Extended Properties=&quot;&quot;" command="SELECT * FROM [表5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<sst xmlns="http://schemas.openxmlformats.org/spreadsheetml/2006/main" count="1888" uniqueCount="698">
  <si>
    <t>Short Name</t>
  </si>
  <si>
    <t>[M+H]+ Precursor Mass</t>
  </si>
  <si>
    <t>SN1 acyl loss</t>
  </si>
  <si>
    <t>SN2 acyl loss</t>
  </si>
  <si>
    <t>SN1-H2O</t>
  </si>
  <si>
    <t>SN2-H2O</t>
  </si>
  <si>
    <t>CdId</t>
  </si>
  <si>
    <t>ExactMass</t>
  </si>
  <si>
    <t>Formula</t>
  </si>
  <si>
    <t>Rings</t>
  </si>
  <si>
    <t>PG</t>
  </si>
  <si>
    <t>Sn2 Chain Length</t>
    <phoneticPr fontId="9" type="noConversion"/>
  </si>
  <si>
    <t>Sn3 Chain Length</t>
    <phoneticPr fontId="9" type="noConversion"/>
  </si>
  <si>
    <t>Sn2 Double Bonds</t>
    <phoneticPr fontId="9" type="noConversion"/>
  </si>
  <si>
    <t>Sn3 Double Bonds</t>
    <phoneticPr fontId="9" type="noConversion"/>
  </si>
  <si>
    <t>SN1</t>
    <phoneticPr fontId="9" type="noConversion"/>
  </si>
  <si>
    <t>SN2</t>
    <phoneticPr fontId="9" type="noConversion"/>
  </si>
  <si>
    <t>-2SN</t>
    <phoneticPr fontId="6" type="noConversion"/>
  </si>
  <si>
    <t>-SN2-H2O</t>
    <phoneticPr fontId="6" type="noConversion"/>
  </si>
  <si>
    <t>SN1-1</t>
    <phoneticPr fontId="9" type="noConversion"/>
  </si>
  <si>
    <t>SN1-2</t>
  </si>
  <si>
    <t>SN1-3</t>
  </si>
  <si>
    <t>SN1-4</t>
  </si>
  <si>
    <t>SN1-5</t>
  </si>
  <si>
    <t>SN1-6</t>
  </si>
  <si>
    <t>SN1-7</t>
  </si>
  <si>
    <t>SN1-8</t>
  </si>
  <si>
    <t>SN1-9</t>
  </si>
  <si>
    <t>SN1-10</t>
  </si>
  <si>
    <t>SN1-11</t>
  </si>
  <si>
    <t>SN1-12</t>
  </si>
  <si>
    <t>SN1-13</t>
  </si>
  <si>
    <t>SN1-14</t>
  </si>
  <si>
    <t>SN1-15</t>
  </si>
  <si>
    <t>SN1-16</t>
  </si>
  <si>
    <t>SN1-17</t>
  </si>
  <si>
    <t>SN1-18</t>
  </si>
  <si>
    <t>SN1-19</t>
  </si>
  <si>
    <t>SN1-20</t>
  </si>
  <si>
    <t>SN1-21</t>
  </si>
  <si>
    <t>SN1-22</t>
  </si>
  <si>
    <t>SN1-23</t>
  </si>
  <si>
    <t>SN1-24</t>
  </si>
  <si>
    <t>SN1-25</t>
  </si>
  <si>
    <t>SN1-26</t>
  </si>
  <si>
    <t>SN1-27</t>
  </si>
  <si>
    <t>SN1-28</t>
  </si>
  <si>
    <t>SN1-29</t>
  </si>
  <si>
    <t>SN1-30</t>
  </si>
  <si>
    <t>SN1-31</t>
  </si>
  <si>
    <t>SN1-32</t>
  </si>
  <si>
    <t>SN1-33</t>
  </si>
  <si>
    <t>SN1-34</t>
  </si>
  <si>
    <t>SN1-35</t>
  </si>
  <si>
    <t>SN1-36</t>
  </si>
  <si>
    <t>SN1-37</t>
  </si>
  <si>
    <t>SN1-38</t>
  </si>
  <si>
    <t>SN1-39</t>
  </si>
  <si>
    <t>SN1-40</t>
  </si>
  <si>
    <t>SN1-41</t>
  </si>
  <si>
    <t>SN1-42</t>
  </si>
  <si>
    <t>SN1-43</t>
  </si>
  <si>
    <t>SN1-44</t>
  </si>
  <si>
    <t>SN1-45</t>
  </si>
  <si>
    <t>SN1-46</t>
  </si>
  <si>
    <t>SN1-47</t>
  </si>
  <si>
    <t>SN1-48</t>
  </si>
  <si>
    <t>SN1-49</t>
  </si>
  <si>
    <t>SN1-50</t>
  </si>
  <si>
    <t>SN1-51</t>
  </si>
  <si>
    <t>SN1-52</t>
  </si>
  <si>
    <t>SN1-53</t>
  </si>
  <si>
    <t>SN1-54</t>
  </si>
  <si>
    <t>SN1-55</t>
  </si>
  <si>
    <t>SN1-56</t>
  </si>
  <si>
    <t>SN1-57</t>
  </si>
  <si>
    <t>SN1-58</t>
  </si>
  <si>
    <t>SN1-59</t>
  </si>
  <si>
    <t>SN1-60</t>
  </si>
  <si>
    <t>SN1-61</t>
  </si>
  <si>
    <t>SN1-62</t>
  </si>
  <si>
    <t>SN1-63</t>
  </si>
  <si>
    <t>SN1-64</t>
  </si>
  <si>
    <t>SN1-65</t>
  </si>
  <si>
    <t>SN1-66</t>
  </si>
  <si>
    <t>SN1-67</t>
  </si>
  <si>
    <t>SN1-68</t>
  </si>
  <si>
    <t>SN2-1</t>
    <phoneticPr fontId="9" type="noConversion"/>
  </si>
  <si>
    <t>SN2-2</t>
  </si>
  <si>
    <t>SN2-3</t>
  </si>
  <si>
    <t>SN2-4</t>
  </si>
  <si>
    <t>SN2-5</t>
  </si>
  <si>
    <t>SN2-6</t>
  </si>
  <si>
    <t>SN2-7</t>
  </si>
  <si>
    <t>SN2-8</t>
  </si>
  <si>
    <t>SN2-9</t>
  </si>
  <si>
    <t>SN2-10</t>
  </si>
  <si>
    <t>SN2-11</t>
  </si>
  <si>
    <t>SN2-12</t>
  </si>
  <si>
    <t>SN2-13</t>
  </si>
  <si>
    <t>SN2-14</t>
  </si>
  <si>
    <t>SN2-15</t>
  </si>
  <si>
    <t>SN2-16</t>
  </si>
  <si>
    <t>SN2-17</t>
  </si>
  <si>
    <t>SN2-18</t>
  </si>
  <si>
    <t>SN2-19</t>
  </si>
  <si>
    <t>SN2-20</t>
  </si>
  <si>
    <t>SN2-21</t>
  </si>
  <si>
    <t>SN2-22</t>
  </si>
  <si>
    <t>SN2-23</t>
  </si>
  <si>
    <t>SN2-24</t>
  </si>
  <si>
    <t>SN2-25</t>
  </si>
  <si>
    <t>SN2-26</t>
  </si>
  <si>
    <t>SN2-27</t>
  </si>
  <si>
    <t>SN2-28</t>
  </si>
  <si>
    <t>SN2-29</t>
  </si>
  <si>
    <t>SN2-30</t>
  </si>
  <si>
    <t>SN2-31</t>
  </si>
  <si>
    <t>SN2-32</t>
  </si>
  <si>
    <t>SN2-33</t>
  </si>
  <si>
    <t>SN2-34</t>
  </si>
  <si>
    <t>SN2-35</t>
  </si>
  <si>
    <t>SN2-36</t>
  </si>
  <si>
    <t>SN2-37</t>
  </si>
  <si>
    <t>SN2-38</t>
  </si>
  <si>
    <t>SN2-39</t>
  </si>
  <si>
    <t>SN2-40</t>
  </si>
  <si>
    <t>SN2-41</t>
  </si>
  <si>
    <t>SN2-42</t>
  </si>
  <si>
    <t>SN2-43</t>
  </si>
  <si>
    <t>SN2-44</t>
  </si>
  <si>
    <t>SN2-45</t>
  </si>
  <si>
    <t>SN2-46</t>
  </si>
  <si>
    <t>SN2-47</t>
  </si>
  <si>
    <t>SN2-48</t>
  </si>
  <si>
    <t>SN2-49</t>
  </si>
  <si>
    <t>SN2-50</t>
  </si>
  <si>
    <t>SN2-51</t>
  </si>
  <si>
    <t>SN2-52</t>
  </si>
  <si>
    <t>SN2-53</t>
  </si>
  <si>
    <t>SN2-54</t>
  </si>
  <si>
    <t>SN2-55</t>
  </si>
  <si>
    <t>SN2-56</t>
  </si>
  <si>
    <t>SN2-57</t>
  </si>
  <si>
    <t>SN2-58</t>
  </si>
  <si>
    <t>SN2-59</t>
  </si>
  <si>
    <t>SN2-60</t>
  </si>
  <si>
    <t>SN2-61</t>
  </si>
  <si>
    <t>SN2-62</t>
  </si>
  <si>
    <t>SN2-63</t>
  </si>
  <si>
    <t>SN2-64</t>
  </si>
  <si>
    <t>SN2-65</t>
  </si>
  <si>
    <t>SN2-66</t>
  </si>
  <si>
    <t>SN2-67</t>
  </si>
  <si>
    <t>SN2-68</t>
  </si>
  <si>
    <t>SN1+2</t>
    <phoneticPr fontId="9" type="noConversion"/>
  </si>
  <si>
    <t>Archaeol</t>
    <phoneticPr fontId="9" type="noConversion"/>
  </si>
  <si>
    <t>Code</t>
    <phoneticPr fontId="9" type="noConversion"/>
  </si>
  <si>
    <t>Name</t>
    <phoneticPr fontId="9" type="noConversion"/>
  </si>
  <si>
    <t>Chainloss</t>
    <phoneticPr fontId="9" type="noConversion"/>
  </si>
  <si>
    <t xml:space="preserve"> </t>
    <phoneticPr fontId="9" type="noConversion"/>
  </si>
  <si>
    <t>logP</t>
  </si>
  <si>
    <t>CC(C)CCCC(C)CCCC(C)CCCC(C)CCOC[C@H](CO)OCCC(C)CCCC(C)CCCC(C)CCCC(C)C</t>
  </si>
  <si>
    <t>CC(C)CCCC(C)CCCC(C)CCCC(C)CCCC(C)CCOC[C@H](CO)OCCC(C)CCCC(C)CCCC(C)CCCC(C)CCCC(C)C</t>
  </si>
  <si>
    <t>CC(C)CCCC(C)CCCC(C)CCCC(C)CCOC[C@H](CO)OC\C=C(/C)CCCC(C)CCCC(C)CCCC(C)C</t>
  </si>
  <si>
    <t>CC(C)CCCC(C)CCCC(C)CCCC(C)CCOC[C@H](CO)OC\C=C(/C)CC\C=C(/C)CCCC(C)CCCC(C)C</t>
  </si>
  <si>
    <t>CC(C)CCCC(C)CCCC(C)CCCC(C)CCOC[C@H](CO)OC\C=C(/C)CC\C=C(/C)CC\C=C(/C)CCCC(C)C</t>
  </si>
  <si>
    <t>CC(C)CCCC(C)CCCC(C)CCCC(C)CCOC[C@H](CO)OC\C=C(/C)CC\C=C(/C)CC\C=C(/C)CCC=C(C)C</t>
  </si>
  <si>
    <t>CC(C)CCCC(C)CCCC(C)CCCC(C)CCCC(C)CCOC[C@H](CO)OC\C=C(/C)CCCC(C)CCCC(C)CCCC(C)CCCC(C)C</t>
  </si>
  <si>
    <t>CC(C)CCCC(C)CCCC(C)CCCC(C)CCCC(C)CCOC[C@H](CO)OC\C=C(/C)CC\C=C(/C)CCCC(C)CCCC(C)CCCC(C)C</t>
  </si>
  <si>
    <t>CC(C)CCCC(C)CCCC(C)CCCC(C)CCCC(C)CCOC[C@H](CO)OC\C=C(/C)CC\C=C(/C)CC\C=C(/C)CCCC(C)CCCC(C)C</t>
  </si>
  <si>
    <t>CC(C)CCCC(C)CCCC(C)CCCC(C)CCCC(C)CCOC[C@H](CO)OC\C=C(/C)CC\C=C(/C)CC\C=C(/C)CC\C=C(/C)CCCC(C)C</t>
  </si>
  <si>
    <t>Bale, N. J., et al. (2019). "New Insights Into the Polar Lipid Composition of Extremely Halo(alkali)philic Euryarchaea From Hypersaline Lakes." Frontiers in Microbiology 10.</t>
  </si>
  <si>
    <t>OH1</t>
    <phoneticPr fontId="9" type="noConversion"/>
  </si>
  <si>
    <t>OH2</t>
    <phoneticPr fontId="9" type="noConversion"/>
  </si>
  <si>
    <t>Branch1</t>
    <phoneticPr fontId="9" type="noConversion"/>
  </si>
  <si>
    <t>Branch2</t>
    <phoneticPr fontId="9" type="noConversion"/>
  </si>
  <si>
    <t>LogP</t>
    <phoneticPr fontId="10" type="noConversion"/>
  </si>
  <si>
    <t>1S/C43H88O3/c1-35(2)17-11-19-37(5)21-13-23-39(7)25-15-27-41(9)29-31-45-34-43(33-44)46-32-30-42(10)28-16-26-40(8)24-14-22-38(6)20-12-18-36(3)4/h35-44H,11-34H2,1-10H3/t37?,38?,39?,40?,41?,42?,43-/m0/s1</t>
  </si>
  <si>
    <t>1S/C43H86O3/c1-35(2)17-11-19-37(5)21-13-23-39(7)25-15-27-41(9)29-31-45-34-43(33-44)46-32-30-42(10)28-16-26-40(8)24-14-22-38(6)20-12-18-36(3)4/h30,35-41,43-44H,11-29,31-34H2,1-10H3/b42-30+/t37?,38?,39?,40?,41?,43-/m0/s1</t>
  </si>
  <si>
    <t>1S/C43H84O3/c1-35(2)17-11-19-37(5)21-13-23-39(7)25-15-27-41(9)29-31-45-34-43(33-44)46-32-30-42(10)28-16-26-40(8)24-14-22-38(6)20-12-18-36(3)4/h26,30,35-39,41,43-44H,11-25,27-29,31-34H2,1-10H3/b40-26+,42-30+/t37?,38?,39?,41?,43-/m0/s1</t>
  </si>
  <si>
    <t>1S/C43H82O3/c1-35(2)17-11-19-37(5)21-13-23-39(7)25-15-27-41(9)29-31-45-34-43(33-44)46-32-30-42(10)28-16-26-40(8)24-14-22-38(6)20-12-18-36(3)4/h22,26,30,35-37,39,41,43-44H,11-21,23-25,27-29,31-34H2,1-10H3/b38-22+,40-26+,42-30+/t37?,39?,41?,43-/m0/s1</t>
  </si>
  <si>
    <t>1S/C43H80O3/c1-35(2)17-11-19-37(5)21-13-23-39(7)25-15-27-41(9)29-31-45-34-43(33-44)46-32-30-42(10)28-16-26-40(8)24-14-22-38(6)20-12-18-36(3)4/h18,22,26,30,35,37,39,41,43-44H,11-17,19-21,23-25,27-29,31-34H2,1-10H3/b38-22+,40-26+,42-30+/t37?,39?,41?,43-/m0/s1</t>
  </si>
  <si>
    <t>1S/C53H108O3/c1-43(2)21-13-23-45(5)25-15-27-47(7)29-17-31-49(9)33-19-35-51(11)37-39-55-42-53(41-54)56-40-38-52(12)36-20-34-50(10)32-18-30-48(8)28-16-26-46(6)24-14-22-44(3)4/h43-54H,13-42H2,1-12H3/t45?,46?,47?,48?,49?,50?,51?,52?,53-/m0/s1</t>
  </si>
  <si>
    <t>1S/C53H106O3/c1-43(2)21-13-23-45(5)25-15-27-47(7)29-17-31-49(9)33-19-35-51(11)37-39-55-42-53(41-54)56-40-38-52(12)36-20-34-50(10)32-18-30-48(8)28-16-26-46(6)24-14-22-44(3)4/h38,43-51,53-54H,13-37,39-42H2,1-12H3/b52-38+/t45?,46?,47?,48?,49?,50?,51?,53-/m0/s1</t>
  </si>
  <si>
    <t>1S/C53H104O3/c1-43(2)21-13-23-45(5)25-15-27-47(7)29-17-31-49(9)33-19-35-51(11)37-39-55-42-53(41-54)56-40-38-52(12)36-20-34-50(10)32-18-30-48(8)28-16-26-46(6)24-14-22-44(3)4/h34,38,43-49,51,53-54H,13-33,35-37,39-42H2,1-12H3/b50-34+,52-38+/t45?,46?,47?,48?,49?,51?,53-/m0/s1</t>
  </si>
  <si>
    <t>1S/C53H102O3/c1-43(2)21-13-23-45(5)25-15-27-47(7)29-17-31-49(9)33-19-35-51(11)37-39-55-42-53(41-54)56-40-38-52(12)36-20-34-50(10)32-18-30-48(8)28-16-26-46(6)24-14-22-44(3)4/h30,34,38,43-47,49,51,53-54H,13-29,31-33,35-37,39-42H2,1-12H3/b48-30+,50-34+,52-38+/t45?,46?,47?,49?,51?,53-/m0/s1</t>
  </si>
  <si>
    <t>1S/C53H100O3/c1-43(2)21-13-23-45(5)25-15-27-47(7)29-17-31-49(9)33-19-35-51(11)37-39-55-42-53(41-54)56-40-38-52(12)36-20-34-50(10)32-18-30-48(8)28-16-26-46(6)24-14-22-44(3)4/h26,30,34,38,43-45,47,49,51,53-54H,13-25,27-29,31-33,35-37,39-42H2,1-12H3/b46-26+,48-30+,50-34+,52-38+/t45?,47?,49?,51?,53-/m0/s1</t>
  </si>
  <si>
    <t>ISDBCJSGCHUHFI-PKIBUDCSSA-N</t>
  </si>
  <si>
    <t>CPJMYQGOQGSIDA-PNUIGMOWSA-N</t>
  </si>
  <si>
    <t>FAERWFVBEUTLPC-WDLFWRDCSA-N</t>
  </si>
  <si>
    <t>UIUWTFNUPMLSFG-IFGSCSODSA-N</t>
  </si>
  <si>
    <t>MUFQZGYUZIZODS-IFGSCSODSA-N</t>
  </si>
  <si>
    <t>XKYNJPDAIQTJIU-IMLKVQSBSA-N</t>
  </si>
  <si>
    <t>OVUZGPUHIYXGTJ-BZKRQUBASA-N</t>
  </si>
  <si>
    <t>JGWFOPUGZPYZSS-DJBWJGLSSA-N</t>
  </si>
  <si>
    <t>VRFDLJMLDNKOFL-VHKVRRLASA-N</t>
  </si>
  <si>
    <t>RJVPHAVBWGEJDJ-VWHZTXFWSA-N</t>
  </si>
  <si>
    <t>Name2</t>
  </si>
  <si>
    <t>Head loss</t>
    <phoneticPr fontId="9" type="noConversion"/>
  </si>
  <si>
    <t>Head&amp;Chainloss</t>
    <phoneticPr fontId="9" type="noConversion"/>
  </si>
  <si>
    <t>Debris of Phospholipids</t>
    <phoneticPr fontId="9" type="noConversion"/>
  </si>
  <si>
    <t>Debris of Phospholipids2</t>
  </si>
  <si>
    <t>Head-Particalloss</t>
    <phoneticPr fontId="9" type="noConversion"/>
  </si>
  <si>
    <t>PA-Head</t>
    <phoneticPr fontId="9" type="noConversion"/>
  </si>
  <si>
    <t>PA-Head-H2O</t>
    <phoneticPr fontId="9" type="noConversion"/>
  </si>
  <si>
    <t>undefined</t>
    <phoneticPr fontId="9" type="noConversion"/>
  </si>
  <si>
    <t>undefined2</t>
  </si>
  <si>
    <t>undefined3</t>
  </si>
  <si>
    <t>undefined4</t>
    <phoneticPr fontId="9" type="noConversion"/>
  </si>
  <si>
    <t>P-[M+H]+ Precursor Mass</t>
  </si>
  <si>
    <t>P-Head loss</t>
  </si>
  <si>
    <t>P-Head-Particalloss</t>
  </si>
  <si>
    <t>P-Chainloss</t>
  </si>
  <si>
    <t>P-Head&amp;Chainloss</t>
  </si>
  <si>
    <t>P-Debris of Phospholipids</t>
  </si>
  <si>
    <t>P-Debris of Phospholipids2</t>
  </si>
  <si>
    <t>P-undefined</t>
  </si>
  <si>
    <t>P-undefined2</t>
  </si>
  <si>
    <t>P-SN1+2</t>
  </si>
  <si>
    <t>P--2SN</t>
  </si>
  <si>
    <t>P--SN2-H2O</t>
  </si>
  <si>
    <t>P-undefined3</t>
  </si>
  <si>
    <t>P-undefined4</t>
  </si>
  <si>
    <t>P-PA-Head</t>
  </si>
  <si>
    <t>P-PA-Head-H2O</t>
  </si>
  <si>
    <t>PG</t>
    <phoneticPr fontId="9" type="noConversion"/>
  </si>
  <si>
    <t>IUPAC</t>
    <phoneticPr fontId="9" type="noConversion"/>
  </si>
  <si>
    <t>Archaeol(20:0_20:0)</t>
  </si>
  <si>
    <t>C43H88O3</t>
  </si>
  <si>
    <t>Archaeol(20:0_20:1)</t>
  </si>
  <si>
    <t>C43H86O3</t>
  </si>
  <si>
    <t>Archaeol(20:0_20:2)</t>
  </si>
  <si>
    <t>C43H84O3</t>
  </si>
  <si>
    <t>Archaeol(20:0_20:3)</t>
  </si>
  <si>
    <t>C43H82O3</t>
  </si>
  <si>
    <t>Archaeol(20:0_20:4)</t>
  </si>
  <si>
    <t>C43H80O3</t>
  </si>
  <si>
    <t>Archaeol(20:1_20:1)</t>
  </si>
  <si>
    <t>1S/C43H84O3/c1-35(2)17-11-19-37(5)21-13-23-39(7)25-15-27-41(9)29-31-45-34-43(33-44)46-32-30-42(10)28-16-26-40(8)24-14-22-38(6)20-12-18-36(3)4/h29-30,35-40,43-44H,11-28,31-34H2,1-10H3/b41-29+,42-30+/t37?,38?,39?,40?,43-/m0/s1</t>
  </si>
  <si>
    <t>CC(C)CCCC(C)CCCC(C)CCC\C(C)=C\COC[C@H](CO)OC\C=C(/C)CCCC(C)CCCC(C)CCCC(C)C</t>
  </si>
  <si>
    <t>DSBARAYYFZSBFZ-JXZVPKCSSA-N</t>
  </si>
  <si>
    <t>Archaeol(20:1_20:2)</t>
  </si>
  <si>
    <t>1S/C43H82O3/c1-35(2)17-11-19-37(5)21-13-23-39(7)25-15-27-41(9)29-31-45-34-43(33-44)46-32-30-42(10)28-16-26-40(8)24-14-22-38(6)20-12-18-36(3)4/h26,29-30,35-39,43-44H,11-25,27-28,31-34H2,1-10H3/b40-26+,41-29+,42-30+/t37?,38?,39?,43-/m0/s1</t>
  </si>
  <si>
    <t>CC(C)CCCC(C)CCCC(C)CCC\C(C)=C\COC[C@H](CO)OC\C=C(/C)CC\C=C(/C)CCCC(C)CCCC(C)C</t>
  </si>
  <si>
    <t>RZUWFHYQZVGJPD-BVFSXDRVSA-N</t>
  </si>
  <si>
    <t>Archaeol(20:1_20:3)</t>
  </si>
  <si>
    <t>1S/C43H80O3/c1-35(2)17-11-19-37(5)21-13-23-39(7)25-15-27-41(9)29-31-45-34-43(33-44)46-32-30-42(10)28-16-26-40(8)24-14-22-38(6)20-12-18-36(3)4/h22,26,29-30,35-37,39,43-44H,11-21,23-25,27-28,31-34H2,1-10H3/b38-22+,40-26+,41-29+,42-30+/t37?,39?,43-/m0/s1</t>
  </si>
  <si>
    <t>CC(C)CCCC(C)CCCC(C)CCC\C(C)=C\COC[C@H](CO)OC\C=C(/C)CC\C=C(/C)CC\C=C(/C)CCCC(C)C</t>
  </si>
  <si>
    <t>LFKRPBZRNCWRQW-GMRCXERDSA-N</t>
  </si>
  <si>
    <t>Archaeol(20:1_20:4)</t>
  </si>
  <si>
    <t>C43H78O3</t>
  </si>
  <si>
    <t>1S/C43H78O3/c1-35(2)17-11-19-37(5)21-13-23-39(7)25-15-27-41(9)29-31-45-34-43(33-44)46-32-30-42(10)28-16-26-40(8)24-14-22-38(6)20-12-18-36(3)4/h18,22,26,29-30,35,37,39,43-44H,11-17,19-21,23-25,27-28,31-34H2,1-10H3/b38-22+,40-26+,41-29+,42-30+/t37?,39?,43-/m0/s1</t>
  </si>
  <si>
    <t>CC(C)CCCC(C)CCCC(C)CCC\C(C)=C\COC[C@H](CO)OC\C=C(/C)CC\C=C(/C)CC\C=C(/C)CCC=C(C)C</t>
  </si>
  <si>
    <t>PHSUGUMPKCKEIQ-GMRCXERDSA-N</t>
  </si>
  <si>
    <t>Archaeol(20:2_20:2)</t>
  </si>
  <si>
    <t>1S/C43H80O3/c1-35(2)17-11-19-37(5)21-13-23-39(7)25-15-27-41(9)29-31-45-34-43(33-44)46-32-30-42(10)28-16-26-40(8)24-14-22-38(6)20-12-18-36(3)4/h25-26,29-30,35-38,43-44H,11-24,27-28,31-34H2,1-10H3/b39-25+,40-26+,41-29+,42-30+/t37?,38?,43-/m0/s1</t>
  </si>
  <si>
    <t>CC(C)CCCC(C)CCC\C(C)=C\CC\C(C)=C\COC[C@H](CO)OC\C=C(/C)CC\C=C(/C)CCCC(C)CCCC(C)C</t>
  </si>
  <si>
    <t>DNYLPTPKOLCZHE-MVPXRFBQSA-N</t>
  </si>
  <si>
    <t>Archaeol(20:2_20:3)</t>
  </si>
  <si>
    <t>1S/C43H78O3/c1-35(2)17-11-19-37(5)21-13-23-39(7)25-15-27-41(9)29-31-45-34-43(33-44)46-32-30-42(10)28-16-26-40(8)24-14-22-38(6)20-12-18-36(3)4/h22,25-26,29-30,35-37,43-44H,11-21,23-24,27-28,31-34H2,1-10H3/b38-22+,39-25+,40-26+,41-29+,42-30+/t37?,43-/m0/s1</t>
  </si>
  <si>
    <t>CC(C)CCCC(C)CCC\C(C)=C\CC\C(C)=C\COC[C@H](CO)OC\C=C(/C)CC\C=C(/C)CC\C=C(/C)CCCC(C)C</t>
  </si>
  <si>
    <t>FHNRXOVHXGUHAB-MCVVKZMFSA-N</t>
  </si>
  <si>
    <t>Archaeol(20:2_20:4)</t>
  </si>
  <si>
    <t>C43H76O3</t>
  </si>
  <si>
    <t>1S/C43H76O3/c1-35(2)17-11-19-37(5)21-13-23-39(7)25-15-27-41(9)29-31-45-34-43(33-44)46-32-30-42(10)28-16-26-40(8)24-14-22-38(6)20-12-18-36(3)4/h18,22,25-26,29-30,35,37,43-44H,11-17,19-21,23-24,27-28,31-34H2,1-10H3/b38-22+,39-25+,40-26+,41-29+,42-30+/t37?,43-/m0/s1</t>
  </si>
  <si>
    <t>CC(C)CCCC(C)CCC\C(C)=C\CC\C(C)=C\COC[C@H](CO)OC\C=C(/C)CC\C=C(/C)CC\C=C(/C)CCC=C(C)C</t>
  </si>
  <si>
    <t>LNBVKTBGVDKBTG-MCVVKZMFSA-N</t>
  </si>
  <si>
    <t>Archaeol(20:3_20:3)</t>
  </si>
  <si>
    <t>1S/C43H76O3/c1-35(2)17-11-19-37(5)21-13-23-39(7)25-15-27-41(9)29-31-45-34-43(33-44)46-32-30-42(10)28-16-26-40(8)24-14-22-38(6)20-12-18-36(3)4/h21-22,25-26,29-30,35-36,43-44H,11-20,23-24,27-28,31-34H2,1-10H3/b37-21+,38-22+,39-25+,40-26+,41-29+,42-30+/t43-/m0/s1</t>
  </si>
  <si>
    <t>CC(C)CCC\C(C)=C\CC\C(C)=C\CC\C(C)=C\COC[C@H](CO)OC\C=C(/C)CC\C=C(/C)CC\C=C(/C)CCCC(C)C</t>
  </si>
  <si>
    <t>DHHHFYDSRBIBBD-MVFIEKMPSA-N</t>
  </si>
  <si>
    <t>Archaeol(20:3_20:4)</t>
  </si>
  <si>
    <t>C43H74O3</t>
  </si>
  <si>
    <t>1S/C43H74O3/c1-35(2)17-11-19-37(5)21-13-23-39(7)25-15-27-41(9)29-31-45-34-43(33-44)46-32-30-42(10)28-16-26-40(8)24-14-22-38(6)20-12-18-36(3)4/h18,21-22,25-26,29-30,35,43-44H,11-17,19-20,23-24,27-28,31-34H2,1-10H3/b37-21+,38-22+,39-25+,40-26+,41-29+,42-30+/t43-/m0/s1</t>
  </si>
  <si>
    <t>CC(C)CCC\C(C)=C\CC\C(C)=C\CC\C(C)=C\COC[C@H](CO)OC\C=C(/C)CC\C=C(/C)CC\C=C(/C)CCC=C(C)C</t>
  </si>
  <si>
    <t>BRDOFUSWWWLLAV-MVFIEKMPSA-N</t>
  </si>
  <si>
    <t>Archaeol(20:4_20:4)</t>
  </si>
  <si>
    <t>C43H72O3</t>
  </si>
  <si>
    <t>1S/C43H72O3/c1-35(2)17-11-19-37(5)21-13-23-39(7)25-15-27-41(9)29-31-45-34-43(33-44)46-32-30-42(10)28-16-26-40(8)24-14-22-38(6)20-12-18-36(3)4/h17-18,21-22,25-26,29-30,43-44H,11-16,19-20,23-24,27-28,31-34H2,1-10H3/b37-21+,38-22+,39-25+,40-26+,41-29+,42-30+/t43-/m0/s1</t>
  </si>
  <si>
    <t>C\C(C)=C\CC\C(C)=C\CC\C(C)=C\CC\C(C)=C\COC[C@H](CO)OC\C=C(/C)CC\C=C(/C)CC\C=C(/C)CCC=C(C)C</t>
  </si>
  <si>
    <t>XMJTYEFKPRULHO-MVFIEKMPSA-N</t>
  </si>
  <si>
    <t>Archaeol(25:0_25:0)</t>
  </si>
  <si>
    <t>C53H108O3</t>
  </si>
  <si>
    <t>Archaeol(25:0_25:1)</t>
  </si>
  <si>
    <t>C53H106O3</t>
  </si>
  <si>
    <t>Archaeol(25:0_25:2)</t>
  </si>
  <si>
    <t>C53H104O3</t>
  </si>
  <si>
    <t>Archaeol(25:0_25:3)</t>
  </si>
  <si>
    <t>C53H102O3</t>
  </si>
  <si>
    <t>Archaeol(25:0_25:4)</t>
  </si>
  <si>
    <t>C53H100O3</t>
  </si>
  <si>
    <t>PG-Archaeol(20:0_20:0)</t>
  </si>
  <si>
    <t>C46H95O8P</t>
  </si>
  <si>
    <t>1S/C46H95O8P/c1-37(2)17-11-19-39(5)21-13-23-41(7)25-15-27-43(9)29-31-51-35-46(36-54-55(49,50)53-34-45(48)33-47)52-32-30-44(10)28-16-26-42(8)24-14-22-40(6)20-12-18-38(3)4/h37-48H,11-36H2,1-10H3,(H,49,50)/t39?,40?,41?,42?,43?,44?,45?,46-/m1/s1</t>
  </si>
  <si>
    <t>CC(C)CCCC(C)CCCC(C)CCCC(C)CCOC[C@H](COP(O)(=O)OCC(O)CO)OCCC(C)CCCC(C)CCCC(C)CCCC(C)C</t>
  </si>
  <si>
    <t>AFYVWQWWQKSZEV-KWQCNNRGSA-N</t>
  </si>
  <si>
    <t>PG-Archaeol(20:0_20:1)</t>
  </si>
  <si>
    <t>C46H93O8P</t>
  </si>
  <si>
    <t>1S/C46H93O8P/c1-37(2)17-11-19-39(5)21-13-23-41(7)25-15-27-43(9)29-31-51-35-46(36-54-55(49,50)53-34-45(48)33-47)52-32-30-44(10)28-16-26-42(8)24-14-22-40(6)20-12-18-38(3)4/h30,37-43,45-48H,11-29,31-36H2,1-10H3,(H,49,50)/b44-30+/t39?,40?,41?,42?,43?,45?,46-/m1/s1</t>
  </si>
  <si>
    <t>CC(C)CCCC(C)CCCC(C)CCCC(C)CCOC[C@H](COP(O)(=O)OCC(O)CO)OC\C=C(/C)CCCC(C)CCCC(C)CCCC(C)C</t>
  </si>
  <si>
    <t>LNMIWSKKSSKAAB-XTYGSWMUSA-N</t>
  </si>
  <si>
    <t>PG-Archaeol(20:0_20:2)</t>
  </si>
  <si>
    <t>C46H91O8P</t>
  </si>
  <si>
    <t>1S/C46H91O8P/c1-37(2)17-11-19-39(5)21-13-23-41(7)25-15-27-43(9)29-31-51-35-46(36-54-55(49,50)53-34-45(48)33-47)52-32-30-44(10)28-16-26-42(8)24-14-22-40(6)20-12-18-38(3)4/h26,30,37-41,43,45-48H,11-25,27-29,31-36H2,1-10H3,(H,49,50)/b42-26+,44-30+/t39?,40?,41?,43?,45?,46-/m1/s1</t>
  </si>
  <si>
    <t>CC(C)CCCC(C)CCCC(C)CCCC(C)CCOC[C@H](COP(O)(=O)OCC(O)CO)OC\C=C(/C)CC\C=C(/C)CCCC(C)CCCC(C)C</t>
  </si>
  <si>
    <t>RBIOZAAUZLSQDS-JKCOUPMYSA-N</t>
  </si>
  <si>
    <t>PG-Archaeol(20:0_20:3)</t>
  </si>
  <si>
    <t>C46H89O8P</t>
  </si>
  <si>
    <t>1S/C46H89O8P/c1-37(2)17-11-19-39(5)21-13-23-41(7)25-15-27-43(9)29-31-51-35-46(36-54-55(49,50)53-34-45(48)33-47)52-32-30-44(10)28-16-26-42(8)24-14-22-40(6)20-12-18-38(3)4/h22,26,30,37-39,41,43,45-48H,11-21,23-25,27-29,31-36H2,1-10H3,(H,49,50)/b40-22+,42-26+,44-30+/t39?,41?,43?,45?,46-/m1/s1</t>
  </si>
  <si>
    <t>CC(C)CCCC(C)CCCC(C)CCCC(C)CCOC[C@H](COP(O)(=O)OCC(O)CO)OC\C=C(/C)CC\C=C(/C)CC\C=C(/C)CCCC(C)C</t>
  </si>
  <si>
    <t>KSANVABVCPNXHO-FSWHQRIJSA-N</t>
  </si>
  <si>
    <t>PG-Archaeol(20:0_20:4)</t>
  </si>
  <si>
    <t>C46H87O8P</t>
  </si>
  <si>
    <t>1S/C46H87O8P/c1-37(2)17-11-19-39(5)21-13-23-41(7)25-15-27-43(9)29-31-51-35-46(36-54-55(49,50)53-34-45(48)33-47)52-32-30-44(10)28-16-26-42(8)24-14-22-40(6)20-12-18-38(3)4/h18,22,26,30,37,39,41,43,45-48H,11-17,19-21,23-25,27-29,31-36H2,1-10H3,(H,49,50)/b40-22+,42-26+,44-30+/t39?,41?,43?,45?,46-/m1/s1</t>
  </si>
  <si>
    <t>CC(C)CCCC(C)CCCC(C)CCCC(C)CCOC[C@H](COP(O)(=O)OCC(O)CO)OC\C=C(/C)CC\C=C(/C)CC\C=C(/C)CCC=C(C)C</t>
  </si>
  <si>
    <t>BTGJLSIXMJZEDJ-FSWHQRIJSA-N</t>
  </si>
  <si>
    <t>PG-Archaeol(20:1_20:1)</t>
  </si>
  <si>
    <t>1S/C46H91O8P/c1-37(2)17-11-19-39(5)21-13-23-41(7)25-15-27-43(9)29-31-51-35-46(36-54-55(49,50)53-34-45(48)33-47)52-32-30-44(10)28-16-26-42(8)24-14-22-40(6)20-12-18-38(3)4/h29-30,37-42,45-48H,11-28,31-36H2,1-10H3,(H,49,50)/b43-29+,44-30+/t39?,40?,41?,42?,45?,46-/m1/s1</t>
  </si>
  <si>
    <t>CC(C)CCCC(C)CCCC(C)CCC\C(C)=C\COC[C@H](COP(O)(=O)OCC(O)CO)OC\C=C(/C)CCCC(C)CCCC(C)CCCC(C)C</t>
  </si>
  <si>
    <t>DSIGRGXQAQXSTI-WXGSIMAJSA-N</t>
  </si>
  <si>
    <t>PG-Archaeol(20:1_20:2)</t>
  </si>
  <si>
    <t>1S/C46H89O8P/c1-37(2)17-11-19-39(5)21-13-23-41(7)25-15-27-43(9)29-31-51-35-46(36-54-55(49,50)53-34-45(48)33-47)52-32-30-44(10)28-16-26-42(8)24-14-22-40(6)20-12-18-38(3)4/h26,29-30,37-41,45-48H,11-25,27-28,31-36H2,1-10H3,(H,49,50)/b42-26+,43-29+,44-30+/t39?,40?,41?,45?,46-/m1/s1</t>
  </si>
  <si>
    <t>CC(C)CCCC(C)CCCC(C)CCC\C(C)=C\COC[C@H](COP(O)(=O)OCC(O)CO)OC\C=C(/C)CC\C=C(/C)CCCC(C)CCCC(C)C</t>
  </si>
  <si>
    <t>MOBJYGRGMFNCPF-DTFXDQPFSA-N</t>
  </si>
  <si>
    <t>PG-Archaeol(20:1_20:3)</t>
  </si>
  <si>
    <t>1S/C46H87O8P/c1-37(2)17-11-19-39(5)21-13-23-41(7)25-15-27-43(9)29-31-51-35-46(36-54-55(49,50)53-34-45(48)33-47)52-32-30-44(10)28-16-26-42(8)24-14-22-40(6)20-12-18-38(3)4/h22,26,29-30,37-39,41,45-48H,11-21,23-25,27-28,31-36H2,1-10H3,(H,49,50)/b40-22+,42-26+,43-29+,44-30+/t39?,41?,45?,46-/m1/s1</t>
  </si>
  <si>
    <t>CC(C)CCCC(C)CCCC(C)CCC\C(C)=C\COC[C@H](COP(O)(=O)OCC(O)CO)OC\C=C(/C)CC\C=C(/C)CC\C=C(/C)CCCC(C)C</t>
  </si>
  <si>
    <t>JBFFGRPCDHFLHR-IDEFMRRMSA-N</t>
  </si>
  <si>
    <t>PG-Archaeol(20:1_20:4)</t>
  </si>
  <si>
    <t>C46H85O8P</t>
  </si>
  <si>
    <t>1S/C46H85O8P/c1-37(2)17-11-19-39(5)21-13-23-41(7)25-15-27-43(9)29-31-51-35-46(36-54-55(49,50)53-34-45(48)33-47)52-32-30-44(10)28-16-26-42(8)24-14-22-40(6)20-12-18-38(3)4/h18,22,26,29-30,37,39,41,45-48H,11-17,19-21,23-25,27-28,31-36H2,1-10H3,(H,49,50)/b40-22+,42-26+,43-29+,44-30+/t39?,41?,45?,46-/m1/s1</t>
  </si>
  <si>
    <t>CC(C)CCCC(C)CCCC(C)CCC\C(C)=C\COC[C@H](COP(O)(=O)OCC(O)CO)OC\C=C(/C)CC\C=C(/C)CC\C=C(/C)CCC=C(C)C</t>
  </si>
  <si>
    <t>MTMGBKZPUPOSFN-IDEFMRRMSA-N</t>
  </si>
  <si>
    <t>PG-Archaeol(20:2_20:2)</t>
  </si>
  <si>
    <t>1S/C46H87O8P/c1-37(2)17-11-19-39(5)21-13-23-41(7)25-15-27-43(9)29-31-51-35-46(36-54-55(49,50)53-34-45(48)33-47)52-32-30-44(10)28-16-26-42(8)24-14-22-40(6)20-12-18-38(3)4/h25-26,29-30,37-40,45-48H,11-24,27-28,31-36H2,1-10H3,(H,49,50)/b41-25+,42-26+,43-29+,44-30+/t39?,40?,45?,46-/m1/s1</t>
  </si>
  <si>
    <t>CC(C)CCCC(C)CCC\C(C)=C\CC\C(C)=C\COC[C@H](COP(O)(=O)OCC(O)CO)OC\C=C(/C)CC\C=C(/C)CCCC(C)CCCC(C)C</t>
  </si>
  <si>
    <t>DNIOBQXOPSPKCS-IXRILRQESA-N</t>
  </si>
  <si>
    <t>PG-Archaeol(20:2_20:3)</t>
  </si>
  <si>
    <t>1S/C46H85O8P/c1-37(2)17-11-19-39(5)21-13-23-41(7)25-15-27-43(9)29-31-51-35-46(36-54-55(49,50)53-34-45(48)33-47)52-32-30-44(10)28-16-26-42(8)24-14-22-40(6)20-12-18-38(3)4/h22,25-26,29-30,37-39,45-48H,11-21,23-24,27-28,31-36H2,1-10H3,(H,49,50)/b40-22+,41-25+,42-26+,43-29+,44-30+/t39?,45?,46-/m1/s1</t>
  </si>
  <si>
    <t>CC(C)CCCC(C)CCC\C(C)=C\CC\C(C)=C\COC[C@H](COP(O)(=O)OCC(O)CO)OC\C=C(/C)CC\C=C(/C)CC\C=C(/C)CCCC(C)C</t>
  </si>
  <si>
    <t>JHSOXGBKOYCAGU-RPWJWATKSA-N</t>
  </si>
  <si>
    <t>PG-Archaeol(20:2_20:4)</t>
  </si>
  <si>
    <t>C46H83O8P</t>
  </si>
  <si>
    <t>1S/C46H83O8P/c1-37(2)17-11-19-39(5)21-13-23-41(7)25-15-27-43(9)29-31-51-35-46(36-54-55(49,50)53-34-45(48)33-47)52-32-30-44(10)28-16-26-42(8)24-14-22-40(6)20-12-18-38(3)4/h18,22,25-26,29-30,37,39,45-48H,11-17,19-21,23-24,27-28,31-36H2,1-10H3,(H,49,50)/b40-22+,41-25+,42-26+,43-29+,44-30+/t39?,45?,46-/m1/s1</t>
  </si>
  <si>
    <t>CC(C)CCCC(C)CCC\C(C)=C\CC\C(C)=C\COC[C@H](COP(O)(=O)OCC(O)CO)OC\C=C(/C)CC\C=C(/C)CC\C=C(/C)CCC=C(C)C</t>
  </si>
  <si>
    <t>ZPGBBWNKVVRPSK-RPWJWATKSA-N</t>
  </si>
  <si>
    <t>PG-Archaeol(20:3_20:3)</t>
  </si>
  <si>
    <t>1S/C46H83O8P/c1-37(2)17-11-19-39(5)21-13-23-41(7)25-15-27-43(9)29-31-51-35-46(36-54-55(49,50)53-34-45(48)33-47)52-32-30-44(10)28-16-26-42(8)24-14-22-40(6)20-12-18-38(3)4/h21-22,25-26,29-30,37-38,45-48H,11-20,23-24,27-28,31-36H2,1-10H3,(H,49,50)/b39-21+,40-22+,41-25+,42-26+,43-29+,44-30+/t45?,46-/m1/s1</t>
  </si>
  <si>
    <t>CC(C)CCC\C(C)=C\CC\C(C)=C\CC\C(C)=C\COC[C@H](COP(O)(=O)OCC(O)CO)OC\C=C(/C)CC\C=C(/C)CC\C=C(/C)CCCC(C)C</t>
  </si>
  <si>
    <t>QKKGXTUGSNVQOX-UHVLCHMTSA-N</t>
  </si>
  <si>
    <t>PG-Archaeol(20:3_20:4)</t>
  </si>
  <si>
    <t>C46H81O8P</t>
  </si>
  <si>
    <t>1S/C46H81O8P/c1-37(2)17-11-19-39(5)21-13-23-41(7)25-15-27-43(9)29-31-51-35-46(36-54-55(49,50)53-34-45(48)33-47)52-32-30-44(10)28-16-26-42(8)24-14-22-40(6)20-12-18-38(3)4/h18,21-22,25-26,29-30,37,45-48H,11-17,19-20,23-24,27-28,31-36H2,1-10H3,(H,49,50)/b39-21+,40-22+,41-25+,42-26+,43-29+,44-30+/t45?,46-/m1/s1</t>
  </si>
  <si>
    <t>CC(C)CCC\C(C)=C\CC\C(C)=C\CC\C(C)=C\COC[C@H](COP(O)(=O)OCC(O)CO)OC\C=C(/C)CC\C=C(/C)CC\C=C(/C)CCC=C(C)C</t>
  </si>
  <si>
    <t>FQDFDOVFOWZKCS-UHVLCHMTSA-N</t>
  </si>
  <si>
    <t>PG-Archaeol(20:4_20:4)</t>
  </si>
  <si>
    <t>C46H79O8P</t>
  </si>
  <si>
    <t>1S/C46H79O8P/c1-37(2)17-11-19-39(5)21-13-23-41(7)25-15-27-43(9)29-31-51-35-46(36-54-55(49,50)53-34-45(48)33-47)52-32-30-44(10)28-16-26-42(8)24-14-22-40(6)20-12-18-38(3)4/h17-18,21-22,25-26,29-30,45-48H,11-16,19-20,23-24,27-28,31-36H2,1-10H3,(H,49,50)/b39-21+,40-22+,41-25+,42-26+,43-29+,44-30+/t45?,46-/m1/s1</t>
  </si>
  <si>
    <t>CC(C)=CCC\C(C)=C\CC\C(C)=C\CC\C(C)=C\COC[C@H](COP(O)(=O)OCC(O)CO)OC\C=C(/C)CC\C=C(/C)CC\C=C(/C)CCC=C(C)C</t>
  </si>
  <si>
    <t>ZSMWFDRAGKCJFJ-UHVLCHMTSA-N</t>
  </si>
  <si>
    <t>PG-Archaeol(25:0_25:0)</t>
  </si>
  <si>
    <t>C56H115O8P</t>
  </si>
  <si>
    <t>1S/C56H115O8P/c1-45(2)21-13-23-47(5)25-15-27-49(7)29-17-31-51(9)33-19-35-53(11)37-39-61-43-56(44-64-65(59,60)63-42-55(58)41-57)62-40-38-54(12)36-20-34-52(10)32-18-30-50(8)28-16-26-48(6)24-14-22-46(3)4/h45-58H,13-44H2,1-12H3,(H,59,60)/t47?,48?,49?,50?,51?,52?,53?,54?,55?,56-/m1/s1</t>
  </si>
  <si>
    <t>CC(C)CCCC(C)CCCC(C)CCCC(C)CCCC(C)CCOC[C@H](COP(O)(=O)OCC(O)CO)OCCC(C)CCCC(C)CCCC(C)CCCC(C)CCCC(C)C</t>
  </si>
  <si>
    <t>QAURTGQJTXIUIK-YSJWUCLDSA-N</t>
  </si>
  <si>
    <t>PG-Archaeol(25:0_25:1)</t>
  </si>
  <si>
    <t>C56H113O8P</t>
  </si>
  <si>
    <t>1S/C56H113O8P/c1-45(2)21-13-23-47(5)25-15-27-49(7)29-17-31-51(9)33-19-35-53(11)37-39-61-43-56(44-64-65(59,60)63-42-55(58)41-57)62-40-38-54(12)36-20-34-52(10)32-18-30-50(8)28-16-26-48(6)24-14-22-46(3)4/h38,45-53,55-58H,13-37,39-44H2,1-12H3,(H,59,60)/b54-38+/t47?,48?,49?,50?,51?,52?,53?,55?,56-/m1/s1</t>
  </si>
  <si>
    <t>CC(C)CCCC(C)CCCC(C)CCCC(C)CCCC(C)CCOC[C@H](COP(O)(=O)OCC(O)CO)OC\C=C(/C)CCCC(C)CCCC(C)CCCC(C)CCCC(C)C</t>
  </si>
  <si>
    <t>LMLVUCVPUPJIJC-VFEPTLENSA-N</t>
  </si>
  <si>
    <t>PG-Archaeol(25:0_25:2)</t>
  </si>
  <si>
    <t>C56H111O8P</t>
  </si>
  <si>
    <t>1S/C56H111O8P/c1-45(2)21-13-23-47(5)25-15-27-49(7)29-17-31-51(9)33-19-35-53(11)37-39-61-43-56(44-64-65(59,60)63-42-55(58)41-57)62-40-38-54(12)36-20-34-52(10)32-18-30-50(8)28-16-26-48(6)24-14-22-46(3)4/h34,38,45-51,53,55-58H,13-33,35-37,39-44H2,1-12H3,(H,59,60)/b52-34+,54-38+/t47?,48?,49?,50?,51?,53?,55?,56-/m1/s1</t>
  </si>
  <si>
    <t>CC(C)CCCC(C)CCCC(C)CCCC(C)CCCC(C)CCOC[C@H](COP(O)(=O)OCC(O)CO)OC\C=C(/C)CC\C=C(/C)CCCC(C)CCCC(C)CCCC(C)C</t>
  </si>
  <si>
    <t>FSEZZCHIVSRNMG-VSBBKOASSA-N</t>
  </si>
  <si>
    <t>PG-Archaeol(25:0_25:3)</t>
  </si>
  <si>
    <t>C56H109O8P</t>
  </si>
  <si>
    <t>1S/C56H109O8P/c1-45(2)21-13-23-47(5)25-15-27-49(7)29-17-31-51(9)33-19-35-53(11)37-39-61-43-56(44-64-65(59,60)63-42-55(58)41-57)62-40-38-54(12)36-20-34-52(10)32-18-30-50(8)28-16-26-48(6)24-14-22-46(3)4/h30,34,38,45-49,51,53,55-58H,13-29,31-33,35-37,39-44H2,1-12H3,(H,59,60)/b50-30+,52-34+,54-38+/t47?,48?,49?,51?,53?,55?,56-/m1/s1</t>
  </si>
  <si>
    <t>CC(C)CCCC(C)CCCC(C)CCCC(C)CCCC(C)CCOC[C@H](COP(O)(=O)OCC(O)CO)OC\C=C(/C)CC\C=C(/C)CC\C=C(/C)CCCC(C)CCCC(C)C</t>
  </si>
  <si>
    <t>NHYLPUREHMMMNK-LKNTZGAESA-N</t>
  </si>
  <si>
    <t>PG-Archaeol(25:0_25:4)</t>
  </si>
  <si>
    <t>C56H107O8P</t>
  </si>
  <si>
    <t>1S/C56H107O8P/c1-45(2)21-13-23-47(5)25-15-27-49(7)29-17-31-51(9)33-19-35-53(11)37-39-61-43-56(44-64-65(59,60)63-42-55(58)41-57)62-40-38-54(12)36-20-34-52(10)32-18-30-50(8)28-16-26-48(6)24-14-22-46(3)4/h26,30,34,38,45-47,49,51,53,55-58H,13-25,27-29,31-33,35-37,39-44H2,1-12H3,(H,59,60)/b48-26+,50-30+,52-34+,54-38+/t47?,49?,51?,53?,55?,56-/m1/s1</t>
  </si>
  <si>
    <t>CC(C)CCCC(C)CCCC(C)CCCC(C)CCCC(C)CCOC[C@H](COP(O)(=O)OCC(O)CO)OC\C=C(/C)CC\C=C(/C)CC\C=C(/C)CC\C=C(/C)CCCC(C)C</t>
  </si>
  <si>
    <t>AQVUDTGVHAIIBJ-QBNMSKPOSA-N</t>
  </si>
  <si>
    <t>Sulfo-PG-Archaeol(20:0_20:0)</t>
  </si>
  <si>
    <t>C46H95O11PS</t>
  </si>
  <si>
    <t>1S/C46H95O11PS/c1-37(2)17-11-19-39(5)21-13-23-41(7)25-15-27-43(9)29-31-53-35-46(36-56-58(48,49)55-33-45(47)34-57-59(50,51)52)54-32-30-44(10)28-16-26-42(8)24-14-22-40(6)20-12-18-38(3)4/h37-47H,11-36H2,1-10H3,(H,48,49)(H,50,51,52)/t39?,40?,41?,42?,43?,44?,45?,46-/m1/s1</t>
  </si>
  <si>
    <t>CC(C)CCCC(C)CCCC(C)CCCC(C)CCOC[C@H](COP(O)(=O)OCC(O)COS(O)(=O)=O)OCCC(C)CCCC(C)CCCC(C)CCCC(C)C</t>
  </si>
  <si>
    <t>HUPYHCBQRJOKES-KWQCNNRGSA-N</t>
  </si>
  <si>
    <t>Sulfo-PG-Archaeol(20:0_20:1)</t>
  </si>
  <si>
    <t>C46H93O11PS</t>
  </si>
  <si>
    <t>1S/C46H93O11PS/c1-37(2)17-11-19-39(5)21-13-23-41(7)25-15-27-43(9)29-31-53-35-46(36-56-58(48,49)55-33-45(47)34-57-59(50,51)52)54-32-30-44(10)28-16-26-42(8)24-14-22-40(6)20-12-18-38(3)4/h30,37-43,45-47H,11-29,31-36H2,1-10H3,(H,48,49)(H,50,51,52)/b44-30+/t39?,40?,41?,42?,43?,45?,46-/m1/s1</t>
  </si>
  <si>
    <t>CC(C)CCCC(C)CCCC(C)CCCC(C)CCOC[C@H](COP(O)(=O)OCC(O)COS(O)(=O)=O)OC\C=C(/C)CCCC(C)CCCC(C)CCCC(C)C</t>
  </si>
  <si>
    <t>WBLIQIQPOCVRFI-XTYGSWMUSA-N</t>
  </si>
  <si>
    <t>Sulfo-PG-Archaeol(20:0_20:2)</t>
  </si>
  <si>
    <t>C46H91O11PS</t>
  </si>
  <si>
    <t>1S/C46H91O11PS/c1-37(2)17-11-19-39(5)21-13-23-41(7)25-15-27-43(9)29-31-53-35-46(36-56-58(48,49)55-33-45(47)34-57-59(50,51)52)54-32-30-44(10)28-16-26-42(8)24-14-22-40(6)20-12-18-38(3)4/h26,30,37-41,43,45-47H,11-25,27-29,31-36H2,1-10H3,(H,48,49)(H,50,51,52)/b42-26+,44-30+/t39?,40?,41?,43?,45?,46-/m1/s1</t>
  </si>
  <si>
    <t>CC(C)CCCC(C)CCCC(C)CCCC(C)CCOC[C@H](COP(O)(=O)OCC(O)COS(O)(=O)=O)OC\C=C(/C)CC\C=C(/C)CCCC(C)CCCC(C)C</t>
  </si>
  <si>
    <t>VUTIBTXWKGGRJI-JKCOUPMYSA-N</t>
  </si>
  <si>
    <t>Sulfo-PG-Archaeol(20:0_20:3)</t>
  </si>
  <si>
    <t>C46H89O11PS</t>
  </si>
  <si>
    <t>1S/C46H89O11PS/c1-37(2)17-11-19-39(5)21-13-23-41(7)25-15-27-43(9)29-31-53-35-46(36-56-58(48,49)55-33-45(47)34-57-59(50,51)52)54-32-30-44(10)28-16-26-42(8)24-14-22-40(6)20-12-18-38(3)4/h22,26,30,37-39,41,43,45-47H,11-21,23-25,27-29,31-36H2,1-10H3,(H,48,49)(H,50,51,52)/b40-22+,42-26+,44-30+/t39?,41?,43?,45?,46-/m1/s1</t>
  </si>
  <si>
    <t>CC(C)CCCC(C)CCCC(C)CCCC(C)CCOC[C@H](COP(O)(=O)OCC(O)COS(O)(=O)=O)OC\C=C(/C)CC\C=C(/C)CC\C=C(/C)CCCC(C)C</t>
  </si>
  <si>
    <t>PPGHHVAQNHXHGY-FSWHQRIJSA-N</t>
  </si>
  <si>
    <t>Sulfo-PG-Archaeol(20:0_20:4)</t>
  </si>
  <si>
    <t>C46H87O11PS</t>
  </si>
  <si>
    <t>1S/C46H87O11PS/c1-37(2)17-11-19-39(5)21-13-23-41(7)25-15-27-43(9)29-31-53-35-46(36-56-58(48,49)55-33-45(47)34-57-59(50,51)52)54-32-30-44(10)28-16-26-42(8)24-14-22-40(6)20-12-18-38(3)4/h18,22,26,30,37,39,41,43,45-47H,11-17,19-21,23-25,27-29,31-36H2,1-10H3,(H,48,49)(H,50,51,52)/b40-22+,42-26+,44-30+/t39?,41?,43?,45?,46-/m1/s1</t>
  </si>
  <si>
    <t>CC(C)CCCC(C)CCCC(C)CCCC(C)CCOC[C@H](COP(O)(=O)OCC(O)COS(O)(=O)=O)OC\C=C(/C)CC\C=C(/C)CC\C=C(/C)CCC=C(C)C</t>
  </si>
  <si>
    <t>YVWUATWPCXURSY-FSWHQRIJSA-N</t>
  </si>
  <si>
    <t>Sulfo-PG-Archaeol(20:1_20:1)</t>
  </si>
  <si>
    <t>1S/C46H91O11PS/c1-37(2)17-11-19-39(5)21-13-23-41(7)25-15-27-43(9)29-31-53-35-46(36-56-58(48,49)55-33-45(47)34-57-59(50,51)52)54-32-30-44(10)28-16-26-42(8)24-14-22-40(6)20-12-18-38(3)4/h29-30,37-42,45-47H,11-28,31-36H2,1-10H3,(H,48,49)(H,50,51,52)/b43-29+,44-30+/t39?,40?,41?,42?,45?,46-/m1/s1</t>
  </si>
  <si>
    <t>CC(C)CCCC(C)CCCC(C)CCC\C(C)=C\COC[C@H](COP(O)(=O)OCC(O)COS(O)(=O)=O)OC\C=C(/C)CCCC(C)CCCC(C)CCCC(C)C</t>
  </si>
  <si>
    <t>OFWBVNZIJQQFPI-WXGSIMAJSA-N</t>
  </si>
  <si>
    <t>Sulfo-PG-Archaeol(20:1_20:2)</t>
  </si>
  <si>
    <t>1S/C46H89O11PS/c1-37(2)17-11-19-39(5)21-13-23-41(7)25-15-27-43(9)29-31-53-35-46(36-56-58(48,49)55-33-45(47)34-57-59(50,51)52)54-32-30-44(10)28-16-26-42(8)24-14-22-40(6)20-12-18-38(3)4/h26,29-30,37-41,45-47H,11-25,27-28,31-36H2,1-10H3,(H,48,49)(H,50,51,52)/b42-26+,43-29+,44-30+/t39?,40?,41?,45?,46-/m1/s1</t>
  </si>
  <si>
    <t>CC(C)CCCC(C)CCCC(C)CCC\C(C)=C\COC[C@H](COP(O)(=O)OCC(O)COS(O)(=O)=O)OC\C=C(/C)CC\C=C(/C)CCCC(C)CCCC(C)C</t>
  </si>
  <si>
    <t>BOLXEEUQPJCAQX-DTFXDQPFSA-N</t>
  </si>
  <si>
    <t>Sulfo-PG-Archaeol(20:1_20:3)</t>
  </si>
  <si>
    <t>1S/C46H87O11PS/c1-37(2)17-11-19-39(5)21-13-23-41(7)25-15-27-43(9)29-31-53-35-46(36-56-58(48,49)55-33-45(47)34-57-59(50,51)52)54-32-30-44(10)28-16-26-42(8)24-14-22-40(6)20-12-18-38(3)4/h22,26,29-30,37-39,41,45-47H,11-21,23-25,27-28,31-36H2,1-10H3,(H,48,49)(H,50,51,52)/b40-22+,42-26+,43-29+,44-30+/t39?,41?,45?,46-/m1/s1</t>
  </si>
  <si>
    <t>CC(C)CCCC(C)CCCC(C)CCC\C(C)=C\COC[C@H](COP(O)(=O)OCC(O)COS(O)(=O)=O)OC\C=C(/C)CC\C=C(/C)CC\C=C(/C)CCCC(C)C</t>
  </si>
  <si>
    <t>FGQMOPOVLQLRMH-IDEFMRRMSA-N</t>
  </si>
  <si>
    <t>Sulfo-PG-Archaeol(20:1_20:4)</t>
  </si>
  <si>
    <t>C46H85O11PS</t>
  </si>
  <si>
    <t>1S/C46H85O11PS/c1-37(2)17-11-19-39(5)21-13-23-41(7)25-15-27-43(9)29-31-53-35-46(36-56-58(48,49)55-33-45(47)34-57-59(50,51)52)54-32-30-44(10)28-16-26-42(8)24-14-22-40(6)20-12-18-38(3)4/h18,22,26,29-30,37,39,41,45-47H,11-17,19-21,23-25,27-28,31-36H2,1-10H3,(H,48,49)(H,50,51,52)/b40-22+,42-26+,43-29+,44-30+/t39?,41?,45?,46-/m1/s1</t>
  </si>
  <si>
    <t>CC(C)CCCC(C)CCCC(C)CCC\C(C)=C\COC[C@H](COP(O)(=O)OCC(O)COS(O)(=O)=O)OC\C=C(/C)CC\C=C(/C)CC\C=C(/C)CCC=C(C)C</t>
  </si>
  <si>
    <t>OKYQGQLOZXATTF-IDEFMRRMSA-N</t>
  </si>
  <si>
    <t>Sulfo-PG-Archaeol(20:2_20:2)</t>
  </si>
  <si>
    <t>1S/C46H87O11PS/c1-37(2)17-11-19-39(5)21-13-23-41(7)25-15-27-43(9)29-31-53-35-46(36-56-58(48,49)55-33-45(47)34-57-59(50,51)52)54-32-30-44(10)28-16-26-42(8)24-14-22-40(6)20-12-18-38(3)4/h25-26,29-30,37-40,45-47H,11-24,27-28,31-36H2,1-10H3,(H,48,49)(H,50,51,52)/b41-25+,42-26+,43-29+,44-30+/t39?,40?,45?,46-/m1/s1</t>
  </si>
  <si>
    <t>CC(C)CCCC(C)CCC\C(C)=C\CC\C(C)=C\COC[C@H](COP(O)(=O)OCC(O)COS(O)(=O)=O)OC\C=C(/C)CC\C=C(/C)CCCC(C)CCCC(C)C</t>
  </si>
  <si>
    <t>LMWIQYQKJRTCLG-IXRILRQESA-N</t>
  </si>
  <si>
    <t>Sulfo-PG-Archaeol(20:2_20:3)</t>
  </si>
  <si>
    <t>1S/C46H85O11PS/c1-37(2)17-11-19-39(5)21-13-23-41(7)25-15-27-43(9)29-31-53-35-46(36-56-58(48,49)55-33-45(47)34-57-59(50,51)52)54-32-30-44(10)28-16-26-42(8)24-14-22-40(6)20-12-18-38(3)4/h22,25-26,29-30,37-39,45-47H,11-21,23-24,27-28,31-36H2,1-10H3,(H,48,49)(H,50,51,52)/b40-22+,41-25+,42-26+,43-29+,44-30+/t39?,45?,46-/m1/s1</t>
  </si>
  <si>
    <t>CC(C)CCCC(C)CCC\C(C)=C\CC\C(C)=C\COC[C@H](COP(O)(=O)OCC(O)COS(O)(=O)=O)OC\C=C(/C)CC\C=C(/C)CC\C=C(/C)CCCC(C)C</t>
  </si>
  <si>
    <t>WFMXQVPANCSZEJ-RPWJWATKSA-N</t>
  </si>
  <si>
    <t>Sulfo-PG-Archaeol(20:2_20:4)</t>
  </si>
  <si>
    <t>C46H83O11PS</t>
  </si>
  <si>
    <t>1S/C46H83O11PS/c1-37(2)17-11-19-39(5)21-13-23-41(7)25-15-27-43(9)29-31-53-35-46(36-56-58(48,49)55-33-45(47)34-57-59(50,51)52)54-32-30-44(10)28-16-26-42(8)24-14-22-40(6)20-12-18-38(3)4/h18,22,25-26,29-30,37,39,45-47H,11-17,19-21,23-24,27-28,31-36H2,1-10H3,(H,48,49)(H,50,51,52)/b40-22+,41-25+,42-26+,43-29+,44-30+/t39?,45?,46-/m1/s1</t>
  </si>
  <si>
    <t>CC(C)CCCC(C)CCC\C(C)=C\CC\C(C)=C\COC[C@H](COP(O)(=O)OCC(O)COS(O)(=O)=O)OC\C=C(/C)CC\C=C(/C)CC\C=C(/C)CCC=C(C)C</t>
  </si>
  <si>
    <t>LGJFNSAVTBDDJO-RPWJWATKSA-N</t>
  </si>
  <si>
    <t>Sulfo-PG-Archaeol(20:3_20:3)</t>
  </si>
  <si>
    <t>1S/C46H83O11PS/c1-37(2)17-11-19-39(5)21-13-23-41(7)25-15-27-43(9)29-31-53-35-46(36-56-58(48,49)55-33-45(47)34-57-59(50,51)52)54-32-30-44(10)28-16-26-42(8)24-14-22-40(6)20-12-18-38(3)4/h21-22,25-26,29-30,37-38,45-47H,11-20,23-24,27-28,31-36H2,1-10H3,(H,48,49)(H,50,51,52)/b39-21+,40-22+,41-25+,42-26+,43-29+,44-30+/t45?,46-/m1/s1</t>
  </si>
  <si>
    <t>CC(C)CCC\C(C)=C\CC\C(C)=C\CC\C(C)=C\COC[C@H](COP(O)(=O)OCC(O)COS(O)(=O)=O)OC\C=C(/C)CC\C=C(/C)CC\C=C(/C)CCCC(C)C</t>
  </si>
  <si>
    <t>XRTPPGLDGGPHMI-UHVLCHMTSA-N</t>
  </si>
  <si>
    <t>Sulfo-PG-Archaeol(20:3_20:4)</t>
  </si>
  <si>
    <t>C46H81O11PS</t>
  </si>
  <si>
    <t>1S/C46H81O11PS/c1-37(2)17-11-19-39(5)21-13-23-41(7)25-15-27-43(9)29-31-53-35-46(36-56-58(48,49)55-33-45(47)34-57-59(50,51)52)54-32-30-44(10)28-16-26-42(8)24-14-22-40(6)20-12-18-38(3)4/h18,21-22,25-26,29-30,37,45-47H,11-17,19-20,23-24,27-28,31-36H2,1-10H3,(H,48,49)(H,50,51,52)/b39-21+,40-22+,41-25+,42-26+,43-29+,44-30+/t45?,46-/m1/s1</t>
  </si>
  <si>
    <t>CC(C)CCC\C(C)=C\CC\C(C)=C\CC\C(C)=C\COC[C@H](COP(O)(=O)OCC(O)COS(O)(=O)=O)OC\C=C(/C)CC\C=C(/C)CC\C=C(/C)CCC=C(C)C</t>
  </si>
  <si>
    <t>YCWMNCMMVSLQFK-UHVLCHMTSA-N</t>
  </si>
  <si>
    <t>Sulfo-PG-Archaeol(20:4_20:4)</t>
  </si>
  <si>
    <t>C46H79O11PS</t>
  </si>
  <si>
    <t>1S/C46H79O11PS/c1-37(2)17-11-19-39(5)21-13-23-41(7)25-15-27-43(9)29-31-53-35-46(36-56-58(48,49)55-33-45(47)34-57-59(50,51)52)54-32-30-44(10)28-16-26-42(8)24-14-22-40(6)20-12-18-38(3)4/h17-18,21-22,25-26,29-30,45-47H,11-16,19-20,23-24,27-28,31-36H2,1-10H3,(H,48,49)(H,50,51,52)/b39-21+,40-22+,41-25+,42-26+,43-29+,44-30+/t45?,46-/m1/s1</t>
  </si>
  <si>
    <t>CC(C)=CCC\C(C)=C\CC\C(C)=C\CC\C(C)=C\COC[C@H](COP(O)(=O)OCC(O)COS(O)(=O)=O)OC\C=C(/C)CC\C=C(/C)CC\C=C(/C)CCC=C(C)C</t>
  </si>
  <si>
    <t>QHHADOVIBBGJNX-UHVLCHMTSA-N</t>
  </si>
  <si>
    <t>Sulfo-PG-Archaeol(25:0_25:0)</t>
  </si>
  <si>
    <t>C56H115O11PS</t>
  </si>
  <si>
    <t>1S/C56H115O11PS/c1-45(2)21-13-23-47(5)25-15-27-49(7)29-17-31-51(9)33-19-35-53(11)37-39-63-43-56(44-66-68(58,59)65-41-55(57)42-67-69(60,61)62)64-40-38-54(12)36-20-34-52(10)32-18-30-50(8)28-16-26-48(6)24-14-22-46(3)4/h45-57H,13-44H2,1-12H3,(H,58,59)(H,60,61,62)/t47?,48?,49?,50?,51?,52?,53?,54?,55?,56-/m1/s1</t>
  </si>
  <si>
    <t>CC(C)CCCC(C)CCCC(C)CCCC(C)CCCC(C)CCOC[C@H](COP(O)(=O)OCC(O)COS(O)(=O)=O)OCCC(C)CCCC(C)CCCC(C)CCCC(C)CCCC(C)C</t>
  </si>
  <si>
    <t>HMSFJTNKFNCLCL-YSJWUCLDSA-N</t>
  </si>
  <si>
    <t>Sulfo-PG-Archaeol(25:0_25:1)</t>
  </si>
  <si>
    <t>C56H113O11PS</t>
  </si>
  <si>
    <t>1S/C56H113O11PS/c1-45(2)21-13-23-47(5)25-15-27-49(7)29-17-31-51(9)33-19-35-53(11)37-39-63-43-56(44-66-68(58,59)65-41-55(57)42-67-69(60,61)62)64-40-38-54(12)36-20-34-52(10)32-18-30-50(8)28-16-26-48(6)24-14-22-46(3)4/h38,45-53,55-57H,13-37,39-44H2,1-12H3,(H,58,59)(H,60,61,62)/b54-38+/t47?,48?,49?,50?,51?,52?,53?,55?,56-/m1/s1</t>
  </si>
  <si>
    <t>CC(C)CCCC(C)CCCC(C)CCCC(C)CCCC(C)CCOC[C@H](COP(O)(=O)OCC(O)COS(O)(=O)=O)OC\C=C(/C)CCCC(C)CCCC(C)CCCC(C)CCCC(C)C</t>
  </si>
  <si>
    <t>SNGSOWCGXCWSBC-VFEPTLENSA-N</t>
  </si>
  <si>
    <t>Sulfo-PG-Archaeol(25:0_25:2)</t>
  </si>
  <si>
    <t>C56H111O11PS</t>
  </si>
  <si>
    <t>1S/C56H111O11PS/c1-45(2)21-13-23-47(5)25-15-27-49(7)29-17-31-51(9)33-19-35-53(11)37-39-63-43-56(44-66-68(58,59)65-41-55(57)42-67-69(60,61)62)64-40-38-54(12)36-20-34-52(10)32-18-30-50(8)28-16-26-48(6)24-14-22-46(3)4/h34,38,45-51,53,55-57H,13-33,35-37,39-44H2,1-12H3,(H,58,59)(H,60,61,62)/b52-34+,54-38+/t47?,48?,49?,50?,51?,53?,55?,56-/m1/s1</t>
  </si>
  <si>
    <t>CC(C)CCCC(C)CCCC(C)CCCC(C)CCCC(C)CCOC[C@H](COP(O)(=O)OCC(O)COS(O)(=O)=O)OC\C=C(/C)CC\C=C(/C)CCCC(C)CCCC(C)CCCC(C)C</t>
  </si>
  <si>
    <t>CQAFQFDTQFYSID-VSBBKOASSA-N</t>
  </si>
  <si>
    <t>Sulfo-PG-Archaeol(25:0_25:3)</t>
  </si>
  <si>
    <t>C56H109O11PS</t>
  </si>
  <si>
    <t>1S/C56H109O11PS/c1-45(2)21-13-23-47(5)25-15-27-49(7)29-17-31-51(9)33-19-35-53(11)37-39-63-43-56(44-66-68(58,59)65-41-55(57)42-67-69(60,61)62)64-40-38-54(12)36-20-34-52(10)32-18-30-50(8)28-16-26-48(6)24-14-22-46(3)4/h30,34,38,45-49,51,53,55-57H,13-29,31-33,35-37,39-44H2,1-12H3,(H,58,59)(H,60,61,62)/b50-30+,52-34+,54-38+/t47?,48?,49?,51?,53?,55?,56-/m1/s1</t>
  </si>
  <si>
    <t>CC(C)CCCC(C)CCCC(C)CCCC(C)CCCC(C)CCOC[C@H](COP(O)(=O)OCC(O)COS(O)(=O)=O)OC\C=C(/C)CC\C=C(/C)CC\C=C(/C)CCCC(C)CCCC(C)C</t>
  </si>
  <si>
    <t>HBKZTFRNVWZLLJ-LKNTZGAESA-N</t>
  </si>
  <si>
    <t>Sulfo-PG-Archaeol(25:0_25:4)</t>
  </si>
  <si>
    <t>C56H107O11PS</t>
  </si>
  <si>
    <t>1S/C56H107O11PS/c1-45(2)21-13-23-47(5)25-15-27-49(7)29-17-31-51(9)33-19-35-53(11)37-39-63-43-56(44-66-68(58,59)65-41-55(57)42-67-69(60,61)62)64-40-38-54(12)36-20-34-52(10)32-18-30-50(8)28-16-26-48(6)24-14-22-46(3)4/h26,30,34,38,45-47,49,51,53,55-57H,13-25,27-29,31-33,35-37,39-44H2,1-12H3,(H,58,59)(H,60,61,62)/b48-26+,50-30+,52-34+,54-38+/t47?,49?,51?,53?,55?,56-/m1/s1</t>
  </si>
  <si>
    <t>CC(C)CCCC(C)CCCC(C)CCCC(C)CCCC(C)CCOC[C@H](COP(O)(=O)OCC(O)COS(O)(=O)=O)OC\C=C(/C)CC\C=C(/C)CC\C=C(/C)CC\C=C(/C)CCCC(C)C</t>
  </si>
  <si>
    <t>VFHOPKVAYSUJMM-QBNMSKPOSA-N</t>
  </si>
  <si>
    <t>Archaeol</t>
    <phoneticPr fontId="10" type="noConversion"/>
  </si>
  <si>
    <t>Yoshinaga, M. Y., et al. (2011). "Systematic fragmentation patterns of archaeal intact polar lipids by high-performance liquid chromatography/electrospray ionization ion-trap mass spectrometry." Rapid Communications in Mass Spectrometry 25(23): 3563-3574.</t>
  </si>
  <si>
    <t>PG-Archaeol</t>
  </si>
  <si>
    <t>Sulfo-PG-Archaeol</t>
  </si>
  <si>
    <t>C3H9O6P</t>
  </si>
  <si>
    <t>C3H9O9PS</t>
  </si>
  <si>
    <t>Head</t>
    <phoneticPr fontId="6" type="noConversion"/>
  </si>
  <si>
    <t>Reference</t>
    <phoneticPr fontId="6" type="noConversion"/>
  </si>
  <si>
    <t>Headmo</t>
    <phoneticPr fontId="6" type="noConversion"/>
  </si>
  <si>
    <t>contactmol</t>
    <phoneticPr fontId="6" type="noConversion"/>
  </si>
  <si>
    <t>H2O</t>
    <phoneticPr fontId="6" type="noConversion"/>
  </si>
  <si>
    <t>Formula</t>
    <phoneticPr fontId="9" type="noConversion"/>
  </si>
  <si>
    <t>Sulfo-PG</t>
    <phoneticPr fontId="9" type="noConversion"/>
  </si>
  <si>
    <t>Sulfo-PG</t>
  </si>
  <si>
    <t>LogP</t>
  </si>
  <si>
    <t>IUPAC</t>
  </si>
  <si>
    <t>Head</t>
    <phoneticPr fontId="9" type="noConversion"/>
  </si>
  <si>
    <t>Chainloss-H2O</t>
    <phoneticPr fontId="9" type="noConversion"/>
  </si>
  <si>
    <t>Confidence</t>
    <phoneticPr fontId="9" type="noConversion"/>
  </si>
  <si>
    <t>Name</t>
    <phoneticPr fontId="6" type="noConversion"/>
  </si>
  <si>
    <t>Formula</t>
    <phoneticPr fontId="6" type="noConversion"/>
  </si>
  <si>
    <t>RT</t>
    <phoneticPr fontId="6" type="noConversion"/>
  </si>
  <si>
    <t>RT</t>
    <phoneticPr fontId="9" type="noConversion"/>
  </si>
  <si>
    <t>SMILES</t>
    <phoneticPr fontId="6" type="noConversion"/>
  </si>
  <si>
    <t>SMILES</t>
    <phoneticPr fontId="10" type="noConversion"/>
  </si>
  <si>
    <t>SMILES</t>
    <phoneticPr fontId="9" type="noConversion"/>
  </si>
  <si>
    <t>InChI</t>
    <phoneticPr fontId="6" type="noConversion"/>
  </si>
  <si>
    <t>InChI</t>
    <phoneticPr fontId="9" type="noConversion"/>
  </si>
  <si>
    <t>InChIKey</t>
    <phoneticPr fontId="6" type="noConversion"/>
  </si>
  <si>
    <t>InChIKey</t>
    <phoneticPr fontId="9" type="noConversion"/>
  </si>
  <si>
    <t>CCS</t>
    <phoneticPr fontId="6" type="noConversion"/>
  </si>
  <si>
    <t>CCS</t>
    <phoneticPr fontId="9" type="noConversion"/>
  </si>
  <si>
    <t>Positive</t>
    <phoneticPr fontId="9" type="noConversion"/>
  </si>
  <si>
    <t>Compound class</t>
    <phoneticPr fontId="9" type="noConversion"/>
  </si>
  <si>
    <t>IonMode</t>
    <phoneticPr fontId="9" type="noConversion"/>
  </si>
  <si>
    <t>P-Chainloss-H2O</t>
  </si>
  <si>
    <t>P-SN1</t>
  </si>
  <si>
    <t>P-SN2</t>
  </si>
  <si>
    <t>P-SN1-1</t>
  </si>
  <si>
    <t>P-SN1-2</t>
  </si>
  <si>
    <t>P-SN1-3</t>
  </si>
  <si>
    <t>P-SN1-4</t>
  </si>
  <si>
    <t>P-SN1-5</t>
  </si>
  <si>
    <t>P-SN1-6</t>
  </si>
  <si>
    <t>P-SN1-7</t>
  </si>
  <si>
    <t>P-SN1-8</t>
  </si>
  <si>
    <t>P-SN1-9</t>
  </si>
  <si>
    <t>P-SN1-10</t>
  </si>
  <si>
    <t>P-SN1-11</t>
  </si>
  <si>
    <t>P-SN1-12</t>
  </si>
  <si>
    <t>P-SN1-13</t>
  </si>
  <si>
    <t>P-SN1-14</t>
  </si>
  <si>
    <t>P-SN1-15</t>
  </si>
  <si>
    <t>P-SN1-16</t>
  </si>
  <si>
    <t>P-SN1-17</t>
  </si>
  <si>
    <t>P-SN1-18</t>
  </si>
  <si>
    <t>P-SN1-19</t>
  </si>
  <si>
    <t>P-SN1-20</t>
  </si>
  <si>
    <t>P-SN1-21</t>
  </si>
  <si>
    <t>P-SN1-22</t>
  </si>
  <si>
    <t>P-SN1-23</t>
  </si>
  <si>
    <t>P-SN1-24</t>
  </si>
  <si>
    <t>P-SN1-25</t>
  </si>
  <si>
    <t>P-SN1-26</t>
  </si>
  <si>
    <t>P-SN1-27</t>
  </si>
  <si>
    <t>P-SN1-28</t>
  </si>
  <si>
    <t>P-SN1-29</t>
  </si>
  <si>
    <t>P-SN1-30</t>
  </si>
  <si>
    <t>P-SN1-31</t>
  </si>
  <si>
    <t>P-SN1-32</t>
  </si>
  <si>
    <t>P-SN1-33</t>
  </si>
  <si>
    <t>P-SN1-34</t>
  </si>
  <si>
    <t>P-SN1-35</t>
  </si>
  <si>
    <t>P-SN1-36</t>
  </si>
  <si>
    <t>P-SN1-37</t>
  </si>
  <si>
    <t>P-SN1-38</t>
  </si>
  <si>
    <t>P-SN1-39</t>
  </si>
  <si>
    <t>P-SN1-40</t>
  </si>
  <si>
    <t>P-SN1-41</t>
  </si>
  <si>
    <t>P-SN1-42</t>
  </si>
  <si>
    <t>P-SN1-43</t>
  </si>
  <si>
    <t>P-SN1-44</t>
  </si>
  <si>
    <t>P-SN1-45</t>
  </si>
  <si>
    <t>P-SN1-46</t>
  </si>
  <si>
    <t>P-SN1-47</t>
  </si>
  <si>
    <t>P-SN1-48</t>
  </si>
  <si>
    <t>P-SN1-49</t>
  </si>
  <si>
    <t>P-SN1-50</t>
  </si>
  <si>
    <t>P-SN1-51</t>
  </si>
  <si>
    <t>P-SN1-52</t>
  </si>
  <si>
    <t>P-SN1-53</t>
  </si>
  <si>
    <t>P-SN1-54</t>
  </si>
  <si>
    <t>P-SN1-55</t>
  </si>
  <si>
    <t>P-SN1-56</t>
  </si>
  <si>
    <t>P-SN1-57</t>
  </si>
  <si>
    <t>P-SN1-58</t>
  </si>
  <si>
    <t>P-SN1-59</t>
  </si>
  <si>
    <t>P-SN1-60</t>
  </si>
  <si>
    <t>P-SN1-61</t>
  </si>
  <si>
    <t>P-SN1-62</t>
  </si>
  <si>
    <t>P-SN1-63</t>
  </si>
  <si>
    <t>P-SN1-64</t>
  </si>
  <si>
    <t>P-SN1-65</t>
  </si>
  <si>
    <t>P-SN1-66</t>
  </si>
  <si>
    <t>P-SN1-67</t>
  </si>
  <si>
    <t>P-SN1-68</t>
  </si>
  <si>
    <t>P-SN2-1</t>
  </si>
  <si>
    <t>P-SN2-2</t>
  </si>
  <si>
    <t>P-SN2-3</t>
  </si>
  <si>
    <t>P-SN2-4</t>
  </si>
  <si>
    <t>P-SN2-5</t>
  </si>
  <si>
    <t>P-SN2-6</t>
  </si>
  <si>
    <t>P-SN2-7</t>
  </si>
  <si>
    <t>P-SN2-8</t>
  </si>
  <si>
    <t>P-SN2-9</t>
  </si>
  <si>
    <t>P-SN2-10</t>
  </si>
  <si>
    <t>P-SN2-11</t>
  </si>
  <si>
    <t>P-SN2-12</t>
  </si>
  <si>
    <t>P-SN2-13</t>
  </si>
  <si>
    <t>P-SN2-14</t>
  </si>
  <si>
    <t>P-SN2-15</t>
  </si>
  <si>
    <t>P-SN2-16</t>
  </si>
  <si>
    <t>P-SN2-17</t>
  </si>
  <si>
    <t>P-SN2-18</t>
  </si>
  <si>
    <t>P-SN2-19</t>
  </si>
  <si>
    <t>P-SN2-20</t>
  </si>
  <si>
    <t>P-SN2-21</t>
  </si>
  <si>
    <t>P-SN2-22</t>
  </si>
  <si>
    <t>P-SN2-23</t>
  </si>
  <si>
    <t>P-SN2-24</t>
  </si>
  <si>
    <t>P-SN2-25</t>
  </si>
  <si>
    <t>P-SN2-26</t>
  </si>
  <si>
    <t>P-SN2-27</t>
  </si>
  <si>
    <t>P-SN2-28</t>
  </si>
  <si>
    <t>P-SN2-29</t>
  </si>
  <si>
    <t>P-SN2-30</t>
  </si>
  <si>
    <t>P-SN2-31</t>
  </si>
  <si>
    <t>P-SN2-32</t>
  </si>
  <si>
    <t>P-SN2-33</t>
  </si>
  <si>
    <t>P-SN2-34</t>
  </si>
  <si>
    <t>P-SN2-35</t>
  </si>
  <si>
    <t>P-SN2-36</t>
  </si>
  <si>
    <t>P-SN2-37</t>
  </si>
  <si>
    <t>P-SN2-38</t>
  </si>
  <si>
    <t>P-SN2-39</t>
  </si>
  <si>
    <t>P-SN2-40</t>
  </si>
  <si>
    <t>P-SN2-41</t>
  </si>
  <si>
    <t>P-SN2-42</t>
  </si>
  <si>
    <t>P-SN2-43</t>
  </si>
  <si>
    <t>P-SN2-44</t>
  </si>
  <si>
    <t>P-SN2-45</t>
  </si>
  <si>
    <t>P-SN2-46</t>
  </si>
  <si>
    <t>P-SN2-47</t>
  </si>
  <si>
    <t>P-SN2-48</t>
  </si>
  <si>
    <t>P-SN2-49</t>
  </si>
  <si>
    <t>P-SN2-50</t>
  </si>
  <si>
    <t>P-SN2-51</t>
  </si>
  <si>
    <t>P-SN2-52</t>
  </si>
  <si>
    <t>P-SN2-53</t>
  </si>
  <si>
    <t>P-SN2-54</t>
  </si>
  <si>
    <t>P-SN2-55</t>
  </si>
  <si>
    <t>P-SN2-56</t>
  </si>
  <si>
    <t>P-SN2-57</t>
  </si>
  <si>
    <t>P-SN2-58</t>
  </si>
  <si>
    <t>P-SN2-59</t>
  </si>
  <si>
    <t>P-SN2-60</t>
  </si>
  <si>
    <t>P-SN2-61</t>
  </si>
  <si>
    <t>P-SN2-62</t>
  </si>
  <si>
    <t>P-SN2-63</t>
  </si>
  <si>
    <t>P-SN2-64</t>
  </si>
  <si>
    <t>P-SN2-65</t>
  </si>
  <si>
    <t>P-SN2-66</t>
  </si>
  <si>
    <t>P-SN2-67</t>
  </si>
  <si>
    <t>P-SN2-68</t>
  </si>
  <si>
    <t>P-Head</t>
  </si>
  <si>
    <t>886.6332720466</t>
  </si>
  <si>
    <t>884.6176219822</t>
  </si>
  <si>
    <t>882.6019719178</t>
  </si>
  <si>
    <t>880.5863218534</t>
  </si>
  <si>
    <t>878.570671789</t>
  </si>
  <si>
    <t>876.5550217246</t>
  </si>
  <si>
    <t>874.5393716602</t>
  </si>
  <si>
    <t>872.5237215958</t>
  </si>
  <si>
    <t>870.5080715314</t>
  </si>
  <si>
    <t>1026.7897726906</t>
  </si>
  <si>
    <t>1024.7741226262</t>
  </si>
  <si>
    <t>1022.7584725618</t>
  </si>
  <si>
    <t>1020.7428224974</t>
  </si>
  <si>
    <t>1018.727172433</t>
  </si>
  <si>
    <t>806.6764570142</t>
  </si>
  <si>
    <t>804.6608069498</t>
  </si>
  <si>
    <t>802.6451568854</t>
  </si>
  <si>
    <t>800.629506821</t>
  </si>
  <si>
    <t>798.6138567566</t>
  </si>
  <si>
    <t>796.5982066922</t>
  </si>
  <si>
    <t>794.5825566278</t>
  </si>
  <si>
    <t>792.5669065634</t>
  </si>
  <si>
    <t>790.551256499</t>
  </si>
  <si>
    <t>946.8329576582</t>
  </si>
  <si>
    <t>944.8173075938</t>
  </si>
  <si>
    <t>942.8016575294</t>
  </si>
  <si>
    <t>940.786007465</t>
  </si>
  <si>
    <t>938.7703574006</t>
  </si>
  <si>
    <t>652.6733466924</t>
  </si>
  <si>
    <t>93.0551691486</t>
  </si>
  <si>
    <t>650.657696628</t>
  </si>
  <si>
    <t>648.6420465636</t>
  </si>
  <si>
    <t>646.6263964992</t>
  </si>
  <si>
    <t>644.6107464348</t>
  </si>
  <si>
    <t>642.5950963704</t>
  </si>
  <si>
    <t>640.579446306</t>
  </si>
  <si>
    <t>638.5637962416</t>
  </si>
  <si>
    <t>636.5481461772</t>
  </si>
  <si>
    <t>792.8298473364</t>
  </si>
  <si>
    <t>790.814197272</t>
  </si>
  <si>
    <t>788.7985472076</t>
  </si>
  <si>
    <t>786.7828971432</t>
  </si>
  <si>
    <t>784.7672470788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</si>
</sst>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(&quot;$&quot;* #,##0.00_);_(&quot;$&quot;* \(#,##0.00\);_(&quot;$&quot;* &quot;-&quot;??_);_(@_)"/>
    <numFmt numFmtId="176" formatCode="0.00000"/>
    <numFmt numFmtId="177" formatCode="0.0000"/>
    <numFmt numFmtId="178" formatCode="0.0000_);[Red]\(0.0000\)"/>
    <numFmt numFmtId="179" formatCode="0_);[Red]\(0\)"/>
    <numFmt numFmtId="180" formatCode="0.00_ "/>
  </numFmts>
  <fonts count="17" x14ac:knownFonts="1">
    <font>
      <sz val="10"/>
      <name val="Arial"/>
      <family val="2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8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Arial"/>
      <family val="2"/>
    </font>
    <font>
      <sz val="11"/>
      <name val="Arial"/>
      <family val="2"/>
    </font>
    <font>
      <b/>
      <sz val="11"/>
      <color indexed="8"/>
      <name val="Arial"/>
      <family val="2"/>
    </font>
    <font>
      <b/>
      <sz val="11"/>
      <name val="Arial"/>
      <family val="2"/>
    </font>
    <font>
      <sz val="11"/>
      <color indexed="8"/>
      <name val="Arial"/>
      <family val="2"/>
    </font>
    <font>
      <b/>
      <sz val="11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theme="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4">
    <xf numFmtId="0" fontId="0" fillId="0" borderId="0"/>
    <xf numFmtId="0" fontId="5" fillId="0" borderId="0"/>
    <xf numFmtId="44" fontId="5" fillId="0" borderId="0" applyFont="0" applyFill="0" applyBorder="0" applyAlignment="0" applyProtection="0">
      <alignment vertical="center"/>
    </xf>
    <xf numFmtId="0" fontId="4" fillId="0" borderId="0"/>
    <xf numFmtId="0" fontId="3" fillId="0" borderId="0"/>
    <xf numFmtId="0" fontId="2" fillId="0" borderId="0"/>
    <xf numFmtId="0" fontId="8" fillId="0" borderId="0"/>
    <xf numFmtId="0" fontId="2" fillId="0" borderId="0"/>
    <xf numFmtId="44" fontId="2" fillId="0" borderId="0" applyFont="0" applyFill="0" applyBorder="0" applyAlignment="0" applyProtection="0">
      <alignment vertical="center"/>
    </xf>
    <xf numFmtId="0" fontId="2" fillId="0" borderId="0"/>
    <xf numFmtId="0" fontId="2" fillId="0" borderId="0"/>
    <xf numFmtId="0" fontId="1" fillId="0" borderId="0"/>
    <xf numFmtId="0" fontId="8" fillId="0" borderId="0"/>
    <xf numFmtId="0" fontId="1" fillId="0" borderId="0"/>
    <xf numFmtId="44" fontId="1" fillId="0" borderId="0" applyFont="0" applyFill="0" applyBorder="0" applyAlignment="0" applyProtection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>
      <alignment vertical="center"/>
    </xf>
    <xf numFmtId="0" fontId="1" fillId="0" borderId="0"/>
    <xf numFmtId="0" fontId="1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8" fillId="0" borderId="0"/>
  </cellStyleXfs>
  <cellXfs count="33">
    <xf numFmtId="0" fontId="0" fillId="0" borderId="0" xfId="0"/>
    <xf numFmtId="179" fontId="0" fillId="0" borderId="0" xfId="0" applyNumberFormat="1"/>
    <xf numFmtId="0" fontId="12" fillId="0" borderId="0" xfId="0" applyFont="1"/>
    <xf numFmtId="0" fontId="12" fillId="0" borderId="0" xfId="0" applyFont="1" applyAlignment="1">
      <alignment vertical="top"/>
    </xf>
    <xf numFmtId="0" fontId="0" fillId="0" borderId="0" xfId="0" applyAlignment="1">
      <alignment vertical="top"/>
    </xf>
    <xf numFmtId="179" fontId="12" fillId="0" borderId="0" xfId="0" applyNumberFormat="1" applyFont="1" applyAlignment="1">
      <alignment vertical="top"/>
    </xf>
    <xf numFmtId="177" fontId="12" fillId="0" borderId="0" xfId="0" applyNumberFormat="1" applyFont="1" applyAlignment="1">
      <alignment vertical="top"/>
    </xf>
    <xf numFmtId="0" fontId="13" fillId="0" borderId="0" xfId="0" applyFont="1" applyAlignment="1">
      <alignment vertical="top"/>
    </xf>
    <xf numFmtId="176" fontId="13" fillId="0" borderId="0" xfId="0" applyNumberFormat="1" applyFont="1" applyAlignment="1">
      <alignment vertical="top"/>
    </xf>
    <xf numFmtId="0" fontId="13" fillId="0" borderId="0" xfId="18" applyFont="1" applyAlignment="1">
      <alignment vertical="top"/>
    </xf>
    <xf numFmtId="0" fontId="13" fillId="0" borderId="0" xfId="0" applyFont="1" applyAlignment="1">
      <alignment horizontal="left" vertical="top"/>
    </xf>
    <xf numFmtId="0" fontId="13" fillId="7" borderId="1" xfId="0" applyFont="1" applyFill="1" applyBorder="1" applyAlignment="1">
      <alignment vertical="top"/>
    </xf>
    <xf numFmtId="0" fontId="13" fillId="2" borderId="0" xfId="0" applyFont="1" applyFill="1" applyAlignment="1">
      <alignment vertical="top"/>
    </xf>
    <xf numFmtId="0" fontId="13" fillId="3" borderId="0" xfId="0" applyFont="1" applyFill="1" applyAlignment="1">
      <alignment vertical="top"/>
    </xf>
    <xf numFmtId="0" fontId="13" fillId="3" borderId="0" xfId="0" quotePrefix="1" applyFont="1" applyFill="1" applyAlignment="1">
      <alignment vertical="top"/>
    </xf>
    <xf numFmtId="0" fontId="14" fillId="0" borderId="0" xfId="0" applyFont="1" applyAlignment="1">
      <alignment vertical="top"/>
    </xf>
    <xf numFmtId="0" fontId="15" fillId="0" borderId="0" xfId="0" applyFont="1" applyAlignment="1">
      <alignment vertical="top"/>
    </xf>
    <xf numFmtId="178" fontId="15" fillId="0" borderId="0" xfId="0" applyNumberFormat="1" applyFont="1" applyAlignment="1">
      <alignment vertical="top"/>
    </xf>
    <xf numFmtId="179" fontId="11" fillId="0" borderId="0" xfId="0" applyNumberFormat="1" applyFont="1" applyAlignment="1">
      <alignment vertical="top"/>
    </xf>
    <xf numFmtId="179" fontId="16" fillId="0" borderId="0" xfId="0" applyNumberFormat="1" applyFont="1" applyAlignment="1">
      <alignment vertical="top"/>
    </xf>
    <xf numFmtId="0" fontId="16" fillId="2" borderId="0" xfId="0" applyFont="1" applyFill="1" applyAlignment="1">
      <alignment vertical="top"/>
    </xf>
    <xf numFmtId="0" fontId="16" fillId="6" borderId="0" xfId="0" applyFont="1" applyFill="1" applyAlignment="1">
      <alignment vertical="top"/>
    </xf>
    <xf numFmtId="0" fontId="16" fillId="5" borderId="0" xfId="0" applyFont="1" applyFill="1" applyAlignment="1">
      <alignment vertical="top"/>
    </xf>
    <xf numFmtId="0" fontId="16" fillId="4" borderId="0" xfId="0" quotePrefix="1" applyFont="1" applyFill="1" applyAlignment="1">
      <alignment vertical="top"/>
    </xf>
    <xf numFmtId="0" fontId="16" fillId="4" borderId="0" xfId="0" applyFont="1" applyFill="1" applyAlignment="1">
      <alignment vertical="top"/>
    </xf>
    <xf numFmtId="0" fontId="16" fillId="3" borderId="0" xfId="0" applyFont="1" applyFill="1" applyAlignment="1">
      <alignment vertical="top"/>
    </xf>
    <xf numFmtId="0" fontId="11" fillId="0" borderId="0" xfId="0" applyFont="1" applyAlignment="1">
      <alignment vertical="top"/>
    </xf>
    <xf numFmtId="179" fontId="15" fillId="0" borderId="0" xfId="0" applyNumberFormat="1" applyFont="1" applyAlignment="1">
      <alignment vertical="top"/>
    </xf>
    <xf numFmtId="0" fontId="11" fillId="0" borderId="0" xfId="0" applyFont="1" applyAlignment="1">
      <alignment horizontal="left" vertical="top"/>
    </xf>
    <xf numFmtId="0" fontId="11" fillId="0" borderId="0" xfId="18" applyFont="1" applyAlignment="1">
      <alignment vertical="top"/>
    </xf>
    <xf numFmtId="180" fontId="11" fillId="0" borderId="0" xfId="18" applyNumberFormat="1" applyFont="1" applyAlignment="1">
      <alignment vertical="top"/>
    </xf>
    <xf numFmtId="180" fontId="11" fillId="0" borderId="0" xfId="0" applyNumberFormat="1" applyFont="1" applyAlignment="1">
      <alignment horizontal="left" vertical="top"/>
    </xf>
    <xf numFmtId="178" fontId="12" fillId="0" borderId="0" xfId="0" applyNumberFormat="1" applyFont="1" applyAlignment="1">
      <alignment vertical="top"/>
    </xf>
  </cellXfs>
  <cellStyles count="24">
    <cellStyle name="常规" xfId="0" builtinId="0"/>
    <cellStyle name="常规 2" xfId="1" xr:uid="{F5943C16-8E68-4D23-B424-17968F357BBA}"/>
    <cellStyle name="常规 2 2" xfId="7" xr:uid="{4CF18635-8920-4065-BF12-38B816334F14}"/>
    <cellStyle name="常规 2 2 2" xfId="18" xr:uid="{E576B5B3-4FDE-4200-8F15-A1B1B5EBF5F8}"/>
    <cellStyle name="常规 2 3" xfId="13" xr:uid="{D7A2AEB3-E991-49EB-A902-23A58650F649}"/>
    <cellStyle name="常规 3" xfId="3" xr:uid="{40F837F9-B94D-40F3-8700-25FA8345BF43}"/>
    <cellStyle name="常规 3 2" xfId="9" xr:uid="{2AA7A535-58C9-4FE3-8B79-E19785260709}"/>
    <cellStyle name="常规 3 2 2" xfId="20" xr:uid="{B7108264-DB16-422A-94C7-20DAC75B5BD7}"/>
    <cellStyle name="常规 3 3" xfId="15" xr:uid="{74A697AF-C497-42A5-9AF2-2C273F89ABA5}"/>
    <cellStyle name="常规 4" xfId="4" xr:uid="{6B27087E-8AD8-47C4-94F8-5ED8DC5F4B8B}"/>
    <cellStyle name="常规 4 2" xfId="10" xr:uid="{B23E6279-0C8C-47CC-BBAB-F0C1876C2D3E}"/>
    <cellStyle name="常规 4 2 2" xfId="21" xr:uid="{825E127A-29DE-412D-AD31-6798FC7614EE}"/>
    <cellStyle name="常规 4 3" xfId="16" xr:uid="{20CE02CC-42DB-4400-90AB-362FCB9609DE}"/>
    <cellStyle name="常规 5" xfId="6" xr:uid="{C7AEC7DA-99FD-490C-9051-DA1D4DDA11EE}"/>
    <cellStyle name="常规 6" xfId="5" xr:uid="{93D66E36-864F-441E-9DBC-42934B213250}"/>
    <cellStyle name="常规 6 2" xfId="17" xr:uid="{4F5F51AD-0F97-40DA-A63D-55647D89C292}"/>
    <cellStyle name="常规 7" xfId="12" xr:uid="{FAAFCB12-8B51-4C8A-91CB-2805F06D614F}"/>
    <cellStyle name="常规 8" xfId="11" xr:uid="{C66F6DD7-E28E-4C2D-9114-AA402CAFFE34}"/>
    <cellStyle name="常规 9" xfId="23" xr:uid="{FBC29DCF-23DD-4721-963F-9FFD61E21582}"/>
    <cellStyle name="货币 2" xfId="2" xr:uid="{FB1DD25D-AFDB-47B6-8E18-61849E442A65}"/>
    <cellStyle name="货币 2 2" xfId="8" xr:uid="{A25358AE-1F56-422F-BE39-258D76570CDA}"/>
    <cellStyle name="货币 2 2 2" xfId="19" xr:uid="{FCBC76A2-61DE-40CD-8B39-18F19827EC35}"/>
    <cellStyle name="货币 2 3" xfId="14" xr:uid="{1F109AA9-86A2-421F-A727-EA2721C6919A}"/>
    <cellStyle name="超链接 2" xfId="22" xr:uid="{1EA7F154-4D75-4CC0-9ACB-3E8863F498C9}"/>
  </cellStyles>
  <dxfs count="691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0" formatCode="General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8" formatCode="0.0000_);[Red]\(0.0000\)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8" formatCode="0.0000_);[Red]\(0.0000\)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8" formatCode="0.0000_);[Red]\(0.0000\)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8" formatCode="0.0000_);[Red]\(0.0000\)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8" formatCode="0.0000_);[Red]\(0.0000\)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8" formatCode="0.0000_);[Red]\(0.0000\)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8" formatCode="0.0000_);[Red]\(0.0000\)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8" formatCode="0.0000_);[Red]\(0.0000\)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8" formatCode="0.0000_);[Red]\(0.0000\)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8" formatCode="0.0000_);[Red]\(0.0000\)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9" formatCode="0_);[Red]\(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9" formatCode="0_);[Red]\(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9" formatCode="0_);[Red]\(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9" formatCode="0_);[Red]\(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9" formatCode="0_);[Red]\(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9" formatCode="0_);[Red]\(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9" formatCode="0_);[Red]\(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9" formatCode="0_);[Red]\(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9" formatCode="0_);[Red]\(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9" formatCode="0_);[Red]\(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9" formatCode="0_);[Red]\(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80" formatCode="0.00_ 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0" formatCode="0.00_ 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9" formatCode="0_);[Red]\(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9" formatCode="0_);[Red]\(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9" formatCode="0_);[Red]\(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9" formatCode="0_);[Red]\(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9" formatCode="0_);[Red]\(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0" formatCode="General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8" formatCode="0.0000_);[Red]\(0.0000\)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8" formatCode="0.0000_);[Red]\(0.0000\)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8" formatCode="0.0000_);[Red]\(0.0000\)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8" formatCode="0.0000_);[Red]\(0.0000\)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8" formatCode="0.0000_);[Red]\(0.0000\)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8" formatCode="0.0000_);[Red]\(0.0000\)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8" formatCode="0.0000_);[Red]\(0.0000\)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8" formatCode="0.0000_);[Red]\(0.0000\)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8" formatCode="0.0000_);[Red]\(0.0000\)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8" formatCode="0.0000_);[Red]\(0.0000\)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9" formatCode="0_);[Red]\(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9" formatCode="0_);[Red]\(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9" formatCode="0_);[Red]\(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9" formatCode="0_);[Red]\(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9" formatCode="0_);[Red]\(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9" formatCode="0_);[Red]\(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9" formatCode="0_);[Red]\(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9" formatCode="0_);[Red]\(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9" formatCode="0_);[Red]\(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9" formatCode="0_);[Red]\(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9" formatCode="0_);[Red]\(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80" formatCode="0.00_ 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0" formatCode="0.00_ 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9" formatCode="0_);[Red]\(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9" formatCode="0_);[Red]\(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9" formatCode="0_);[Red]\(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79" formatCode="0_);[Red]\(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9" formatCode="0_);[Red]\(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78" formatCode="0.0000_);[Red]\(0.0000\)"/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alignment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top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7A158B7E-D4D3-4D7B-8B17-96A58DB47C8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28575</xdr:colOff>
      <xdr:row>1</xdr:row>
      <xdr:rowOff>9525</xdr:rowOff>
    </xdr:to>
    <xdr:sp macro="" textlink="">
      <xdr:nvSpPr>
        <xdr:cNvPr id="67585" name="CommandButton1" hidden="1">
          <a:extLst>
            <a:ext uri="{63B3BB69-23CF-44E3-9099-C40C66FF867C}">
              <a14:compatExt xmlns:a14="http://schemas.microsoft.com/office/drawing/2010/main" spid="_x0000_s67585"/>
            </a:ext>
            <a:ext uri="{FF2B5EF4-FFF2-40B4-BE49-F238E27FC236}">
              <a16:creationId xmlns:a16="http://schemas.microsoft.com/office/drawing/2014/main" id="{00000000-0008-0000-0200-00000108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28575</xdr:colOff>
      <xdr:row>1</xdr:row>
      <xdr:rowOff>9525</xdr:rowOff>
    </xdr:to>
    <xdr:pic>
      <xdr:nvPicPr>
        <xdr:cNvPr id="3" name="CommandButton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0175" y="1457325"/>
          <a:ext cx="285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表1" backgroundRefresh="0" connectionId="1" xr16:uid="{C82B4E0F-C829-45AB-98B0-21D883C0BDED}" autoFormatId="16" applyNumberFormats="0" applyBorderFormats="0" applyFontFormats="0" applyPatternFormats="0" applyAlignmentFormats="0" applyWidthHeightFormats="0">
  <queryTableRefresh nextId="341" unboundColumnsRight="335">
    <queryTableFields count="336">
      <queryTableField id="1" name="CdId" tableColumnId="1"/>
      <queryTableField id="2" dataBound="0" tableColumnId="2"/>
      <queryTableField id="3" dataBound="0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20" dataBound="0" tableColumnId="317"/>
      <queryTableField id="326" dataBound="0" tableColumnId="325"/>
      <queryTableField id="30" dataBound="0" tableColumnId="30"/>
      <queryTableField id="319" dataBound="0" tableColumnId="318"/>
      <queryTableField id="318" dataBound="0" tableColumnId="319"/>
      <queryTableField id="317" dataBound="0" tableColumnId="320"/>
      <queryTableField id="331" dataBound="0" tableColumnId="330"/>
      <queryTableField id="31" dataBound="0" tableColumnId="31"/>
      <queryTableField id="32" dataBound="0" tableColumnId="32"/>
      <queryTableField id="33" dataBound="0" tableColumnId="33"/>
      <queryTableField id="34" dataBound="0" tableColumnId="34"/>
      <queryTableField id="330" dataBound="0" tableColumnId="328"/>
      <queryTableField id="329" dataBound="0" tableColumnId="329"/>
      <queryTableField id="328" dataBound="0" tableColumnId="326"/>
      <queryTableField id="327" dataBound="0" tableColumnId="327"/>
      <queryTableField id="35" dataBound="0" tableColumnId="35"/>
      <queryTableField id="36" dataBound="0" tableColumnId="36"/>
      <queryTableField id="37" dataBound="0" tableColumnId="37"/>
      <queryTableField id="38" dataBound="0" tableColumnId="38"/>
      <queryTableField id="39" dataBound="0" tableColumnId="39"/>
      <queryTableField id="40" dataBound="0" tableColumnId="40"/>
      <queryTableField id="41" dataBound="0" tableColumnId="41"/>
      <queryTableField id="42" dataBound="0" tableColumnId="42"/>
      <queryTableField id="43" dataBound="0" tableColumnId="43"/>
      <queryTableField id="44" dataBound="0" tableColumnId="44"/>
      <queryTableField id="45" dataBound="0" tableColumnId="45"/>
      <queryTableField id="46" dataBound="0" tableColumnId="46"/>
      <queryTableField id="47" dataBound="0" tableColumnId="47"/>
      <queryTableField id="48" dataBound="0" tableColumnId="48"/>
      <queryTableField id="49" dataBound="0" tableColumnId="49"/>
      <queryTableField id="50" dataBound="0" tableColumnId="50"/>
      <queryTableField id="51" dataBound="0" tableColumnId="51"/>
      <queryTableField id="52" dataBound="0" tableColumnId="52"/>
      <queryTableField id="53" dataBound="0" tableColumnId="53"/>
      <queryTableField id="54" dataBound="0" tableColumnId="54"/>
      <queryTableField id="55" dataBound="0" tableColumnId="55"/>
      <queryTableField id="56" dataBound="0" tableColumnId="56"/>
      <queryTableField id="57" dataBound="0" tableColumnId="57"/>
      <queryTableField id="58" dataBound="0" tableColumnId="58"/>
      <queryTableField id="59" dataBound="0" tableColumnId="59"/>
      <queryTableField id="60" dataBound="0" tableColumnId="60"/>
      <queryTableField id="61" dataBound="0" tableColumnId="61"/>
      <queryTableField id="62" dataBound="0" tableColumnId="62"/>
      <queryTableField id="63" dataBound="0" tableColumnId="63"/>
      <queryTableField id="64" dataBound="0" tableColumnId="64"/>
      <queryTableField id="65" dataBound="0" tableColumnId="65"/>
      <queryTableField id="66" dataBound="0" tableColumnId="66"/>
      <queryTableField id="67" dataBound="0" tableColumnId="67"/>
      <queryTableField id="68" dataBound="0" tableColumnId="68"/>
      <queryTableField id="69" dataBound="0" tableColumnId="69"/>
      <queryTableField id="70" dataBound="0" tableColumnId="70"/>
      <queryTableField id="71" dataBound="0" tableColumnId="71"/>
      <queryTableField id="72" dataBound="0" tableColumnId="72"/>
      <queryTableField id="73" dataBound="0" tableColumnId="73"/>
      <queryTableField id="74" dataBound="0" tableColumnId="74"/>
      <queryTableField id="75" dataBound="0" tableColumnId="75"/>
      <queryTableField id="76" dataBound="0" tableColumnId="76"/>
      <queryTableField id="77" dataBound="0" tableColumnId="77"/>
      <queryTableField id="78" dataBound="0" tableColumnId="78"/>
      <queryTableField id="79" dataBound="0" tableColumnId="79"/>
      <queryTableField id="80" dataBound="0" tableColumnId="80"/>
      <queryTableField id="81" dataBound="0" tableColumnId="81"/>
      <queryTableField id="82" dataBound="0" tableColumnId="82"/>
      <queryTableField id="83" dataBound="0" tableColumnId="83"/>
      <queryTableField id="84" dataBound="0" tableColumnId="84"/>
      <queryTableField id="85" dataBound="0" tableColumnId="85"/>
      <queryTableField id="86" dataBound="0" tableColumnId="86"/>
      <queryTableField id="87" dataBound="0" tableColumnId="87"/>
      <queryTableField id="88" dataBound="0" tableColumnId="88"/>
      <queryTableField id="89" dataBound="0" tableColumnId="89"/>
      <queryTableField id="90" dataBound="0" tableColumnId="90"/>
      <queryTableField id="91" dataBound="0" tableColumnId="91"/>
      <queryTableField id="92" dataBound="0" tableColumnId="92"/>
      <queryTableField id="93" dataBound="0" tableColumnId="93"/>
      <queryTableField id="94" dataBound="0" tableColumnId="94"/>
      <queryTableField id="95" dataBound="0" tableColumnId="95"/>
      <queryTableField id="96" dataBound="0" tableColumnId="96"/>
      <queryTableField id="97" dataBound="0" tableColumnId="97"/>
      <queryTableField id="98" dataBound="0" tableColumnId="98"/>
      <queryTableField id="99" dataBound="0" tableColumnId="99"/>
      <queryTableField id="100" dataBound="0" tableColumnId="100"/>
      <queryTableField id="101" dataBound="0" tableColumnId="101"/>
      <queryTableField id="102" dataBound="0" tableColumnId="102"/>
      <queryTableField id="103" dataBound="0" tableColumnId="103"/>
      <queryTableField id="104" dataBound="0" tableColumnId="104"/>
      <queryTableField id="105" dataBound="0" tableColumnId="105"/>
      <queryTableField id="106" dataBound="0" tableColumnId="106"/>
      <queryTableField id="107" dataBound="0" tableColumnId="107"/>
      <queryTableField id="108" dataBound="0" tableColumnId="108"/>
      <queryTableField id="109" dataBound="0" tableColumnId="109"/>
      <queryTableField id="110" dataBound="0" tableColumnId="110"/>
      <queryTableField id="111" dataBound="0" tableColumnId="111"/>
      <queryTableField id="112" dataBound="0" tableColumnId="112"/>
      <queryTableField id="113" dataBound="0" tableColumnId="113"/>
      <queryTableField id="114" dataBound="0" tableColumnId="114"/>
      <queryTableField id="115" dataBound="0" tableColumnId="115"/>
      <queryTableField id="116" dataBound="0" tableColumnId="116"/>
      <queryTableField id="117" dataBound="0" tableColumnId="117"/>
      <queryTableField id="118" dataBound="0" tableColumnId="118"/>
      <queryTableField id="119" dataBound="0" tableColumnId="119"/>
      <queryTableField id="120" dataBound="0" tableColumnId="120"/>
      <queryTableField id="121" dataBound="0" tableColumnId="121"/>
      <queryTableField id="122" dataBound="0" tableColumnId="122"/>
      <queryTableField id="123" dataBound="0" tableColumnId="123"/>
      <queryTableField id="124" dataBound="0" tableColumnId="124"/>
      <queryTableField id="125" dataBound="0" tableColumnId="125"/>
      <queryTableField id="126" dataBound="0" tableColumnId="126"/>
      <queryTableField id="127" dataBound="0" tableColumnId="127"/>
      <queryTableField id="128" dataBound="0" tableColumnId="128"/>
      <queryTableField id="129" dataBound="0" tableColumnId="129"/>
      <queryTableField id="130" dataBound="0" tableColumnId="130"/>
      <queryTableField id="131" dataBound="0" tableColumnId="131"/>
      <queryTableField id="132" dataBound="0" tableColumnId="132"/>
      <queryTableField id="133" dataBound="0" tableColumnId="133"/>
      <queryTableField id="134" dataBound="0" tableColumnId="134"/>
      <queryTableField id="135" dataBound="0" tableColumnId="135"/>
      <queryTableField id="136" dataBound="0" tableColumnId="136"/>
      <queryTableField id="137" dataBound="0" tableColumnId="137"/>
      <queryTableField id="138" dataBound="0" tableColumnId="138"/>
      <queryTableField id="139" dataBound="0" tableColumnId="139"/>
      <queryTableField id="140" dataBound="0" tableColumnId="140"/>
      <queryTableField id="141" dataBound="0" tableColumnId="141"/>
      <queryTableField id="142" dataBound="0" tableColumnId="142"/>
      <queryTableField id="143" dataBound="0" tableColumnId="143"/>
      <queryTableField id="144" dataBound="0" tableColumnId="144"/>
      <queryTableField id="145" dataBound="0" tableColumnId="145"/>
      <queryTableField id="146" dataBound="0" tableColumnId="146"/>
      <queryTableField id="147" dataBound="0" tableColumnId="147"/>
      <queryTableField id="148" dataBound="0" tableColumnId="148"/>
      <queryTableField id="149" dataBound="0" tableColumnId="149"/>
      <queryTableField id="150" dataBound="0" tableColumnId="150"/>
      <queryTableField id="151" dataBound="0" tableColumnId="151"/>
      <queryTableField id="152" dataBound="0" tableColumnId="152"/>
      <queryTableField id="153" dataBound="0" tableColumnId="153"/>
      <queryTableField id="154" dataBound="0" tableColumnId="154"/>
      <queryTableField id="155" dataBound="0" tableColumnId="155"/>
      <queryTableField id="156" dataBound="0" tableColumnId="156"/>
      <queryTableField id="157" dataBound="0" tableColumnId="157"/>
      <queryTableField id="158" dataBound="0" tableColumnId="158"/>
      <queryTableField id="159" dataBound="0" tableColumnId="159"/>
      <queryTableField id="160" dataBound="0" tableColumnId="160"/>
      <queryTableField id="161" dataBound="0" tableColumnId="161"/>
      <queryTableField id="162" dataBound="0" tableColumnId="162"/>
      <queryTableField id="163" dataBound="0" tableColumnId="163"/>
      <queryTableField id="164" dataBound="0" tableColumnId="164"/>
      <queryTableField id="165" dataBound="0" tableColumnId="165"/>
      <queryTableField id="166" dataBound="0" tableColumnId="166"/>
      <queryTableField id="167" dataBound="0" tableColumnId="167"/>
      <queryTableField id="168" dataBound="0" tableColumnId="168"/>
      <queryTableField id="169" dataBound="0" tableColumnId="169"/>
      <queryTableField id="170" dataBound="0" tableColumnId="170"/>
      <queryTableField id="171" dataBound="0" tableColumnId="171"/>
      <queryTableField id="172" dataBound="0" tableColumnId="172"/>
      <queryTableField id="173" dataBound="0" tableColumnId="173"/>
      <queryTableField id="174" dataBound="0" tableColumnId="174"/>
      <queryTableField id="324" dataBound="0" tableColumnId="321"/>
      <queryTableField id="339" dataBound="0" tableColumnId="331"/>
      <queryTableField id="338" dataBound="0" tableColumnId="332"/>
      <queryTableField id="337" dataBound="0" tableColumnId="333"/>
      <queryTableField id="336" dataBound="0" tableColumnId="334"/>
      <queryTableField id="335" dataBound="0" tableColumnId="335"/>
      <queryTableField id="334" dataBound="0" tableColumnId="336"/>
      <queryTableField id="333" dataBound="0" tableColumnId="337"/>
      <queryTableField id="332" dataBound="0" tableColumnId="338"/>
      <queryTableField id="323" dataBound="0" tableColumnId="322"/>
      <queryTableField id="322" dataBound="0" tableColumnId="323"/>
      <queryTableField id="321" dataBound="0" tableColumnId="324"/>
      <queryTableField id="175" dataBound="0" tableColumnId="175"/>
      <queryTableField id="340" dataBound="0" tableColumnId="339"/>
      <queryTableField id="179" dataBound="0" tableColumnId="179"/>
      <queryTableField id="180" dataBound="0" tableColumnId="180"/>
      <queryTableField id="181" dataBound="0" tableColumnId="181"/>
      <queryTableField id="182" dataBound="0" tableColumnId="182"/>
      <queryTableField id="183" dataBound="0" tableColumnId="183"/>
      <queryTableField id="184" dataBound="0" tableColumnId="184"/>
      <queryTableField id="185" dataBound="0" tableColumnId="185"/>
      <queryTableField id="186" dataBound="0" tableColumnId="186"/>
      <queryTableField id="187" dataBound="0" tableColumnId="187"/>
      <queryTableField id="188" dataBound="0" tableColumnId="188"/>
      <queryTableField id="189" dataBound="0" tableColumnId="189"/>
      <queryTableField id="190" dataBound="0" tableColumnId="190"/>
      <queryTableField id="191" dataBound="0" tableColumnId="191"/>
      <queryTableField id="192" dataBound="0" tableColumnId="192"/>
      <queryTableField id="193" dataBound="0" tableColumnId="193"/>
      <queryTableField id="194" dataBound="0" tableColumnId="194"/>
      <queryTableField id="195" dataBound="0" tableColumnId="195"/>
      <queryTableField id="196" dataBound="0" tableColumnId="196"/>
      <queryTableField id="197" dataBound="0" tableColumnId="197"/>
      <queryTableField id="198" dataBound="0" tableColumnId="198"/>
      <queryTableField id="199" dataBound="0" tableColumnId="199"/>
      <queryTableField id="200" dataBound="0" tableColumnId="200"/>
      <queryTableField id="201" dataBound="0" tableColumnId="201"/>
      <queryTableField id="202" dataBound="0" tableColumnId="202"/>
      <queryTableField id="203" dataBound="0" tableColumnId="203"/>
      <queryTableField id="204" dataBound="0" tableColumnId="204"/>
      <queryTableField id="205" dataBound="0" tableColumnId="205"/>
      <queryTableField id="206" dataBound="0" tableColumnId="206"/>
      <queryTableField id="207" dataBound="0" tableColumnId="207"/>
      <queryTableField id="208" dataBound="0" tableColumnId="208"/>
      <queryTableField id="209" dataBound="0" tableColumnId="209"/>
      <queryTableField id="210" dataBound="0" tableColumnId="210"/>
      <queryTableField id="211" dataBound="0" tableColumnId="211"/>
      <queryTableField id="212" dataBound="0" tableColumnId="212"/>
      <queryTableField id="213" dataBound="0" tableColumnId="213"/>
      <queryTableField id="214" dataBound="0" tableColumnId="214"/>
      <queryTableField id="215" dataBound="0" tableColumnId="215"/>
      <queryTableField id="216" dataBound="0" tableColumnId="216"/>
      <queryTableField id="217" dataBound="0" tableColumnId="217"/>
      <queryTableField id="218" dataBound="0" tableColumnId="218"/>
      <queryTableField id="219" dataBound="0" tableColumnId="219"/>
      <queryTableField id="220" dataBound="0" tableColumnId="220"/>
      <queryTableField id="221" dataBound="0" tableColumnId="221"/>
      <queryTableField id="222" dataBound="0" tableColumnId="222"/>
      <queryTableField id="223" dataBound="0" tableColumnId="223"/>
      <queryTableField id="224" dataBound="0" tableColumnId="224"/>
      <queryTableField id="225" dataBound="0" tableColumnId="225"/>
      <queryTableField id="226" dataBound="0" tableColumnId="226"/>
      <queryTableField id="227" dataBound="0" tableColumnId="227"/>
      <queryTableField id="228" dataBound="0" tableColumnId="228"/>
      <queryTableField id="229" dataBound="0" tableColumnId="229"/>
      <queryTableField id="230" dataBound="0" tableColumnId="230"/>
      <queryTableField id="231" dataBound="0" tableColumnId="231"/>
      <queryTableField id="232" dataBound="0" tableColumnId="232"/>
      <queryTableField id="233" dataBound="0" tableColumnId="233"/>
      <queryTableField id="234" dataBound="0" tableColumnId="234"/>
      <queryTableField id="235" dataBound="0" tableColumnId="235"/>
      <queryTableField id="236" dataBound="0" tableColumnId="236"/>
      <queryTableField id="237" dataBound="0" tableColumnId="237"/>
      <queryTableField id="238" dataBound="0" tableColumnId="238"/>
      <queryTableField id="239" dataBound="0" tableColumnId="239"/>
      <queryTableField id="240" dataBound="0" tableColumnId="240"/>
      <queryTableField id="241" dataBound="0" tableColumnId="241"/>
      <queryTableField id="242" dataBound="0" tableColumnId="242"/>
      <queryTableField id="243" dataBound="0" tableColumnId="243"/>
      <queryTableField id="244" dataBound="0" tableColumnId="244"/>
      <queryTableField id="245" dataBound="0" tableColumnId="245"/>
      <queryTableField id="246" dataBound="0" tableColumnId="246"/>
      <queryTableField id="247" dataBound="0" tableColumnId="247"/>
      <queryTableField id="248" dataBound="0" tableColumnId="248"/>
      <queryTableField id="249" dataBound="0" tableColumnId="249"/>
      <queryTableField id="250" dataBound="0" tableColumnId="250"/>
      <queryTableField id="251" dataBound="0" tableColumnId="251"/>
      <queryTableField id="252" dataBound="0" tableColumnId="252"/>
      <queryTableField id="253" dataBound="0" tableColumnId="253"/>
      <queryTableField id="254" dataBound="0" tableColumnId="254"/>
      <queryTableField id="255" dataBound="0" tableColumnId="255"/>
      <queryTableField id="256" dataBound="0" tableColumnId="256"/>
      <queryTableField id="257" dataBound="0" tableColumnId="257"/>
      <queryTableField id="258" dataBound="0" tableColumnId="258"/>
      <queryTableField id="259" dataBound="0" tableColumnId="259"/>
      <queryTableField id="260" dataBound="0" tableColumnId="260"/>
      <queryTableField id="261" dataBound="0" tableColumnId="261"/>
      <queryTableField id="262" dataBound="0" tableColumnId="262"/>
      <queryTableField id="263" dataBound="0" tableColumnId="263"/>
      <queryTableField id="264" dataBound="0" tableColumnId="264"/>
      <queryTableField id="265" dataBound="0" tableColumnId="265"/>
      <queryTableField id="266" dataBound="0" tableColumnId="266"/>
      <queryTableField id="267" dataBound="0" tableColumnId="267"/>
      <queryTableField id="268" dataBound="0" tableColumnId="268"/>
      <queryTableField id="269" dataBound="0" tableColumnId="269"/>
      <queryTableField id="270" dataBound="0" tableColumnId="270"/>
      <queryTableField id="271" dataBound="0" tableColumnId="271"/>
      <queryTableField id="272" dataBound="0" tableColumnId="272"/>
      <queryTableField id="273" dataBound="0" tableColumnId="273"/>
      <queryTableField id="274" dataBound="0" tableColumnId="274"/>
      <queryTableField id="275" dataBound="0" tableColumnId="275"/>
      <queryTableField id="276" dataBound="0" tableColumnId="276"/>
      <queryTableField id="277" dataBound="0" tableColumnId="277"/>
      <queryTableField id="278" dataBound="0" tableColumnId="278"/>
      <queryTableField id="279" dataBound="0" tableColumnId="279"/>
      <queryTableField id="280" dataBound="0" tableColumnId="280"/>
      <queryTableField id="281" dataBound="0" tableColumnId="281"/>
      <queryTableField id="282" dataBound="0" tableColumnId="282"/>
      <queryTableField id="283" dataBound="0" tableColumnId="283"/>
      <queryTableField id="284" dataBound="0" tableColumnId="284"/>
      <queryTableField id="285" dataBound="0" tableColumnId="285"/>
      <queryTableField id="286" dataBound="0" tableColumnId="286"/>
      <queryTableField id="287" dataBound="0" tableColumnId="287"/>
      <queryTableField id="288" dataBound="0" tableColumnId="288"/>
      <queryTableField id="289" dataBound="0" tableColumnId="289"/>
      <queryTableField id="290" dataBound="0" tableColumnId="290"/>
      <queryTableField id="291" dataBound="0" tableColumnId="291"/>
      <queryTableField id="292" dataBound="0" tableColumnId="292"/>
      <queryTableField id="293" dataBound="0" tableColumnId="293"/>
      <queryTableField id="294" dataBound="0" tableColumnId="294"/>
      <queryTableField id="295" dataBound="0" tableColumnId="295"/>
      <queryTableField id="296" dataBound="0" tableColumnId="296"/>
      <queryTableField id="297" dataBound="0" tableColumnId="297"/>
      <queryTableField id="298" dataBound="0" tableColumnId="298"/>
      <queryTableField id="299" dataBound="0" tableColumnId="299"/>
      <queryTableField id="300" dataBound="0" tableColumnId="300"/>
      <queryTableField id="301" dataBound="0" tableColumnId="301"/>
      <queryTableField id="302" dataBound="0" tableColumnId="302"/>
      <queryTableField id="303" dataBound="0" tableColumnId="303"/>
      <queryTableField id="304" dataBound="0" tableColumnId="304"/>
      <queryTableField id="305" dataBound="0" tableColumnId="305"/>
      <queryTableField id="306" dataBound="0" tableColumnId="306"/>
      <queryTableField id="307" dataBound="0" tableColumnId="307"/>
      <queryTableField id="308" dataBound="0" tableColumnId="308"/>
      <queryTableField id="309" dataBound="0" tableColumnId="309"/>
      <queryTableField id="310" dataBound="0" tableColumnId="310"/>
      <queryTableField id="311" dataBound="0" tableColumnId="311"/>
      <queryTableField id="312" dataBound="0" tableColumnId="312"/>
      <queryTableField id="313" dataBound="0" tableColumnId="313"/>
      <queryTableField id="314" dataBound="0" tableColumnId="314"/>
      <queryTableField id="315" dataBound="0" tableColumnId="315"/>
      <queryTableField id="316" dataBound="0" tableColumnId="316"/>
    </queryTableFields>
  </queryTableRefresh>
  <extLst>
    <ext xmlns:x15="http://schemas.microsoft.com/office/spreadsheetml/2010/11/main" uri="{883FBD77-0823-4a55-B5E3-86C4891E6966}">
      <x15:queryTable sourceDataName="WorksheetConnection_dietherbuilt-newlist-Template.xlsm!表1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表1" backgroundRefresh="0" connectionId="2" xr16:uid="{A80AA5A7-60BE-480B-A80B-DC3F925E65AA}" autoFormatId="16" applyNumberFormats="0" applyBorderFormats="0" applyFontFormats="0" applyPatternFormats="0" applyAlignmentFormats="0" applyWidthHeightFormats="0">
  <queryTableRefresh nextId="341" unboundColumnsRight="335">
    <queryTableFields count="336">
      <queryTableField id="1" name="CdId" tableColumnId="1"/>
      <queryTableField id="2" dataBound="0" tableColumnId="2"/>
      <queryTableField id="3" dataBound="0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20" dataBound="0" tableColumnId="317"/>
      <queryTableField id="326" dataBound="0" tableColumnId="325"/>
      <queryTableField id="30" dataBound="0" tableColumnId="30"/>
      <queryTableField id="319" dataBound="0" tableColumnId="318"/>
      <queryTableField id="318" dataBound="0" tableColumnId="319"/>
      <queryTableField id="317" dataBound="0" tableColumnId="320"/>
      <queryTableField id="331" dataBound="0" tableColumnId="330"/>
      <queryTableField id="31" dataBound="0" tableColumnId="31"/>
      <queryTableField id="32" dataBound="0" tableColumnId="32"/>
      <queryTableField id="33" dataBound="0" tableColumnId="33"/>
      <queryTableField id="34" dataBound="0" tableColumnId="34"/>
      <queryTableField id="330" dataBound="0" tableColumnId="328"/>
      <queryTableField id="329" dataBound="0" tableColumnId="329"/>
      <queryTableField id="328" dataBound="0" tableColumnId="326"/>
      <queryTableField id="327" dataBound="0" tableColumnId="327"/>
      <queryTableField id="35" dataBound="0" tableColumnId="35"/>
      <queryTableField id="36" dataBound="0" tableColumnId="36"/>
      <queryTableField id="37" dataBound="0" tableColumnId="37"/>
      <queryTableField id="38" dataBound="0" tableColumnId="38"/>
      <queryTableField id="39" dataBound="0" tableColumnId="39"/>
      <queryTableField id="40" dataBound="0" tableColumnId="40"/>
      <queryTableField id="41" dataBound="0" tableColumnId="41"/>
      <queryTableField id="42" dataBound="0" tableColumnId="42"/>
      <queryTableField id="43" dataBound="0" tableColumnId="43"/>
      <queryTableField id="44" dataBound="0" tableColumnId="44"/>
      <queryTableField id="45" dataBound="0" tableColumnId="45"/>
      <queryTableField id="46" dataBound="0" tableColumnId="46"/>
      <queryTableField id="47" dataBound="0" tableColumnId="47"/>
      <queryTableField id="48" dataBound="0" tableColumnId="48"/>
      <queryTableField id="49" dataBound="0" tableColumnId="49"/>
      <queryTableField id="50" dataBound="0" tableColumnId="50"/>
      <queryTableField id="51" dataBound="0" tableColumnId="51"/>
      <queryTableField id="52" dataBound="0" tableColumnId="52"/>
      <queryTableField id="53" dataBound="0" tableColumnId="53"/>
      <queryTableField id="54" dataBound="0" tableColumnId="54"/>
      <queryTableField id="55" dataBound="0" tableColumnId="55"/>
      <queryTableField id="56" dataBound="0" tableColumnId="56"/>
      <queryTableField id="57" dataBound="0" tableColumnId="57"/>
      <queryTableField id="58" dataBound="0" tableColumnId="58"/>
      <queryTableField id="59" dataBound="0" tableColumnId="59"/>
      <queryTableField id="60" dataBound="0" tableColumnId="60"/>
      <queryTableField id="61" dataBound="0" tableColumnId="61"/>
      <queryTableField id="62" dataBound="0" tableColumnId="62"/>
      <queryTableField id="63" dataBound="0" tableColumnId="63"/>
      <queryTableField id="64" dataBound="0" tableColumnId="64"/>
      <queryTableField id="65" dataBound="0" tableColumnId="65"/>
      <queryTableField id="66" dataBound="0" tableColumnId="66"/>
      <queryTableField id="67" dataBound="0" tableColumnId="67"/>
      <queryTableField id="68" dataBound="0" tableColumnId="68"/>
      <queryTableField id="69" dataBound="0" tableColumnId="69"/>
      <queryTableField id="70" dataBound="0" tableColumnId="70"/>
      <queryTableField id="71" dataBound="0" tableColumnId="71"/>
      <queryTableField id="72" dataBound="0" tableColumnId="72"/>
      <queryTableField id="73" dataBound="0" tableColumnId="73"/>
      <queryTableField id="74" dataBound="0" tableColumnId="74"/>
      <queryTableField id="75" dataBound="0" tableColumnId="75"/>
      <queryTableField id="76" dataBound="0" tableColumnId="76"/>
      <queryTableField id="77" dataBound="0" tableColumnId="77"/>
      <queryTableField id="78" dataBound="0" tableColumnId="78"/>
      <queryTableField id="79" dataBound="0" tableColumnId="79"/>
      <queryTableField id="80" dataBound="0" tableColumnId="80"/>
      <queryTableField id="81" dataBound="0" tableColumnId="81"/>
      <queryTableField id="82" dataBound="0" tableColumnId="82"/>
      <queryTableField id="83" dataBound="0" tableColumnId="83"/>
      <queryTableField id="84" dataBound="0" tableColumnId="84"/>
      <queryTableField id="85" dataBound="0" tableColumnId="85"/>
      <queryTableField id="86" dataBound="0" tableColumnId="86"/>
      <queryTableField id="87" dataBound="0" tableColumnId="87"/>
      <queryTableField id="88" dataBound="0" tableColumnId="88"/>
      <queryTableField id="89" dataBound="0" tableColumnId="89"/>
      <queryTableField id="90" dataBound="0" tableColumnId="90"/>
      <queryTableField id="91" dataBound="0" tableColumnId="91"/>
      <queryTableField id="92" dataBound="0" tableColumnId="92"/>
      <queryTableField id="93" dataBound="0" tableColumnId="93"/>
      <queryTableField id="94" dataBound="0" tableColumnId="94"/>
      <queryTableField id="95" dataBound="0" tableColumnId="95"/>
      <queryTableField id="96" dataBound="0" tableColumnId="96"/>
      <queryTableField id="97" dataBound="0" tableColumnId="97"/>
      <queryTableField id="98" dataBound="0" tableColumnId="98"/>
      <queryTableField id="99" dataBound="0" tableColumnId="99"/>
      <queryTableField id="100" dataBound="0" tableColumnId="100"/>
      <queryTableField id="101" dataBound="0" tableColumnId="101"/>
      <queryTableField id="102" dataBound="0" tableColumnId="102"/>
      <queryTableField id="103" dataBound="0" tableColumnId="103"/>
      <queryTableField id="104" dataBound="0" tableColumnId="104"/>
      <queryTableField id="105" dataBound="0" tableColumnId="105"/>
      <queryTableField id="106" dataBound="0" tableColumnId="106"/>
      <queryTableField id="107" dataBound="0" tableColumnId="107"/>
      <queryTableField id="108" dataBound="0" tableColumnId="108"/>
      <queryTableField id="109" dataBound="0" tableColumnId="109"/>
      <queryTableField id="110" dataBound="0" tableColumnId="110"/>
      <queryTableField id="111" dataBound="0" tableColumnId="111"/>
      <queryTableField id="112" dataBound="0" tableColumnId="112"/>
      <queryTableField id="113" dataBound="0" tableColumnId="113"/>
      <queryTableField id="114" dataBound="0" tableColumnId="114"/>
      <queryTableField id="115" dataBound="0" tableColumnId="115"/>
      <queryTableField id="116" dataBound="0" tableColumnId="116"/>
      <queryTableField id="117" dataBound="0" tableColumnId="117"/>
      <queryTableField id="118" dataBound="0" tableColumnId="118"/>
      <queryTableField id="119" dataBound="0" tableColumnId="119"/>
      <queryTableField id="120" dataBound="0" tableColumnId="120"/>
      <queryTableField id="121" dataBound="0" tableColumnId="121"/>
      <queryTableField id="122" dataBound="0" tableColumnId="122"/>
      <queryTableField id="123" dataBound="0" tableColumnId="123"/>
      <queryTableField id="124" dataBound="0" tableColumnId="124"/>
      <queryTableField id="125" dataBound="0" tableColumnId="125"/>
      <queryTableField id="126" dataBound="0" tableColumnId="126"/>
      <queryTableField id="127" dataBound="0" tableColumnId="127"/>
      <queryTableField id="128" dataBound="0" tableColumnId="128"/>
      <queryTableField id="129" dataBound="0" tableColumnId="129"/>
      <queryTableField id="130" dataBound="0" tableColumnId="130"/>
      <queryTableField id="131" dataBound="0" tableColumnId="131"/>
      <queryTableField id="132" dataBound="0" tableColumnId="132"/>
      <queryTableField id="133" dataBound="0" tableColumnId="133"/>
      <queryTableField id="134" dataBound="0" tableColumnId="134"/>
      <queryTableField id="135" dataBound="0" tableColumnId="135"/>
      <queryTableField id="136" dataBound="0" tableColumnId="136"/>
      <queryTableField id="137" dataBound="0" tableColumnId="137"/>
      <queryTableField id="138" dataBound="0" tableColumnId="138"/>
      <queryTableField id="139" dataBound="0" tableColumnId="139"/>
      <queryTableField id="140" dataBound="0" tableColumnId="140"/>
      <queryTableField id="141" dataBound="0" tableColumnId="141"/>
      <queryTableField id="142" dataBound="0" tableColumnId="142"/>
      <queryTableField id="143" dataBound="0" tableColumnId="143"/>
      <queryTableField id="144" dataBound="0" tableColumnId="144"/>
      <queryTableField id="145" dataBound="0" tableColumnId="145"/>
      <queryTableField id="146" dataBound="0" tableColumnId="146"/>
      <queryTableField id="147" dataBound="0" tableColumnId="147"/>
      <queryTableField id="148" dataBound="0" tableColumnId="148"/>
      <queryTableField id="149" dataBound="0" tableColumnId="149"/>
      <queryTableField id="150" dataBound="0" tableColumnId="150"/>
      <queryTableField id="151" dataBound="0" tableColumnId="151"/>
      <queryTableField id="152" dataBound="0" tableColumnId="152"/>
      <queryTableField id="153" dataBound="0" tableColumnId="153"/>
      <queryTableField id="154" dataBound="0" tableColumnId="154"/>
      <queryTableField id="155" dataBound="0" tableColumnId="155"/>
      <queryTableField id="156" dataBound="0" tableColumnId="156"/>
      <queryTableField id="157" dataBound="0" tableColumnId="157"/>
      <queryTableField id="158" dataBound="0" tableColumnId="158"/>
      <queryTableField id="159" dataBound="0" tableColumnId="159"/>
      <queryTableField id="160" dataBound="0" tableColumnId="160"/>
      <queryTableField id="161" dataBound="0" tableColumnId="161"/>
      <queryTableField id="162" dataBound="0" tableColumnId="162"/>
      <queryTableField id="163" dataBound="0" tableColumnId="163"/>
      <queryTableField id="164" dataBound="0" tableColumnId="164"/>
      <queryTableField id="165" dataBound="0" tableColumnId="165"/>
      <queryTableField id="166" dataBound="0" tableColumnId="166"/>
      <queryTableField id="167" dataBound="0" tableColumnId="167"/>
      <queryTableField id="168" dataBound="0" tableColumnId="168"/>
      <queryTableField id="169" dataBound="0" tableColumnId="169"/>
      <queryTableField id="170" dataBound="0" tableColumnId="170"/>
      <queryTableField id="171" dataBound="0" tableColumnId="171"/>
      <queryTableField id="172" dataBound="0" tableColumnId="172"/>
      <queryTableField id="173" dataBound="0" tableColumnId="173"/>
      <queryTableField id="174" dataBound="0" tableColumnId="174"/>
      <queryTableField id="324" dataBound="0" tableColumnId="321"/>
      <queryTableField id="339" dataBound="0" tableColumnId="331"/>
      <queryTableField id="338" dataBound="0" tableColumnId="332"/>
      <queryTableField id="337" dataBound="0" tableColumnId="333"/>
      <queryTableField id="336" dataBound="0" tableColumnId="334"/>
      <queryTableField id="335" dataBound="0" tableColumnId="335"/>
      <queryTableField id="334" dataBound="0" tableColumnId="336"/>
      <queryTableField id="333" dataBound="0" tableColumnId="337"/>
      <queryTableField id="332" dataBound="0" tableColumnId="338"/>
      <queryTableField id="323" dataBound="0" tableColumnId="322"/>
      <queryTableField id="322" dataBound="0" tableColumnId="323"/>
      <queryTableField id="321" dataBound="0" tableColumnId="324"/>
      <queryTableField id="175" dataBound="0" tableColumnId="175"/>
      <queryTableField id="340" dataBound="0" tableColumnId="339"/>
      <queryTableField id="179" dataBound="0" tableColumnId="179"/>
      <queryTableField id="180" dataBound="0" tableColumnId="180"/>
      <queryTableField id="181" dataBound="0" tableColumnId="181"/>
      <queryTableField id="182" dataBound="0" tableColumnId="182"/>
      <queryTableField id="183" dataBound="0" tableColumnId="183"/>
      <queryTableField id="184" dataBound="0" tableColumnId="184"/>
      <queryTableField id="185" dataBound="0" tableColumnId="185"/>
      <queryTableField id="186" dataBound="0" tableColumnId="186"/>
      <queryTableField id="187" dataBound="0" tableColumnId="187"/>
      <queryTableField id="188" dataBound="0" tableColumnId="188"/>
      <queryTableField id="189" dataBound="0" tableColumnId="189"/>
      <queryTableField id="190" dataBound="0" tableColumnId="190"/>
      <queryTableField id="191" dataBound="0" tableColumnId="191"/>
      <queryTableField id="192" dataBound="0" tableColumnId="192"/>
      <queryTableField id="193" dataBound="0" tableColumnId="193"/>
      <queryTableField id="194" dataBound="0" tableColumnId="194"/>
      <queryTableField id="195" dataBound="0" tableColumnId="195"/>
      <queryTableField id="196" dataBound="0" tableColumnId="196"/>
      <queryTableField id="197" dataBound="0" tableColumnId="197"/>
      <queryTableField id="198" dataBound="0" tableColumnId="198"/>
      <queryTableField id="199" dataBound="0" tableColumnId="199"/>
      <queryTableField id="200" dataBound="0" tableColumnId="200"/>
      <queryTableField id="201" dataBound="0" tableColumnId="201"/>
      <queryTableField id="202" dataBound="0" tableColumnId="202"/>
      <queryTableField id="203" dataBound="0" tableColumnId="203"/>
      <queryTableField id="204" dataBound="0" tableColumnId="204"/>
      <queryTableField id="205" dataBound="0" tableColumnId="205"/>
      <queryTableField id="206" dataBound="0" tableColumnId="206"/>
      <queryTableField id="207" dataBound="0" tableColumnId="207"/>
      <queryTableField id="208" dataBound="0" tableColumnId="208"/>
      <queryTableField id="209" dataBound="0" tableColumnId="209"/>
      <queryTableField id="210" dataBound="0" tableColumnId="210"/>
      <queryTableField id="211" dataBound="0" tableColumnId="211"/>
      <queryTableField id="212" dataBound="0" tableColumnId="212"/>
      <queryTableField id="213" dataBound="0" tableColumnId="213"/>
      <queryTableField id="214" dataBound="0" tableColumnId="214"/>
      <queryTableField id="215" dataBound="0" tableColumnId="215"/>
      <queryTableField id="216" dataBound="0" tableColumnId="216"/>
      <queryTableField id="217" dataBound="0" tableColumnId="217"/>
      <queryTableField id="218" dataBound="0" tableColumnId="218"/>
      <queryTableField id="219" dataBound="0" tableColumnId="219"/>
      <queryTableField id="220" dataBound="0" tableColumnId="220"/>
      <queryTableField id="221" dataBound="0" tableColumnId="221"/>
      <queryTableField id="222" dataBound="0" tableColumnId="222"/>
      <queryTableField id="223" dataBound="0" tableColumnId="223"/>
      <queryTableField id="224" dataBound="0" tableColumnId="224"/>
      <queryTableField id="225" dataBound="0" tableColumnId="225"/>
      <queryTableField id="226" dataBound="0" tableColumnId="226"/>
      <queryTableField id="227" dataBound="0" tableColumnId="227"/>
      <queryTableField id="228" dataBound="0" tableColumnId="228"/>
      <queryTableField id="229" dataBound="0" tableColumnId="229"/>
      <queryTableField id="230" dataBound="0" tableColumnId="230"/>
      <queryTableField id="231" dataBound="0" tableColumnId="231"/>
      <queryTableField id="232" dataBound="0" tableColumnId="232"/>
      <queryTableField id="233" dataBound="0" tableColumnId="233"/>
      <queryTableField id="234" dataBound="0" tableColumnId="234"/>
      <queryTableField id="235" dataBound="0" tableColumnId="235"/>
      <queryTableField id="236" dataBound="0" tableColumnId="236"/>
      <queryTableField id="237" dataBound="0" tableColumnId="237"/>
      <queryTableField id="238" dataBound="0" tableColumnId="238"/>
      <queryTableField id="239" dataBound="0" tableColumnId="239"/>
      <queryTableField id="240" dataBound="0" tableColumnId="240"/>
      <queryTableField id="241" dataBound="0" tableColumnId="241"/>
      <queryTableField id="242" dataBound="0" tableColumnId="242"/>
      <queryTableField id="243" dataBound="0" tableColumnId="243"/>
      <queryTableField id="244" dataBound="0" tableColumnId="244"/>
      <queryTableField id="245" dataBound="0" tableColumnId="245"/>
      <queryTableField id="246" dataBound="0" tableColumnId="246"/>
      <queryTableField id="247" dataBound="0" tableColumnId="247"/>
      <queryTableField id="248" dataBound="0" tableColumnId="248"/>
      <queryTableField id="249" dataBound="0" tableColumnId="249"/>
      <queryTableField id="250" dataBound="0" tableColumnId="250"/>
      <queryTableField id="251" dataBound="0" tableColumnId="251"/>
      <queryTableField id="252" dataBound="0" tableColumnId="252"/>
      <queryTableField id="253" dataBound="0" tableColumnId="253"/>
      <queryTableField id="254" dataBound="0" tableColumnId="254"/>
      <queryTableField id="255" dataBound="0" tableColumnId="255"/>
      <queryTableField id="256" dataBound="0" tableColumnId="256"/>
      <queryTableField id="257" dataBound="0" tableColumnId="257"/>
      <queryTableField id="258" dataBound="0" tableColumnId="258"/>
      <queryTableField id="259" dataBound="0" tableColumnId="259"/>
      <queryTableField id="260" dataBound="0" tableColumnId="260"/>
      <queryTableField id="261" dataBound="0" tableColumnId="261"/>
      <queryTableField id="262" dataBound="0" tableColumnId="262"/>
      <queryTableField id="263" dataBound="0" tableColumnId="263"/>
      <queryTableField id="264" dataBound="0" tableColumnId="264"/>
      <queryTableField id="265" dataBound="0" tableColumnId="265"/>
      <queryTableField id="266" dataBound="0" tableColumnId="266"/>
      <queryTableField id="267" dataBound="0" tableColumnId="267"/>
      <queryTableField id="268" dataBound="0" tableColumnId="268"/>
      <queryTableField id="269" dataBound="0" tableColumnId="269"/>
      <queryTableField id="270" dataBound="0" tableColumnId="270"/>
      <queryTableField id="271" dataBound="0" tableColumnId="271"/>
      <queryTableField id="272" dataBound="0" tableColumnId="272"/>
      <queryTableField id="273" dataBound="0" tableColumnId="273"/>
      <queryTableField id="274" dataBound="0" tableColumnId="274"/>
      <queryTableField id="275" dataBound="0" tableColumnId="275"/>
      <queryTableField id="276" dataBound="0" tableColumnId="276"/>
      <queryTableField id="277" dataBound="0" tableColumnId="277"/>
      <queryTableField id="278" dataBound="0" tableColumnId="278"/>
      <queryTableField id="279" dataBound="0" tableColumnId="279"/>
      <queryTableField id="280" dataBound="0" tableColumnId="280"/>
      <queryTableField id="281" dataBound="0" tableColumnId="281"/>
      <queryTableField id="282" dataBound="0" tableColumnId="282"/>
      <queryTableField id="283" dataBound="0" tableColumnId="283"/>
      <queryTableField id="284" dataBound="0" tableColumnId="284"/>
      <queryTableField id="285" dataBound="0" tableColumnId="285"/>
      <queryTableField id="286" dataBound="0" tableColumnId="286"/>
      <queryTableField id="287" dataBound="0" tableColumnId="287"/>
      <queryTableField id="288" dataBound="0" tableColumnId="288"/>
      <queryTableField id="289" dataBound="0" tableColumnId="289"/>
      <queryTableField id="290" dataBound="0" tableColumnId="290"/>
      <queryTableField id="291" dataBound="0" tableColumnId="291"/>
      <queryTableField id="292" dataBound="0" tableColumnId="292"/>
      <queryTableField id="293" dataBound="0" tableColumnId="293"/>
      <queryTableField id="294" dataBound="0" tableColumnId="294"/>
      <queryTableField id="295" dataBound="0" tableColumnId="295"/>
      <queryTableField id="296" dataBound="0" tableColumnId="296"/>
      <queryTableField id="297" dataBound="0" tableColumnId="297"/>
      <queryTableField id="298" dataBound="0" tableColumnId="298"/>
      <queryTableField id="299" dataBound="0" tableColumnId="299"/>
      <queryTableField id="300" dataBound="0" tableColumnId="300"/>
      <queryTableField id="301" dataBound="0" tableColumnId="301"/>
      <queryTableField id="302" dataBound="0" tableColumnId="302"/>
      <queryTableField id="303" dataBound="0" tableColumnId="303"/>
      <queryTableField id="304" dataBound="0" tableColumnId="304"/>
      <queryTableField id="305" dataBound="0" tableColumnId="305"/>
      <queryTableField id="306" dataBound="0" tableColumnId="306"/>
      <queryTableField id="307" dataBound="0" tableColumnId="307"/>
      <queryTableField id="308" dataBound="0" tableColumnId="308"/>
      <queryTableField id="309" dataBound="0" tableColumnId="309"/>
      <queryTableField id="310" dataBound="0" tableColumnId="310"/>
      <queryTableField id="311" dataBound="0" tableColumnId="311"/>
      <queryTableField id="312" dataBound="0" tableColumnId="312"/>
      <queryTableField id="313" dataBound="0" tableColumnId="313"/>
      <queryTableField id="314" dataBound="0" tableColumnId="314"/>
      <queryTableField id="315" dataBound="0" tableColumnId="315"/>
      <queryTableField id="316" dataBound="0" tableColumnId="316"/>
    </queryTableFields>
  </queryTableRefresh>
  <extLst>
    <ext xmlns:x15="http://schemas.microsoft.com/office/spreadsheetml/2010/11/main" uri="{883FBD77-0823-4a55-B5E3-86C4891E6966}">
      <x15:queryTable sourceDataName="WorksheetConnection_dietherbuilt-newlist-Template.xlsm!表1"/>
    </ext>
  </extLst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A10D068-CD31-46D1-A2DD-A1239082C342}" name="表5" displayName="表5" ref="A1:I61" totalsRowShown="0" headerRowDxfId="690" dataDxfId="689">
  <autoFilter ref="A1:I61" xr:uid="{2A10D068-CD31-46D1-A2DD-A1239082C342}"/>
  <tableColumns count="9">
    <tableColumn id="2" xr3:uid="{7782EF8E-3C73-453F-BAD3-78BCBDB69C31}" name="Name" dataDxfId="688"/>
    <tableColumn id="3" xr3:uid="{F04D7423-D7AD-41E9-9C17-9500CEBECE0C}" name="Formula" dataDxfId="687"/>
    <tableColumn id="5" xr3:uid="{50CCABAD-5CC7-49AA-A8F4-DDA1A8279690}" name="InChI" dataDxfId="686"/>
    <tableColumn id="6" xr3:uid="{B66A8556-322E-42BC-92B6-CF1B89115997}" name="SMILES" dataDxfId="685"/>
    <tableColumn id="7" xr3:uid="{7B1F3EDB-0BFC-451E-B80D-C6BFF2B668C2}" name="CCS" dataDxfId="684"/>
    <tableColumn id="8" xr3:uid="{11FE6156-3C20-4E8E-9786-EEE119F6095B}" name="RT" dataDxfId="683"/>
    <tableColumn id="9" xr3:uid="{70B3F49C-0311-4B10-AEFE-717E757B27DA}" name="LogP" dataDxfId="682"/>
    <tableColumn id="10" xr3:uid="{2A674C73-8831-48BB-B32C-3E6CE6E4B70D}" name="InChIKey" dataDxfId="681"/>
    <tableColumn id="11" xr3:uid="{4FC31008-DF28-41DE-84AC-12763F853EEE}" name="IUPAC" dataDxfId="68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F10E5C5-B6C7-4D06-89B1-B65EC80A3421}" name="表1" displayName="表1" ref="A6:LD26" totalsRowShown="0" headerRowDxfId="679">
  <tableColumns count="316">
    <tableColumn id="1" xr3:uid="{E521869B-B266-47AF-93D6-6C1895C08D75}" name="CdId"/>
    <tableColumn id="2" xr3:uid="{7CE8C120-69E7-44E3-9896-06CF33652207}" name="ExactMass"/>
    <tableColumn id="3" xr3:uid="{940D31F3-8D9B-4EDE-BE24-FBB7231CC891}" name="Name"/>
    <tableColumn id="4" xr3:uid="{CD098DD3-4BB5-4746-8FEB-864FF3521AFD}" name="Formula"/>
    <tableColumn id="5" xr3:uid="{7EFC8D00-842C-4F1E-A065-853BEC1CC165}" name="Code"/>
    <tableColumn id="6" xr3:uid="{AA20A95C-44A8-40ED-BCC1-02FB70C3AE1E}" name="InChI"/>
    <tableColumn id="7" xr3:uid="{C9066D99-89C9-4A10-84A9-2CF2A96EC94A}" name="SMILES"/>
    <tableColumn id="8" xr3:uid="{3FD15399-475B-4F1A-B538-C1E31B950903}" name="CCS"/>
    <tableColumn id="9" xr3:uid="{9452CD57-9B09-4B16-B981-0420A33D11C9}" name="RT"/>
    <tableColumn id="10" xr3:uid="{CEBA12B8-CA2D-4FB6-8CCF-4C49652E2C93}" name="LogP"/>
    <tableColumn id="11" xr3:uid="{84073587-31AC-46EE-8F3B-2B35C1EB958E}" name="InChIKey"/>
    <tableColumn id="12" xr3:uid="{B9CDE7C5-7403-4043-8A6F-AB11D12C9DBE}" name="IUPAC"/>
    <tableColumn id="13" xr3:uid="{7D5229AF-223F-43C6-9A50-666240E2683C}" name="Confidence"/>
    <tableColumn id="14" xr3:uid="{F1AB33E6-2F58-496A-8EFF-050B5A4CAF39}" name="Name2"/>
    <tableColumn id="15" xr3:uid="{40C480EB-A0FC-4443-BF36-D08BF83809DD}" name="OH1"/>
    <tableColumn id="16" xr3:uid="{A816AAD8-FA22-4ECA-812E-3E1F25692D54}" name="OH2"/>
    <tableColumn id="17" xr3:uid="{9BE96280-F268-44E3-B3F9-2DE9F05D0EE8}" name="Branch1"/>
    <tableColumn id="18" xr3:uid="{5954C912-EB50-42E4-B111-15157E5A450F}" name="Branch2"/>
    <tableColumn id="19" xr3:uid="{C70F5154-87A4-4F2D-BEA0-51E2A6F4E7BD}" name="Rings"/>
    <tableColumn id="20" xr3:uid="{EBA21E94-094D-44FF-AD84-80C4AB1D5E1C}" name="Sn2 Chain Length"/>
    <tableColumn id="21" xr3:uid="{01510471-D652-4015-A20A-5875A4C50DEC}" name="Sn2 Double Bonds"/>
    <tableColumn id="22" xr3:uid="{F849BEE5-9AE4-4F9E-99EB-2958833C6AEC}" name="Sn3 Chain Length"/>
    <tableColumn id="23" xr3:uid="{2B815C68-F24E-4865-B5B4-236AF45A6BC1}" name="Sn3 Double Bonds"/>
    <tableColumn id="24" xr3:uid="{2A9014B5-9F70-4E3D-B504-FBFD1370369B}" name="Short Name"/>
    <tableColumn id="25" xr3:uid="{B245D145-6FBD-4D44-98A8-811FE5B76324}" name="SN1 acyl loss"/>
    <tableColumn id="26" xr3:uid="{D3244E89-8748-4571-B484-5CA2C9D5E1A8}" name="SN1-H2O"/>
    <tableColumn id="27" xr3:uid="{F9600A61-9DB5-466E-A516-8A36FA2659D8}" name="SN2 acyl loss"/>
    <tableColumn id="28" xr3:uid="{58D3C732-9888-4C69-9742-DF48846AF780}" name="SN2-H2O"/>
    <tableColumn id="29" xr3:uid="{61E2A4AD-0351-412C-BED8-ABA0D1614B87}" name="[M+H]+ Precursor Mass"/>
    <tableColumn id="30" xr3:uid="{F3F807A6-8C87-4704-A169-4A17549BB280}" name="Chainloss"/>
    <tableColumn id="31" xr3:uid="{74D565DE-777F-47D9-AD6A-DC4C29D5B55E}" name="Chainloss-H2O"/>
    <tableColumn id="32" xr3:uid="{3C31343D-E46F-4D5B-894C-441A3BC32CE5}" name="SN1+2"/>
    <tableColumn id="33" xr3:uid="{E1B34E34-FC87-4C70-886B-341F3391134B}" name="-2SN"/>
    <tableColumn id="34" xr3:uid="{D53FAD3F-FE63-4CF8-92D1-3667F97FEB82}" name="-SN2-H2O"/>
    <tableColumn id="35" xr3:uid="{2D19B161-DDC3-4F1E-87BF-A63CE03907CE}" name="SN1"/>
    <tableColumn id="36" xr3:uid="{54299E9F-8973-45B4-99BA-A5A0FE3EB82A}" name="SN2"/>
    <tableColumn id="37" xr3:uid="{6D885BE7-A07F-4B74-8CEE-E95091203D06}" name="SN1-1"/>
    <tableColumn id="38" xr3:uid="{22A1C99A-5F0E-4338-A186-5DB86030C320}" name="SN1-2"/>
    <tableColumn id="39" xr3:uid="{C82430E6-7EB6-4406-BFD8-75751681D28B}" name="SN1-3"/>
    <tableColumn id="40" xr3:uid="{170DE85B-24AC-4A1D-90BC-1456ACC8FCB3}" name="SN1-4"/>
    <tableColumn id="41" xr3:uid="{7861042F-AE61-4676-A9A2-372539064568}" name="SN1-5"/>
    <tableColumn id="42" xr3:uid="{5CEF2D1E-D4CC-4B19-BE58-CF1BBB7E0F55}" name="SN1-6"/>
    <tableColumn id="43" xr3:uid="{63AFA1E9-D880-4791-B6A5-4D6B51762EE4}" name="SN1-7"/>
    <tableColumn id="44" xr3:uid="{A9790F22-106E-4020-BA52-DC78995DF623}" name="SN1-8"/>
    <tableColumn id="45" xr3:uid="{A9EC6BFB-817A-4CF1-A48D-B96A5EE1CCC5}" name="SN1-9"/>
    <tableColumn id="46" xr3:uid="{DAC874EF-20E3-4455-9C92-FAF21399F3AC}" name="SN1-10"/>
    <tableColumn id="47" xr3:uid="{BF6EED14-D042-46F8-9633-BBEB747D3841}" name="SN1-11"/>
    <tableColumn id="48" xr3:uid="{DFDBC685-44FA-4A3F-91C1-2560B9C310F2}" name="SN1-12"/>
    <tableColumn id="49" xr3:uid="{2315B4A8-9B3C-446D-8B39-E985542A4DA1}" name="SN1-13"/>
    <tableColumn id="50" xr3:uid="{61F4EA35-FC15-42D1-9886-841A978F074B}" name="SN1-14"/>
    <tableColumn id="51" xr3:uid="{F9B415EC-6BE7-4C7E-A16B-568BD4DE309F}" name="SN1-15"/>
    <tableColumn id="52" xr3:uid="{6065E5F1-AF8C-4467-8609-F5EB882620C4}" name="SN1-16"/>
    <tableColumn id="53" xr3:uid="{C98854A5-099B-499C-8A2C-1673BEFF155D}" name="SN1-17"/>
    <tableColumn id="54" xr3:uid="{12ABD860-503B-429B-A3B4-663224BA7628}" name="SN1-18"/>
    <tableColumn id="55" xr3:uid="{0310E74D-D954-40A0-84DA-79D5154DFCA5}" name="SN1-19"/>
    <tableColumn id="56" xr3:uid="{73C28787-4F1A-4972-B8AA-32A02BAC5ADC}" name="SN1-20"/>
    <tableColumn id="57" xr3:uid="{42E21A32-6B39-4161-A48B-FAF4CE3D2E88}" name="SN1-21"/>
    <tableColumn id="58" xr3:uid="{8A23D571-F739-4056-AB27-4042B379666D}" name="SN1-22"/>
    <tableColumn id="59" xr3:uid="{3991F5B5-6BFB-47D3-A885-AECEB884B7F6}" name="SN1-23"/>
    <tableColumn id="60" xr3:uid="{D6C0E1A9-B301-4739-84D4-6DD8B0A6BC5C}" name="SN1-24"/>
    <tableColumn id="61" xr3:uid="{25064CA2-C098-406A-AD83-4E05C777754A}" name="SN1-25"/>
    <tableColumn id="62" xr3:uid="{567B5997-215F-4836-BE5E-7A5AC01EC616}" name="SN1-26"/>
    <tableColumn id="63" xr3:uid="{6E884540-2FCC-4786-B129-B7B8418DD988}" name="SN1-27"/>
    <tableColumn id="64" xr3:uid="{153C3FDA-252D-4D2D-A39C-10010C75DCB3}" name="SN1-28"/>
    <tableColumn id="65" xr3:uid="{F06DE315-BE0E-4AEF-871D-56555FE1F3B3}" name="SN1-29"/>
    <tableColumn id="66" xr3:uid="{DC050690-4929-4648-B46C-C255A0F5468C}" name="SN1-30"/>
    <tableColumn id="67" xr3:uid="{FD5190CD-7044-4D2F-B707-B5B9D07B28FC}" name="SN1-31"/>
    <tableColumn id="68" xr3:uid="{766540AD-524D-4543-A443-A29AA348142B}" name="SN1-32"/>
    <tableColumn id="69" xr3:uid="{08E7F0A6-ECD1-439B-A125-826745E9D543}" name="SN1-33"/>
    <tableColumn id="70" xr3:uid="{002838D6-8D3C-4086-A0F4-05FA0FBBE159}" name="SN1-34"/>
    <tableColumn id="71" xr3:uid="{1F3B840F-2236-4922-B441-EE11B8F88225}" name="SN1-35"/>
    <tableColumn id="72" xr3:uid="{B0D19987-261F-41DF-9963-346C4EA0CCD4}" name="SN1-36"/>
    <tableColumn id="73" xr3:uid="{76A5CE9F-BAC3-41FF-AC10-AEE98C7A84C5}" name="SN1-37"/>
    <tableColumn id="74" xr3:uid="{8D3D8F39-3976-4EBB-A30B-2C1C01E70090}" name="SN1-38"/>
    <tableColumn id="75" xr3:uid="{5E4060CE-794C-418A-B2D3-13B2F82050DD}" name="SN1-39"/>
    <tableColumn id="76" xr3:uid="{8057F788-56B2-4D25-83BC-3BAA420C1A3D}" name="SN1-40"/>
    <tableColumn id="77" xr3:uid="{A033B554-5902-4DFE-9CEF-66856CA30E0A}" name="SN1-41"/>
    <tableColumn id="78" xr3:uid="{CEFBCE14-96DA-46FC-A5FF-FDCC9DC42743}" name="SN1-42"/>
    <tableColumn id="79" xr3:uid="{F97D7CE1-DCCC-471E-9988-0C00EB2BD84D}" name="SN1-43"/>
    <tableColumn id="80" xr3:uid="{BF6C2C59-4E53-4BC2-BCBF-5C1396BCB5E0}" name="SN1-44"/>
    <tableColumn id="81" xr3:uid="{42D06381-9AF0-4307-9F31-6BF15D226173}" name="SN1-45"/>
    <tableColumn id="82" xr3:uid="{CEE8B12E-33A8-4799-A2D9-3C9DFD11FBB2}" name="SN1-46"/>
    <tableColumn id="83" xr3:uid="{6C59AC2C-CAEE-4850-8761-4CF97055B189}" name="SN1-47"/>
    <tableColumn id="84" xr3:uid="{2981988D-F63A-423F-9B24-8E68F9612F15}" name="SN1-48"/>
    <tableColumn id="85" xr3:uid="{7505CF4C-88C4-47B7-AC8E-8001160B4253}" name="SN1-49"/>
    <tableColumn id="86" xr3:uid="{433D47BA-B99D-4C6A-932D-32435413DA54}" name="SN1-50"/>
    <tableColumn id="87" xr3:uid="{A5723B52-1EC7-4A87-804C-7248DE7636B8}" name="SN1-51"/>
    <tableColumn id="88" xr3:uid="{66A11BBB-35A5-4EAC-A655-446AA1F971C3}" name="SN1-52"/>
    <tableColumn id="89" xr3:uid="{7F101A25-B40A-4854-BDE5-6858C31ABF7C}" name="SN1-53"/>
    <tableColumn id="90" xr3:uid="{39B2D643-AF52-4924-83B4-85EB8B6A5891}" name="SN1-54"/>
    <tableColumn id="91" xr3:uid="{77BCE4DF-D7D1-4686-BA7B-F153CA13B59A}" name="SN1-55"/>
    <tableColumn id="92" xr3:uid="{F16BECC7-397A-4CAA-8C77-E892BF595307}" name="SN1-56"/>
    <tableColumn id="93" xr3:uid="{E369CD64-0CB3-4C9C-B14F-177406496064}" name="SN1-57"/>
    <tableColumn id="94" xr3:uid="{65D0D1E3-8F6E-43FA-A773-9C3E54F92A8A}" name="SN1-58"/>
    <tableColumn id="95" xr3:uid="{07140697-5882-4E59-A33E-9A2CC8258AA6}" name="SN1-59"/>
    <tableColumn id="96" xr3:uid="{54012C5C-EB27-4B9C-8317-34FCFFCD0F34}" name="SN1-60"/>
    <tableColumn id="97" xr3:uid="{C29277E3-1BFE-4FCA-AA47-E9DCF5022BCD}" name="SN1-61"/>
    <tableColumn id="98" xr3:uid="{5CA5C596-9FA5-4B40-8D1B-B55D8F383298}" name="SN1-62"/>
    <tableColumn id="99" xr3:uid="{9217F098-0FD9-4866-8532-F154F7DA04D3}" name="SN1-63"/>
    <tableColumn id="100" xr3:uid="{64EDF938-413F-435D-BA56-8B1AC6AFAFBC}" name="SN1-64"/>
    <tableColumn id="101" xr3:uid="{9F5E457F-01CA-40FE-8404-FB1603A4EB72}" name="SN1-65"/>
    <tableColumn id="102" xr3:uid="{7E771947-EB44-4605-AE1C-B410A4E0091F}" name="SN1-66"/>
    <tableColumn id="103" xr3:uid="{0D9DC899-C4AB-4AC5-A10C-43789A52C320}" name="SN1-67"/>
    <tableColumn id="104" xr3:uid="{472FA036-6EE0-479C-BE1D-1B15FDAF93FB}" name="SN1-68"/>
    <tableColumn id="105" xr3:uid="{494DFCE2-CA96-4BD0-8947-A21C71155EAD}" name="SN2-1"/>
    <tableColumn id="106" xr3:uid="{077B1858-6B50-4604-8D70-908A2B517904}" name="SN2-2"/>
    <tableColumn id="107" xr3:uid="{CABE7292-E019-4392-A35C-8FBFDA5AA58C}" name="SN2-3"/>
    <tableColumn id="108" xr3:uid="{49C1595E-1626-47A0-858D-6720D1458B38}" name="SN2-4"/>
    <tableColumn id="109" xr3:uid="{89789F0A-1D33-41F5-B880-D3FA1E0B8FF7}" name="SN2-5"/>
    <tableColumn id="110" xr3:uid="{3D25E3B7-F192-488B-829E-4E399F59948E}" name="SN2-6"/>
    <tableColumn id="111" xr3:uid="{6ED467E3-D761-4AAD-A5EA-EBD9C98C39F6}" name="SN2-7"/>
    <tableColumn id="112" xr3:uid="{72695290-2409-4BFC-A025-E47289BCC4D7}" name="SN2-8"/>
    <tableColumn id="113" xr3:uid="{03A5812C-75CE-4017-9FA0-1E246254C218}" name="SN2-9"/>
    <tableColumn id="114" xr3:uid="{BD105EE6-E8B4-4A9F-B413-FC674C08FBF7}" name="SN2-10"/>
    <tableColumn id="115" xr3:uid="{976786E5-D0C6-4397-96DB-1209BB7F65A9}" name="SN2-11"/>
    <tableColumn id="116" xr3:uid="{5EF6D6CD-4463-4D3C-AA04-E571B603FB60}" name="SN2-12"/>
    <tableColumn id="117" xr3:uid="{72F68C73-1129-4F84-AD08-966F2A737712}" name="SN2-13"/>
    <tableColumn id="118" xr3:uid="{4C1058FF-8D7C-4F17-98B7-EC7D5B4B2100}" name="SN2-14"/>
    <tableColumn id="119" xr3:uid="{A50AA22C-2589-4513-B0E2-3A2D2A0C6B46}" name="SN2-15"/>
    <tableColumn id="120" xr3:uid="{55822755-658D-40B6-A5C1-F8E77F9FA573}" name="SN2-16"/>
    <tableColumn id="121" xr3:uid="{46198F4C-7AA3-48A9-A16E-EB6E0FC2FFA9}" name="SN2-17"/>
    <tableColumn id="122" xr3:uid="{0E26B3E3-B21B-4999-A9DD-8EED67BBD0E6}" name="SN2-18"/>
    <tableColumn id="123" xr3:uid="{0B00CE84-8E99-41BA-A345-A9C2E7D4D911}" name="SN2-19"/>
    <tableColumn id="124" xr3:uid="{1BCCE28A-814B-4DB9-A5D8-60EEEFA80441}" name="SN2-20"/>
    <tableColumn id="125" xr3:uid="{AC4554E3-B7C0-43E4-BAC2-026F047F5AA1}" name="SN2-21"/>
    <tableColumn id="126" xr3:uid="{C9DAFDFC-5BFA-4F46-92B9-BD58BD532A3E}" name="SN2-22"/>
    <tableColumn id="127" xr3:uid="{61B495C2-B813-4784-A17F-E6C515D547CC}" name="SN2-23"/>
    <tableColumn id="128" xr3:uid="{966BB828-9F14-41FC-BBA1-D70DD22D7AFA}" name="SN2-24"/>
    <tableColumn id="129" xr3:uid="{16BCA4F4-9018-4CB3-8A06-D8EC3D723CAC}" name="SN2-25"/>
    <tableColumn id="130" xr3:uid="{B70FAB7C-9702-405D-BC57-CBD677A9EB63}" name="SN2-26"/>
    <tableColumn id="131" xr3:uid="{EDA8804A-A814-4110-9D8A-F78FB844799C}" name="SN2-27"/>
    <tableColumn id="132" xr3:uid="{8CB9888C-F90A-4E26-8D01-6FC3317B5F18}" name="SN2-28"/>
    <tableColumn id="133" xr3:uid="{E5F5298E-B340-491E-AFF8-5F15A4645389}" name="SN2-29"/>
    <tableColumn id="134" xr3:uid="{D83C58ED-404A-41D8-A547-A3BF3F08EF29}" name="SN2-30"/>
    <tableColumn id="135" xr3:uid="{E592CC77-71AB-4B21-9788-E03986A4B96F}" name="SN2-31"/>
    <tableColumn id="136" xr3:uid="{DC42B9D4-4E18-4BC6-A1FD-0C3F66F14DAE}" name="SN2-32"/>
    <tableColumn id="137" xr3:uid="{2ED15615-04B7-461F-8C94-82550DA1D6AC}" name="SN2-33"/>
    <tableColumn id="138" xr3:uid="{D6888513-5D67-4295-A858-E4DE9140DF7E}" name="SN2-34"/>
    <tableColumn id="139" xr3:uid="{09135058-320C-4104-BD54-3CF1193F900F}" name="SN2-35"/>
    <tableColumn id="140" xr3:uid="{4834A63C-50E5-4BD8-8297-5DD51E701EAD}" name="SN2-36"/>
    <tableColumn id="141" xr3:uid="{DCD19E1A-AD83-4169-81F9-DFF1C7541367}" name="SN2-37"/>
    <tableColumn id="142" xr3:uid="{F0F7A32B-F408-41BF-A33D-E3B756E6A0D0}" name="SN2-38"/>
    <tableColumn id="143" xr3:uid="{DEA6958E-5401-48F4-9F11-99039AD5D309}" name="SN2-39"/>
    <tableColumn id="144" xr3:uid="{A3B155A7-6BF9-4F1E-9839-0BC2466E0155}" name="SN2-40"/>
    <tableColumn id="145" xr3:uid="{08BB810D-DDF2-4D10-B5EC-526F5338ECE7}" name="SN2-41"/>
    <tableColumn id="146" xr3:uid="{5DAFD0E9-82F5-4635-B01E-E7E510504758}" name="SN2-42"/>
    <tableColumn id="147" xr3:uid="{BAD41320-2D70-44B1-8F47-035ADCAB1164}" name="SN2-43"/>
    <tableColumn id="148" xr3:uid="{42741906-1705-45B6-808D-8817A69BFE6D}" name="SN2-44"/>
    <tableColumn id="149" xr3:uid="{0F6529FB-671A-49A4-AAC5-DFC5CFD0D162}" name="SN2-45"/>
    <tableColumn id="150" xr3:uid="{0933C3E8-5044-42C2-BB46-96B251E512EC}" name="SN2-46"/>
    <tableColumn id="151" xr3:uid="{DADEB67B-FED6-4F2C-83B3-BDB7AC22EB03}" name="SN2-47"/>
    <tableColumn id="152" xr3:uid="{5CAEBDFA-8336-4121-BA85-AB8FFECAB45C}" name="SN2-48"/>
    <tableColumn id="153" xr3:uid="{46763C5F-85F2-4825-996A-61488A88239E}" name="SN2-49"/>
    <tableColumn id="154" xr3:uid="{AFFC6F17-D753-4455-8655-BEA64A9B88BC}" name="SN2-50"/>
    <tableColumn id="155" xr3:uid="{926EC649-7571-4CEF-8A8B-81514DE26186}" name="SN2-51"/>
    <tableColumn id="156" xr3:uid="{7046E974-B4EA-4ED8-932A-86E5D6797124}" name="SN2-52"/>
    <tableColumn id="157" xr3:uid="{123B228B-C46C-4315-9F71-187F154B5691}" name="SN2-53"/>
    <tableColumn id="158" xr3:uid="{4D552A28-80E5-4A9D-B4B6-932DD0381278}" name="SN2-54"/>
    <tableColumn id="159" xr3:uid="{B233D977-C4BC-4A1B-84E7-3A8246DA9659}" name="SN2-55"/>
    <tableColumn id="160" xr3:uid="{07A748DF-D6AF-4DF1-9086-642FE1F02970}" name="SN2-56"/>
    <tableColumn id="161" xr3:uid="{6EC80F77-BEA7-4BCE-B789-43E1BE443D98}" name="SN2-57"/>
    <tableColumn id="162" xr3:uid="{E68DA696-3361-4F40-B286-43E20015EEEC}" name="SN2-58"/>
    <tableColumn id="163" xr3:uid="{607F477C-E136-492F-AD46-F8E5511CFED1}" name="SN2-59"/>
    <tableColumn id="164" xr3:uid="{495299B8-7B81-460C-8066-63462483E87D}" name="SN2-60"/>
    <tableColumn id="165" xr3:uid="{0E773732-FAB7-48FC-B48D-B0BBE8FB855C}" name="SN2-61"/>
    <tableColumn id="166" xr3:uid="{D49DEB12-6A6A-4C37-8857-B71AF3165C6D}" name="SN2-62"/>
    <tableColumn id="167" xr3:uid="{07A4EB3D-95D0-4622-A83A-72E83B04DF5B}" name="SN2-63"/>
    <tableColumn id="168" xr3:uid="{9EB9541C-4F9D-4EBB-988E-53848B074409}" name="SN2-64"/>
    <tableColumn id="169" xr3:uid="{DCAC9145-34D2-4AA4-A1AC-6651D2F4F0E0}" name="SN2-65"/>
    <tableColumn id="170" xr3:uid="{AF446D18-28A7-43DB-B26D-A596A7507A8C}" name="SN2-66"/>
    <tableColumn id="171" xr3:uid="{AB2109F0-4BB8-472D-A933-B4B01AEAA582}" name="SN2-67"/>
    <tableColumn id="172" xr3:uid="{98D585E7-9ED4-4CAD-8686-D115D6C2E984}" name="SN2-68"/>
    <tableColumn id="173" xr3:uid="{2B4F314E-6C46-422F-AB4F-8A142E40093D}" name="P-[M+H]+ Precursor Mass"/>
    <tableColumn id="174" xr3:uid="{77FEB684-1EFA-42EA-9D38-DFE92D2C1C7C}" name="P-Chainloss"/>
    <tableColumn id="175" xr3:uid="{710633D7-A804-4748-AEBE-77E4F8662F93}" name="P-Chainloss-H2O"/>
    <tableColumn id="176" xr3:uid="{2C975858-F583-49D1-80A0-E54907D03DC7}" name="P-SN1+2"/>
    <tableColumn id="177" xr3:uid="{BC5B8B50-B301-46D9-B8F9-F6D271E71625}" name="P--2SN"/>
    <tableColumn id="178" xr3:uid="{249F6781-FE39-4D70-BE98-D44F28F6CAFD}" name="P--SN2-H2O"/>
    <tableColumn id="179" xr3:uid="{C60846B3-2EA2-4507-9CE4-263D44797932}" name="P-SN1"/>
    <tableColumn id="180" xr3:uid="{6D1B708E-6872-4583-AF89-F610CF371B73}" name="P-SN2"/>
    <tableColumn id="181" xr3:uid="{62AB4461-2001-494F-9080-A41B15233049}" name="P-SN1-1"/>
    <tableColumn id="182" xr3:uid="{E56CF770-378B-492C-9E36-E7846840F406}" name="P-SN1-2"/>
    <tableColumn id="183" xr3:uid="{BB127117-0910-4509-A988-1B3DBA98E334}" name="P-SN1-3"/>
    <tableColumn id="184" xr3:uid="{4AF97FC9-A099-4431-9DEA-ACF0D4E996B4}" name="P-SN1-4"/>
    <tableColumn id="185" xr3:uid="{ACFE3F22-FDF6-4535-881E-F4FAF208E965}" name="P-SN1-5"/>
    <tableColumn id="186" xr3:uid="{6F5052F4-2DA8-4D96-81C5-8BCA8D173FC0}" name="P-SN1-6"/>
    <tableColumn id="187" xr3:uid="{D849E33C-D6A2-493F-9254-89AE99D66941}" name="P-SN1-7"/>
    <tableColumn id="188" xr3:uid="{999E0829-2C15-42D3-A75B-E324D0FB6C34}" name="P-SN1-8"/>
    <tableColumn id="189" xr3:uid="{F5A8F5E4-E976-40E0-94B9-0D7A82680CCE}" name="P-SN1-9"/>
    <tableColumn id="190" xr3:uid="{2AECDBB0-7DC1-4867-8ABB-3EBFB541A269}" name="P-SN1-10"/>
    <tableColumn id="191" xr3:uid="{82932DE4-28A9-43C1-903B-934E0B273539}" name="P-SN1-11"/>
    <tableColumn id="192" xr3:uid="{B828BE0F-4D31-4AAB-A0D5-CE15C92E615B}" name="P-SN1-12"/>
    <tableColumn id="193" xr3:uid="{630149A8-764D-4BAC-8BFD-BB1EB3DEC5F0}" name="P-SN1-13"/>
    <tableColumn id="194" xr3:uid="{4A5BA034-8F36-4F77-B31C-A2CA06FAC56C}" name="P-SN1-14"/>
    <tableColumn id="195" xr3:uid="{981CAF0A-3B06-4734-8269-A1202A2B90B2}" name="P-SN1-15"/>
    <tableColumn id="196" xr3:uid="{729EEF5F-C393-4B40-A5DD-F129353F0F41}" name="P-SN1-16"/>
    <tableColumn id="197" xr3:uid="{B667633B-28B6-4223-9582-17695EE35119}" name="P-SN1-17"/>
    <tableColumn id="198" xr3:uid="{89243D77-18D4-41F3-904B-20079BB8DDD1}" name="P-SN1-18"/>
    <tableColumn id="199" xr3:uid="{236A0D56-C960-4AD1-BF2D-71B9A52DAF6E}" name="P-SN1-19"/>
    <tableColumn id="200" xr3:uid="{764BDF92-308A-4E10-9EFD-A6788EE24AAC}" name="P-SN1-20"/>
    <tableColumn id="201" xr3:uid="{7CF86C5B-5D16-45C8-90E3-5E03E42E9047}" name="P-SN1-21"/>
    <tableColumn id="202" xr3:uid="{DD46D672-1F33-4E4F-A91C-595880EB4A8B}" name="P-SN1-22"/>
    <tableColumn id="203" xr3:uid="{05C7C346-C58D-424D-BE35-9FFB8A5BB5CD}" name="P-SN1-23"/>
    <tableColumn id="204" xr3:uid="{73F217EB-900C-401F-8336-60A63A4A91C8}" name="P-SN1-24"/>
    <tableColumn id="205" xr3:uid="{6F22B604-C242-4381-BF57-411A3B3D4A73}" name="P-SN1-25"/>
    <tableColumn id="206" xr3:uid="{3DE4EF62-3906-4FCE-93F4-E9856EFBC4CE}" name="P-SN1-26"/>
    <tableColumn id="207" xr3:uid="{690812EC-7F4F-45BC-BC08-2A4FDAE9CFE1}" name="P-SN1-27"/>
    <tableColumn id="208" xr3:uid="{001B8584-5208-467E-9111-B3FFC798EEEE}" name="P-SN1-28"/>
    <tableColumn id="209" xr3:uid="{F87985A7-F3AC-43A8-8149-F528246CC0EB}" name="P-SN1-29"/>
    <tableColumn id="210" xr3:uid="{CC300156-8FDA-4DE1-99F2-31C0AFECE1D6}" name="P-SN1-30"/>
    <tableColumn id="211" xr3:uid="{89D5F985-D50D-4F7C-B0B3-6B5DBB2739B4}" name="P-SN1-31"/>
    <tableColumn id="212" xr3:uid="{2AED97B5-7AF1-420C-9DBA-C18181B974EC}" name="P-SN1-32"/>
    <tableColumn id="213" xr3:uid="{43BF6523-1CA6-4917-9942-8B5BFBC82186}" name="P-SN1-33"/>
    <tableColumn id="214" xr3:uid="{924AAE64-466C-4A13-9B53-97E66DAA4861}" name="P-SN1-34"/>
    <tableColumn id="215" xr3:uid="{C41AC23E-B2D8-4C01-BFA9-A85B6117566B}" name="P-SN1-35"/>
    <tableColumn id="216" xr3:uid="{7B782967-AD66-4503-A154-E0763FF57051}" name="P-SN1-36"/>
    <tableColumn id="217" xr3:uid="{A7F03B7B-3614-482A-83FA-A3025B7348DC}" name="P-SN1-37"/>
    <tableColumn id="218" xr3:uid="{1CFC5353-18E2-40A3-BDEB-B2494F944F63}" name="P-SN1-38"/>
    <tableColumn id="219" xr3:uid="{51E86E3A-415F-4DD0-8344-1875A7BDF276}" name="P-SN1-39"/>
    <tableColumn id="220" xr3:uid="{9B62FB56-313C-4DD7-80CF-04045655E2C6}" name="P-SN1-40"/>
    <tableColumn id="221" xr3:uid="{4296D2C2-4B78-4D9E-9708-5A18ADFF4E41}" name="P-SN1-41"/>
    <tableColumn id="222" xr3:uid="{56868BA8-6F60-4497-9ADC-CD4A05CC172D}" name="P-SN1-42"/>
    <tableColumn id="223" xr3:uid="{6FCD7397-C0AE-4B4D-9FD7-ABCB253388FC}" name="P-SN1-43"/>
    <tableColumn id="224" xr3:uid="{B5E5EE11-2A88-4E45-955D-FFFB12AE7210}" name="P-SN1-44"/>
    <tableColumn id="225" xr3:uid="{6C4EDC17-3355-4C25-87A4-35D736965AC5}" name="P-SN1-45"/>
    <tableColumn id="226" xr3:uid="{699E13BB-AB69-4636-90FF-1BC3BB70A9D2}" name="P-SN1-46"/>
    <tableColumn id="227" xr3:uid="{63179980-2A24-43FF-8A3C-AE541119A489}" name="P-SN1-47"/>
    <tableColumn id="228" xr3:uid="{F3AD299D-580E-4F40-927B-4AA3312EC268}" name="P-SN1-48"/>
    <tableColumn id="229" xr3:uid="{DD9B3E42-337D-424E-8146-8C932DFA937A}" name="P-SN1-49"/>
    <tableColumn id="230" xr3:uid="{9782DB17-2051-4F19-BD0E-DE438BB421AF}" name="P-SN1-50"/>
    <tableColumn id="231" xr3:uid="{DDBE6E45-920B-4424-93B9-9A7AC4367A43}" name="P-SN1-51"/>
    <tableColumn id="232" xr3:uid="{B46CE1D9-B1A1-4D8E-A69F-6F348340384D}" name="P-SN1-52"/>
    <tableColumn id="233" xr3:uid="{D3325095-B17D-4AD8-99FA-A94528C99A8F}" name="P-SN1-53"/>
    <tableColumn id="234" xr3:uid="{4A2B8079-8BFE-43D9-ADD9-7BCCC0ED262D}" name="P-SN1-54"/>
    <tableColumn id="235" xr3:uid="{C04B691E-4E3F-4CB0-AD8C-A2BF270B910C}" name="P-SN1-55"/>
    <tableColumn id="236" xr3:uid="{87DD5F0A-82A9-4311-A816-D299D12E2811}" name="P-SN1-56"/>
    <tableColumn id="237" xr3:uid="{9A01ABEB-46C0-47E6-8A5C-FF8DA7E558AF}" name="P-SN1-57"/>
    <tableColumn id="238" xr3:uid="{D6C7C84A-423B-4E65-930D-D1839E8008E7}" name="P-SN1-58"/>
    <tableColumn id="239" xr3:uid="{03E26D94-2BC7-4243-B1DE-0B25234A1E32}" name="P-SN1-59"/>
    <tableColumn id="240" xr3:uid="{FEDDDB2B-EEB7-41DF-A4FD-5DFBC1B7A190}" name="P-SN1-60"/>
    <tableColumn id="241" xr3:uid="{74652812-1791-4AD7-9BA7-27D4905F3CB2}" name="P-SN1-61"/>
    <tableColumn id="242" xr3:uid="{8FEA84A3-C9C4-4D18-BD4D-DFBA33C886B8}" name="P-SN1-62"/>
    <tableColumn id="243" xr3:uid="{45BED697-5322-4561-8832-3E7B8AC971E8}" name="P-SN1-63"/>
    <tableColumn id="244" xr3:uid="{1A6354D7-B1BE-41A8-A54C-EF4349925A73}" name="P-SN1-64"/>
    <tableColumn id="245" xr3:uid="{77C6AEFB-3BEF-4F52-B3BA-01883188FF6D}" name="P-SN1-65"/>
    <tableColumn id="246" xr3:uid="{6BAFD3A5-2FC3-4BBE-937A-B37681D68260}" name="P-SN1-66"/>
    <tableColumn id="247" xr3:uid="{AD3974FC-2865-498D-B3FB-536E616CE2EA}" name="P-SN1-67"/>
    <tableColumn id="248" xr3:uid="{C613BE1C-49E8-407C-8700-314765BA1AD7}" name="P-SN1-68"/>
    <tableColumn id="249" xr3:uid="{39DDFF1E-09B9-4B25-A2B3-3B896062EDD3}" name="P-SN2-1"/>
    <tableColumn id="250" xr3:uid="{1C2B73B0-AFE8-4642-BEFA-1D31A7E64B88}" name="P-SN2-2"/>
    <tableColumn id="251" xr3:uid="{82824F5C-D32E-4A06-B917-F656BC9408CD}" name="P-SN2-3"/>
    <tableColumn id="252" xr3:uid="{CCBF3E8F-3F80-457D-8413-E2462F373A43}" name="P-SN2-4"/>
    <tableColumn id="253" xr3:uid="{A85EE130-531D-4C30-8146-23AAB4637652}" name="P-SN2-5"/>
    <tableColumn id="254" xr3:uid="{E01C3087-E432-43C8-A6D6-DD9DF90E0B8A}" name="P-SN2-6"/>
    <tableColumn id="255" xr3:uid="{BEE6BFF9-3707-4BDD-A17E-B67E0BD2D8A3}" name="P-SN2-7"/>
    <tableColumn id="256" xr3:uid="{FCAA3AED-91A8-40F9-BEC3-F0A95603B9D5}" name="P-SN2-8"/>
    <tableColumn id="257" xr3:uid="{4F5CC2BC-9A2F-46BF-AD43-6692CE863F2F}" name="P-SN2-9"/>
    <tableColumn id="258" xr3:uid="{61132A11-4100-4CEF-8D65-E21D60B926AB}" name="P-SN2-10"/>
    <tableColumn id="259" xr3:uid="{5177874C-D9B5-44C0-884A-A30C0C2F199A}" name="P-SN2-11"/>
    <tableColumn id="260" xr3:uid="{8C2A9D63-13BB-484C-9F5A-DC87F03AD2DB}" name="P-SN2-12"/>
    <tableColumn id="261" xr3:uid="{45218444-B106-4485-9D52-63DF4A3ED331}" name="P-SN2-13"/>
    <tableColumn id="262" xr3:uid="{A1A8DFEA-C393-4FF6-B74F-72252BD82079}" name="P-SN2-14"/>
    <tableColumn id="263" xr3:uid="{83B00682-7E60-4CF8-BDC0-0F7390F350E3}" name="P-SN2-15"/>
    <tableColumn id="264" xr3:uid="{4DD66350-D8CB-4AE7-92E3-4D5234E91DA8}" name="P-SN2-16"/>
    <tableColumn id="265" xr3:uid="{92ADF234-BF6F-41EB-BC90-5EE0108A34D1}" name="P-SN2-17"/>
    <tableColumn id="266" xr3:uid="{E02895B2-FE61-4463-8319-B8AD3E697EC3}" name="P-SN2-18"/>
    <tableColumn id="267" xr3:uid="{E5C92F1A-7A71-4396-BC43-14C70D6A8EBC}" name="P-SN2-19"/>
    <tableColumn id="268" xr3:uid="{D04212F6-75E9-41A7-B044-87966DBB1F85}" name="P-SN2-20"/>
    <tableColumn id="269" xr3:uid="{25FF051C-B3E2-4220-BDD4-3A9E2DE7112A}" name="P-SN2-21"/>
    <tableColumn id="270" xr3:uid="{9DC4D29B-CAF2-451A-A051-D4BED1232C49}" name="P-SN2-22"/>
    <tableColumn id="271" xr3:uid="{948B3158-9DDA-4A88-860F-00068EE57507}" name="P-SN2-23"/>
    <tableColumn id="272" xr3:uid="{4B6E1472-6077-4E83-88B9-D29CE7A88FFB}" name="P-SN2-24"/>
    <tableColumn id="273" xr3:uid="{3C045F31-00FB-40CE-AF76-EDDA846C26DD}" name="P-SN2-25"/>
    <tableColumn id="274" xr3:uid="{6FD57790-987D-40B7-BE3F-3EA495829F92}" name="P-SN2-26"/>
    <tableColumn id="275" xr3:uid="{41FC9CA3-AA09-42ED-95DB-274E0C30513C}" name="P-SN2-27"/>
    <tableColumn id="276" xr3:uid="{8ADE6963-2E58-4846-8621-61AF7427BDB8}" name="P-SN2-28"/>
    <tableColumn id="277" xr3:uid="{7A8749A5-2454-40D9-8136-239A46AA6656}" name="P-SN2-29"/>
    <tableColumn id="278" xr3:uid="{1AEED31F-EEEB-4A58-84AF-D03382B3E590}" name="P-SN2-30"/>
    <tableColumn id="279" xr3:uid="{A61D7EFF-C13D-4B4F-9C64-D2D7EDA227B5}" name="P-SN2-31"/>
    <tableColumn id="280" xr3:uid="{2AFA788B-09DA-4443-8F88-92E250E9C65E}" name="P-SN2-32"/>
    <tableColumn id="281" xr3:uid="{E63C5BC5-CF07-4A5F-B64C-284242CD7B04}" name="P-SN2-33"/>
    <tableColumn id="282" xr3:uid="{81093A8E-0D18-4864-9E38-C59C2673AF67}" name="P-SN2-34"/>
    <tableColumn id="283" xr3:uid="{8124292B-FF05-46E2-AB9D-E9CA01DE3C00}" name="P-SN2-35"/>
    <tableColumn id="284" xr3:uid="{026D9F87-4089-4EC4-ADD5-257CF4AD389C}" name="P-SN2-36"/>
    <tableColumn id="285" xr3:uid="{4AFA1CDC-A179-4231-81ED-65C3A5453430}" name="P-SN2-37"/>
    <tableColumn id="286" xr3:uid="{76A2F767-7943-4918-9B95-3CE8DAD725DD}" name="P-SN2-38"/>
    <tableColumn id="287" xr3:uid="{9A492E9D-DB79-449B-847C-C7D2EDDF5E2D}" name="P-SN2-39"/>
    <tableColumn id="288" xr3:uid="{14F384DC-4338-4730-AF9A-4328BE9E3CB0}" name="P-SN2-40"/>
    <tableColumn id="289" xr3:uid="{C3AC46EB-2E3A-46CB-9F92-32EA760B86A1}" name="P-SN2-41"/>
    <tableColumn id="290" xr3:uid="{BB6ECE82-A47E-4CE2-A810-056AE086B053}" name="P-SN2-42"/>
    <tableColumn id="291" xr3:uid="{D7EC82FB-11B5-475C-B8B1-02C9ECF9FB18}" name="P-SN2-43"/>
    <tableColumn id="292" xr3:uid="{A22DEA10-47AE-49C7-84B1-E6B89D7F9B13}" name="P-SN2-44"/>
    <tableColumn id="293" xr3:uid="{8D5EB97E-3829-4741-B58F-4D323BB6D666}" name="P-SN2-45"/>
    <tableColumn id="294" xr3:uid="{033EBBD9-07DF-4062-8177-6DC3AC41022A}" name="P-SN2-46"/>
    <tableColumn id="295" xr3:uid="{0204BC91-6604-41F5-AA09-E559F5A973DB}" name="P-SN2-47"/>
    <tableColumn id="296" xr3:uid="{D9EFE84F-345F-49D8-9CFE-CB17C80B937E}" name="P-SN2-48"/>
    <tableColumn id="297" xr3:uid="{16EDDF1E-7F55-4D23-BD43-134B365E243B}" name="P-SN2-49"/>
    <tableColumn id="298" xr3:uid="{A382DA66-31C7-4649-B7C5-2C905B6F69EF}" name="P-SN2-50"/>
    <tableColumn id="299" xr3:uid="{79ECCEC9-2250-49B9-87DE-23AF7476AA63}" name="P-SN2-51"/>
    <tableColumn id="300" xr3:uid="{96454088-0BA2-406B-99D8-655A220D2DD4}" name="P-SN2-52"/>
    <tableColumn id="301" xr3:uid="{B1D99CC0-0B98-4C8C-BA0F-800874C56BED}" name="P-SN2-53"/>
    <tableColumn id="302" xr3:uid="{7B905342-AD7B-46F9-A068-6484637093BC}" name="P-SN2-54"/>
    <tableColumn id="303" xr3:uid="{8155CCEC-E064-4888-AB70-9A8701A289AC}" name="P-SN2-55"/>
    <tableColumn id="304" xr3:uid="{9ECC23B7-3865-4750-A9E2-8CCFBBED1364}" name="P-SN2-56"/>
    <tableColumn id="305" xr3:uid="{13B8E171-9D5F-4C9D-AF07-C4B72D0DA854}" name="P-SN2-57"/>
    <tableColumn id="306" xr3:uid="{B6F84B59-DD01-40FC-A2A4-C8185FCB9981}" name="P-SN2-58"/>
    <tableColumn id="307" xr3:uid="{334959F8-336E-42A4-BD2B-139BFEB1B531}" name="P-SN2-59"/>
    <tableColumn id="308" xr3:uid="{099032EA-6EDC-42D9-9838-4BDA8FC70861}" name="P-SN2-60"/>
    <tableColumn id="309" xr3:uid="{E91E8699-941C-4369-9607-0E9524A21E00}" name="P-SN2-61"/>
    <tableColumn id="310" xr3:uid="{E060AC6A-BC3A-407C-B264-BEE18C76DFF1}" name="P-SN2-62"/>
    <tableColumn id="311" xr3:uid="{30136EFB-627A-4261-B502-1C443E167855}" name="P-SN2-63"/>
    <tableColumn id="312" xr3:uid="{51D10B6C-2990-46E8-9780-5BE74BB2CFE3}" name="P-SN2-64"/>
    <tableColumn id="313" xr3:uid="{03A22D5C-CA62-489B-962B-A11E378C19A6}" name="P-SN2-65"/>
    <tableColumn id="314" xr3:uid="{603C143B-E9DC-4CC9-A7A0-77D4EDEA1D20}" name="P-SN2-66"/>
    <tableColumn id="315" xr3:uid="{08BD20A6-3776-4EC9-B50A-109D1866B3F7}" name="P-SN2-67"/>
    <tableColumn id="316" xr3:uid="{D30C469A-FB3A-4E5D-9422-243981767679}" name="P-SN2-6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1033ABF-0829-405F-9832-B77FADD43CB1}" name="表1__34" displayName="表1__34" ref="A6:LX26" tableType="queryTable" totalsRowShown="0" headerRowDxfId="678" dataDxfId="677">
  <autoFilter ref="A6:LX26" xr:uid="{79A61EF6-F139-42FC-B6D1-B48DC4BC625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  <filterColumn colId="200" hiddenButton="1"/>
    <filterColumn colId="201" hiddenButton="1"/>
    <filterColumn colId="202" hiddenButton="1"/>
    <filterColumn colId="203" hiddenButton="1"/>
    <filterColumn colId="204" hiddenButton="1"/>
    <filterColumn colId="205" hiddenButton="1"/>
    <filterColumn colId="206" hiddenButton="1"/>
    <filterColumn colId="207" hiddenButton="1"/>
    <filterColumn colId="208" hiddenButton="1"/>
    <filterColumn colId="209" hiddenButton="1"/>
    <filterColumn colId="210" hiddenButton="1"/>
    <filterColumn colId="211" hiddenButton="1"/>
    <filterColumn colId="212" hiddenButton="1"/>
    <filterColumn colId="213" hiddenButton="1"/>
    <filterColumn colId="214" hiddenButton="1"/>
    <filterColumn colId="215" hiddenButton="1"/>
    <filterColumn colId="216" hiddenButton="1"/>
    <filterColumn colId="217" hiddenButton="1"/>
    <filterColumn colId="218" hiddenButton="1"/>
    <filterColumn colId="219" hiddenButton="1"/>
    <filterColumn colId="220" hiddenButton="1"/>
    <filterColumn colId="221" hiddenButton="1"/>
    <filterColumn colId="222" hiddenButton="1"/>
    <filterColumn colId="223" hiddenButton="1"/>
    <filterColumn colId="224" hiddenButton="1"/>
    <filterColumn colId="225" hiddenButton="1"/>
    <filterColumn colId="226" hiddenButton="1"/>
    <filterColumn colId="227" hiddenButton="1"/>
    <filterColumn colId="228" hiddenButton="1"/>
    <filterColumn colId="229" hiddenButton="1"/>
    <filterColumn colId="230" hiddenButton="1"/>
    <filterColumn colId="231" hiddenButton="1"/>
    <filterColumn colId="232" hiddenButton="1"/>
    <filterColumn colId="233" hiddenButton="1"/>
    <filterColumn colId="234" hiddenButton="1"/>
    <filterColumn colId="235" hiddenButton="1"/>
    <filterColumn colId="236" hiddenButton="1"/>
    <filterColumn colId="237" hiddenButton="1"/>
    <filterColumn colId="238" hiddenButton="1"/>
    <filterColumn colId="239" hiddenButton="1"/>
    <filterColumn colId="240" hiddenButton="1"/>
    <filterColumn colId="241" hiddenButton="1"/>
    <filterColumn colId="242" hiddenButton="1"/>
    <filterColumn colId="243" hiddenButton="1"/>
    <filterColumn colId="244" hiddenButton="1"/>
    <filterColumn colId="245" hiddenButton="1"/>
    <filterColumn colId="246" hiddenButton="1"/>
    <filterColumn colId="247" hiddenButton="1"/>
    <filterColumn colId="248" hiddenButton="1"/>
    <filterColumn colId="249" hiddenButton="1"/>
    <filterColumn colId="250" hiddenButton="1"/>
    <filterColumn colId="251" hiddenButton="1"/>
    <filterColumn colId="252" hiddenButton="1"/>
    <filterColumn colId="253" hiddenButton="1"/>
    <filterColumn colId="254" hiddenButton="1"/>
    <filterColumn colId="255" hiddenButton="1"/>
    <filterColumn colId="256" hiddenButton="1"/>
    <filterColumn colId="257" hiddenButton="1"/>
    <filterColumn colId="258" hiddenButton="1"/>
    <filterColumn colId="259" hiddenButton="1"/>
    <filterColumn colId="260" hiddenButton="1"/>
    <filterColumn colId="261" hiddenButton="1"/>
    <filterColumn colId="262" hiddenButton="1"/>
    <filterColumn colId="263" hiddenButton="1"/>
    <filterColumn colId="264" hiddenButton="1"/>
    <filterColumn colId="265" hiddenButton="1"/>
    <filterColumn colId="266" hiddenButton="1"/>
    <filterColumn colId="267" hiddenButton="1"/>
    <filterColumn colId="268" hiddenButton="1"/>
    <filterColumn colId="269" hiddenButton="1"/>
    <filterColumn colId="270" hiddenButton="1"/>
    <filterColumn colId="271" hiddenButton="1"/>
    <filterColumn colId="272" hiddenButton="1"/>
    <filterColumn colId="273" hiddenButton="1"/>
    <filterColumn colId="274" hiddenButton="1"/>
    <filterColumn colId="275" hiddenButton="1"/>
    <filterColumn colId="276" hiddenButton="1"/>
    <filterColumn colId="277" hiddenButton="1"/>
    <filterColumn colId="278" hiddenButton="1"/>
    <filterColumn colId="279" hiddenButton="1"/>
    <filterColumn colId="280" hiddenButton="1"/>
    <filterColumn colId="281" hiddenButton="1"/>
    <filterColumn colId="282" hiddenButton="1"/>
    <filterColumn colId="283" hiddenButton="1"/>
    <filterColumn colId="284" hiddenButton="1"/>
    <filterColumn colId="285" hiddenButton="1"/>
    <filterColumn colId="286" hiddenButton="1"/>
    <filterColumn colId="287" hiddenButton="1"/>
    <filterColumn colId="288" hiddenButton="1"/>
    <filterColumn colId="289" hiddenButton="1"/>
    <filterColumn colId="290" hiddenButton="1"/>
    <filterColumn colId="291" hiddenButton="1"/>
    <filterColumn colId="292" hiddenButton="1"/>
    <filterColumn colId="293" hiddenButton="1"/>
    <filterColumn colId="294" hiddenButton="1"/>
    <filterColumn colId="295" hiddenButton="1"/>
    <filterColumn colId="296" hiddenButton="1"/>
    <filterColumn colId="297" hiddenButton="1"/>
    <filterColumn colId="298" hiddenButton="1"/>
    <filterColumn colId="299" hiddenButton="1"/>
    <filterColumn colId="300" hiddenButton="1"/>
    <filterColumn colId="301" hiddenButton="1"/>
    <filterColumn colId="302" hiddenButton="1"/>
    <filterColumn colId="303" hiddenButton="1"/>
    <filterColumn colId="304" hiddenButton="1"/>
    <filterColumn colId="305" hiddenButton="1"/>
    <filterColumn colId="306" hiddenButton="1"/>
    <filterColumn colId="307" hiddenButton="1"/>
    <filterColumn colId="308" hiddenButton="1"/>
    <filterColumn colId="309" hiddenButton="1"/>
    <filterColumn colId="310" hiddenButton="1"/>
    <filterColumn colId="311" hiddenButton="1"/>
    <filterColumn colId="312" hiddenButton="1"/>
    <filterColumn colId="313" hiddenButton="1"/>
    <filterColumn colId="314" hiddenButton="1"/>
    <filterColumn colId="315" hiddenButton="1"/>
    <filterColumn colId="316" hiddenButton="1"/>
    <filterColumn colId="317" hiddenButton="1"/>
    <filterColumn colId="318" hiddenButton="1"/>
    <filterColumn colId="319" hiddenButton="1"/>
    <filterColumn colId="320" hiddenButton="1"/>
    <filterColumn colId="321" hiddenButton="1"/>
    <filterColumn colId="322" hiddenButton="1"/>
    <filterColumn colId="323" hiddenButton="1"/>
    <filterColumn colId="324" hiddenButton="1"/>
    <filterColumn colId="325" hiddenButton="1"/>
    <filterColumn colId="326" hiddenButton="1"/>
    <filterColumn colId="327" hiddenButton="1"/>
    <filterColumn colId="328" hiddenButton="1"/>
    <filterColumn colId="329" hiddenButton="1"/>
    <filterColumn colId="330" hiddenButton="1"/>
    <filterColumn colId="331" hiddenButton="1"/>
    <filterColumn colId="332" hiddenButton="1"/>
    <filterColumn colId="333" hiddenButton="1"/>
    <filterColumn colId="334" hiddenButton="1"/>
    <filterColumn colId="335" hiddenButton="1"/>
  </autoFilter>
  <tableColumns count="336">
    <tableColumn id="1" xr3:uid="{98363CD6-51F6-48E8-9062-F2E0CE0B9FAA}" uniqueName="1" name="CdId" queryTableFieldId="1" dataDxfId="676"/>
    <tableColumn id="2" xr3:uid="{CAE1BC6A-F7B9-49B5-957F-C64AE302FF0D}" uniqueName="2" name="ExactMass" queryTableFieldId="2" dataDxfId="675"/>
    <tableColumn id="3" xr3:uid="{358B3F29-A272-41C9-8162-419528536918}" uniqueName="3" name="Name" queryTableFieldId="3" dataDxfId="674"/>
    <tableColumn id="4" xr3:uid="{0375C395-3255-4CAF-A1D2-99BE89BC1E59}" uniqueName="4" name="Formula" queryTableFieldId="4" dataDxfId="673"/>
    <tableColumn id="5" xr3:uid="{D09C99B4-42B9-4AD4-AB07-7EB44A038AE9}" uniqueName="5" name="Code" queryTableFieldId="5" dataDxfId="672"/>
    <tableColumn id="6" xr3:uid="{B7DCE79E-27BD-4128-A447-43215E250C32}" uniqueName="6" name="InChI" queryTableFieldId="6" dataDxfId="671"/>
    <tableColumn id="7" xr3:uid="{0E573940-4264-4C66-B81F-7178A1F841D1}" uniqueName="7" name="SMILES" queryTableFieldId="7" dataDxfId="670"/>
    <tableColumn id="8" xr3:uid="{D8219B62-5204-429C-B15E-78ED0186F6C5}" uniqueName="8" name="CCS" queryTableFieldId="8" dataDxfId="669" dataCellStyle="常规 2 2 2"/>
    <tableColumn id="9" xr3:uid="{BCA41BCF-7A37-4B11-8710-4C6AFE424F7D}" uniqueName="9" name="RT" queryTableFieldId="9" dataDxfId="668" dataCellStyle="常规 2 2 2"/>
    <tableColumn id="10" xr3:uid="{6580832D-77AA-4288-AE74-3E69994F107B}" uniqueName="10" name="logP" queryTableFieldId="10" dataDxfId="667"/>
    <tableColumn id="11" xr3:uid="{5110300E-A5CE-467E-8F22-848293B0BB01}" uniqueName="11" name="InChIKey" queryTableFieldId="11" dataDxfId="666" dataCellStyle="常规 2 2 2"/>
    <tableColumn id="12" xr3:uid="{F5C6B8A8-179B-4336-9A8D-A914FE8BBA52}" uniqueName="12" name="IUPAC" queryTableFieldId="12" dataDxfId="665"/>
    <tableColumn id="13" xr3:uid="{804A7E32-2FDA-4F7C-BA4D-014293C92A8A}" uniqueName="13" name="Confidence" queryTableFieldId="13" dataDxfId="664"/>
    <tableColumn id="14" xr3:uid="{4E826966-D533-4C84-93E3-97A5FE08EF6B}" uniqueName="14" name="Name2" queryTableFieldId="14" dataDxfId="663"/>
    <tableColumn id="15" xr3:uid="{BC5C53E0-1714-455F-823D-B56CF1653214}" uniqueName="15" name="OH1" queryTableFieldId="15" dataDxfId="662"/>
    <tableColumn id="16" xr3:uid="{64DB7EE2-1C65-437C-B151-545AA7C9F9D2}" uniqueName="16" name="OH2" queryTableFieldId="16" dataDxfId="661"/>
    <tableColumn id="17" xr3:uid="{9507533B-7968-4398-8317-81C9DAC3972E}" uniqueName="17" name="Branch1" queryTableFieldId="17" dataDxfId="660"/>
    <tableColumn id="18" xr3:uid="{BA343E69-EC32-4286-9A85-1B7D2E3818D1}" uniqueName="18" name="Branch2" queryTableFieldId="18" dataDxfId="659"/>
    <tableColumn id="19" xr3:uid="{34F2F81F-D689-4C72-B7FB-E1FF7567432E}" uniqueName="19" name="Rings" queryTableFieldId="19" dataDxfId="658"/>
    <tableColumn id="20" xr3:uid="{F34298AA-973B-4E07-BD5D-433612F33F79}" uniqueName="20" name="Sn2 Chain Length" queryTableFieldId="20" dataDxfId="657"/>
    <tableColumn id="21" xr3:uid="{61A97769-03AB-4067-9D90-C0CE68A893B2}" uniqueName="21" name="Sn2 Double Bonds" queryTableFieldId="21" dataDxfId="656"/>
    <tableColumn id="22" xr3:uid="{C37AE519-AA52-488A-B7A6-E8C53E08D5FA}" uniqueName="22" name="Sn3 Chain Length" queryTableFieldId="22" dataDxfId="655"/>
    <tableColumn id="23" xr3:uid="{AA875802-D02A-475D-AA9C-31A5C8FAB111}" uniqueName="23" name="Sn3 Double Bonds" queryTableFieldId="23" dataDxfId="654"/>
    <tableColumn id="24" xr3:uid="{C589A166-7112-4A4F-8363-4718CB91E50A}" uniqueName="24" name="Short Name" queryTableFieldId="24" dataDxfId="653"/>
    <tableColumn id="25" xr3:uid="{25F1BDD0-910D-4CBF-AF81-474E0756E0D0}" uniqueName="25" name="SN1 acyl loss" queryTableFieldId="25" dataDxfId="652"/>
    <tableColumn id="26" xr3:uid="{AA9D63C7-EF00-4C3A-9E49-E8D0D0C9F3D3}" uniqueName="26" name="SN1-H2O" queryTableFieldId="26" dataDxfId="651"/>
    <tableColumn id="27" xr3:uid="{A1DDF5E5-DBC5-40C4-8B37-1956136CE5EC}" uniqueName="27" name="SN2 acyl loss" queryTableFieldId="27" dataDxfId="650"/>
    <tableColumn id="28" xr3:uid="{FC783F3E-445A-43FB-BD7A-C1D880A24277}" uniqueName="28" name="SN2-H2O" queryTableFieldId="28" dataDxfId="649"/>
    <tableColumn id="29" xr3:uid="{5606BD20-5F76-4274-8CC7-8A0BEA2688E4}" uniqueName="29" name="[M+H]+ Precursor Mass" queryTableFieldId="29" dataDxfId="648"/>
    <tableColumn id="317" xr3:uid="{837F9853-2637-478B-9645-F435985E49EA}" uniqueName="317" name="Head loss" queryTableFieldId="320" dataDxfId="647"/>
    <tableColumn id="325" xr3:uid="{4801A17C-DFFB-4431-9DE2-5712D4B2188F}" uniqueName="325" name="Head-Particalloss" queryTableFieldId="326" dataDxfId="646"/>
    <tableColumn id="30" xr3:uid="{99373F00-2E0C-4C3D-9CDD-3793937FE464}" uniqueName="30" name="Chainloss" queryTableFieldId="30" dataDxfId="645"/>
    <tableColumn id="318" xr3:uid="{F1713A72-A80D-4373-A12A-8F3C42865D17}" uniqueName="318" name="Head&amp;Chainloss" queryTableFieldId="319" dataDxfId="644"/>
    <tableColumn id="319" xr3:uid="{94E25809-9A25-4498-8F54-F22E9B94A394}" uniqueName="319" name="Debris of Phospholipids" queryTableFieldId="318" dataDxfId="643"/>
    <tableColumn id="320" xr3:uid="{4AD238BC-1D29-4759-93E2-76C453725E0D}" uniqueName="320" name="Debris of Phospholipids2" queryTableFieldId="317" dataDxfId="642"/>
    <tableColumn id="330" xr3:uid="{1CDED34C-A0AA-4147-ACD1-F54E7BB6B336}" uniqueName="330" name="undefined" queryTableFieldId="331" dataDxfId="641"/>
    <tableColumn id="31" xr3:uid="{55AE0B01-7FFF-45BF-A8B4-E182694FE384}" uniqueName="31" name="undefined2" queryTableFieldId="31" dataDxfId="640"/>
    <tableColumn id="32" xr3:uid="{9BEE9DCC-2305-4B3D-AA4E-88613D05171C}" uniqueName="32" name="SN1+2" queryTableFieldId="32" dataDxfId="639"/>
    <tableColumn id="33" xr3:uid="{6D5E51A9-5FCC-4FFC-BB03-9C76A09DB7A8}" uniqueName="33" name="-2SN" queryTableFieldId="33" dataDxfId="638"/>
    <tableColumn id="34" xr3:uid="{E3F9127D-5ACC-4FB2-A71C-94BC6951DAA9}" uniqueName="34" name="-SN2-H2O" queryTableFieldId="34" dataDxfId="637"/>
    <tableColumn id="328" xr3:uid="{B895A2DF-A539-4198-A8F1-EF0D7949F263}" uniqueName="328" name="undefined3" queryTableFieldId="330" dataDxfId="636"/>
    <tableColumn id="329" xr3:uid="{1EA23742-70AB-4DE4-AD2D-9F8860500B6D}" uniqueName="329" name="undefined4" queryTableFieldId="329" dataDxfId="635"/>
    <tableColumn id="326" xr3:uid="{8B61E572-427F-4524-8D80-DC08DB8784A6}" uniqueName="326" name="PA-Head" queryTableFieldId="328" dataDxfId="634"/>
    <tableColumn id="327" xr3:uid="{C63EDE5F-325C-419D-89E4-A95462BE9598}" uniqueName="327" name="PA-Head-H2O" queryTableFieldId="327" dataDxfId="633"/>
    <tableColumn id="35" xr3:uid="{7E893A6F-061D-4983-A992-37698F2BFC7C}" uniqueName="35" name="SN1" queryTableFieldId="35" dataDxfId="632"/>
    <tableColumn id="36" xr3:uid="{85A13EEB-20A3-4DC1-9FCF-7A540E122987}" uniqueName="36" name="SN2" queryTableFieldId="36" dataDxfId="631"/>
    <tableColumn id="37" xr3:uid="{8225895E-2774-4953-ADE5-181B35DDD4ED}" uniqueName="37" name="SN1-1" queryTableFieldId="37" dataDxfId="630"/>
    <tableColumn id="38" xr3:uid="{E13A3FA3-7591-4618-8B82-98F081E2F0AE}" uniqueName="38" name="SN1-2" queryTableFieldId="38" dataDxfId="629"/>
    <tableColumn id="39" xr3:uid="{10AFFD49-4260-4F6C-885A-ED72B8BF1858}" uniqueName="39" name="SN1-3" queryTableFieldId="39" dataDxfId="628"/>
    <tableColumn id="40" xr3:uid="{D21D031C-24A8-4AF6-BB4F-91ECCCE6BA01}" uniqueName="40" name="SN1-4" queryTableFieldId="40" dataDxfId="627"/>
    <tableColumn id="41" xr3:uid="{1FDA24B7-CD21-4F21-874C-86C819ADC0A7}" uniqueName="41" name="SN1-5" queryTableFieldId="41" dataDxfId="626"/>
    <tableColumn id="42" xr3:uid="{B29F8ED0-9626-42B9-82EE-C6B0CAEEF569}" uniqueName="42" name="SN1-6" queryTableFieldId="42" dataDxfId="625"/>
    <tableColumn id="43" xr3:uid="{D96CD235-0CF0-4191-94AB-46AC1D8D4FD7}" uniqueName="43" name="SN1-7" queryTableFieldId="43" dataDxfId="624"/>
    <tableColumn id="44" xr3:uid="{6492D561-09D0-4272-A9C6-F57389DCA4D0}" uniqueName="44" name="SN1-8" queryTableFieldId="44" dataDxfId="623"/>
    <tableColumn id="45" xr3:uid="{D25E8EFC-BB72-4868-A248-A01206462048}" uniqueName="45" name="SN1-9" queryTableFieldId="45" dataDxfId="622"/>
    <tableColumn id="46" xr3:uid="{885E1CB2-39C6-483E-B4B1-B2B9045F2946}" uniqueName="46" name="SN1-10" queryTableFieldId="46" dataDxfId="621"/>
    <tableColumn id="47" xr3:uid="{8A31F663-6E95-418A-923A-7553AD2F199D}" uniqueName="47" name="SN1-11" queryTableFieldId="47" dataDxfId="620"/>
    <tableColumn id="48" xr3:uid="{09B6D7F4-B944-47DF-8130-F79A6057A17D}" uniqueName="48" name="SN1-12" queryTableFieldId="48" dataDxfId="619"/>
    <tableColumn id="49" xr3:uid="{D3FF410B-1AD3-4491-B4FF-46100532EC3B}" uniqueName="49" name="SN1-13" queryTableFieldId="49" dataDxfId="618"/>
    <tableColumn id="50" xr3:uid="{B5B1A8BF-0780-4C9F-B559-41CF3FBAD02C}" uniqueName="50" name="SN1-14" queryTableFieldId="50" dataDxfId="617"/>
    <tableColumn id="51" xr3:uid="{0120B87D-A9E9-4079-832E-8149BA0C352E}" uniqueName="51" name="SN1-15" queryTableFieldId="51" dataDxfId="616"/>
    <tableColumn id="52" xr3:uid="{926F83F6-CD00-4A8C-AB34-BF6419480C36}" uniqueName="52" name="SN1-16" queryTableFieldId="52" dataDxfId="615"/>
    <tableColumn id="53" xr3:uid="{067DDEA4-3AD0-480C-B2CE-9E80742F7F57}" uniqueName="53" name="SN1-17" queryTableFieldId="53" dataDxfId="614"/>
    <tableColumn id="54" xr3:uid="{458ED415-0C7A-412C-A984-19EE594CF8FE}" uniqueName="54" name="SN1-18" queryTableFieldId="54" dataDxfId="613"/>
    <tableColumn id="55" xr3:uid="{98022BD8-A0F5-4A1A-958F-7A7C66C3A229}" uniqueName="55" name="SN1-19" queryTableFieldId="55" dataDxfId="612"/>
    <tableColumn id="56" xr3:uid="{13F9C645-5719-4A71-B9B8-E06A91D59E05}" uniqueName="56" name="SN1-20" queryTableFieldId="56" dataDxfId="611"/>
    <tableColumn id="57" xr3:uid="{0855F01F-596B-42B3-A921-980E71013766}" uniqueName="57" name="SN1-21" queryTableFieldId="57" dataDxfId="610"/>
    <tableColumn id="58" xr3:uid="{57497491-C1DA-4237-ADD2-01B9AD68A523}" uniqueName="58" name="SN1-22" queryTableFieldId="58" dataDxfId="609"/>
    <tableColumn id="59" xr3:uid="{446ADF75-6A47-4403-A27C-E312A449E2C6}" uniqueName="59" name="SN1-23" queryTableFieldId="59" dataDxfId="608"/>
    <tableColumn id="60" xr3:uid="{DC68339F-BF37-4C99-902B-5381AA6588CB}" uniqueName="60" name="SN1-24" queryTableFieldId="60" dataDxfId="607"/>
    <tableColumn id="61" xr3:uid="{3E95CB9D-7E45-4C3E-8099-D39AED49B4A1}" uniqueName="61" name="SN1-25" queryTableFieldId="61" dataDxfId="606"/>
    <tableColumn id="62" xr3:uid="{37610D91-82AC-4638-B0D3-7D219DA2A3F7}" uniqueName="62" name="SN1-26" queryTableFieldId="62" dataDxfId="605"/>
    <tableColumn id="63" xr3:uid="{895C002C-460D-494E-82B3-9649324EEF1C}" uniqueName="63" name="SN1-27" queryTableFieldId="63" dataDxfId="604"/>
    <tableColumn id="64" xr3:uid="{BDF7CC2B-8EC3-4E7E-9BCE-C6C0D2804B13}" uniqueName="64" name="SN1-28" queryTableFieldId="64" dataDxfId="603"/>
    <tableColumn id="65" xr3:uid="{3125CF89-DBCC-4DCF-929C-6EFE383EC9D1}" uniqueName="65" name="SN1-29" queryTableFieldId="65" dataDxfId="602"/>
    <tableColumn id="66" xr3:uid="{D69BB77D-B85A-469A-B158-DD111BE490A3}" uniqueName="66" name="SN1-30" queryTableFieldId="66" dataDxfId="601"/>
    <tableColumn id="67" xr3:uid="{4D00E6F8-C897-4124-A7CE-59634ACA2E6F}" uniqueName="67" name="SN1-31" queryTableFieldId="67" dataDxfId="600"/>
    <tableColumn id="68" xr3:uid="{7BC04106-E776-4C00-932F-579E1324006E}" uniqueName="68" name="SN1-32" queryTableFieldId="68" dataDxfId="599"/>
    <tableColumn id="69" xr3:uid="{A3C35887-687F-48F7-931E-9410D961D4E0}" uniqueName="69" name="SN1-33" queryTableFieldId="69" dataDxfId="598"/>
    <tableColumn id="70" xr3:uid="{68A75953-8762-49BC-80A0-5718447E5A1F}" uniqueName="70" name="SN1-34" queryTableFieldId="70" dataDxfId="597"/>
    <tableColumn id="71" xr3:uid="{CAA94F8E-8A35-4B03-AF84-3BA0326BF420}" uniqueName="71" name="SN1-35" queryTableFieldId="71" dataDxfId="596"/>
    <tableColumn id="72" xr3:uid="{1BB58F4F-4EA9-4029-91B0-B1E2706F456D}" uniqueName="72" name="SN1-36" queryTableFieldId="72" dataDxfId="595"/>
    <tableColumn id="73" xr3:uid="{057B2D7E-7EC2-4F7F-A9A7-5A6AA026637B}" uniqueName="73" name="SN1-37" queryTableFieldId="73" dataDxfId="594"/>
    <tableColumn id="74" xr3:uid="{F3B160EC-8CAF-41BC-AC7A-2A4A8A1E82C0}" uniqueName="74" name="SN1-38" queryTableFieldId="74" dataDxfId="593"/>
    <tableColumn id="75" xr3:uid="{479BDE54-B0E6-4A31-A308-1784AE9B483A}" uniqueName="75" name="SN1-39" queryTableFieldId="75" dataDxfId="592"/>
    <tableColumn id="76" xr3:uid="{DE5A142D-88F3-481A-B0D7-C212030BD915}" uniqueName="76" name="SN1-40" queryTableFieldId="76" dataDxfId="591"/>
    <tableColumn id="77" xr3:uid="{54D923AC-9FF8-40B8-B984-06A78FF1FDC1}" uniqueName="77" name="SN1-41" queryTableFieldId="77" dataDxfId="590"/>
    <tableColumn id="78" xr3:uid="{9C975F86-EEE9-46F8-AC7D-5B8DA7C01483}" uniqueName="78" name="SN1-42" queryTableFieldId="78" dataDxfId="589"/>
    <tableColumn id="79" xr3:uid="{E8ABDB29-6CE6-42C8-AEAF-C1A3C3CF3AA0}" uniqueName="79" name="SN1-43" queryTableFieldId="79" dataDxfId="588"/>
    <tableColumn id="80" xr3:uid="{588F1657-3BB9-4FEE-87F9-081BAC939DFD}" uniqueName="80" name="SN1-44" queryTableFieldId="80" dataDxfId="587"/>
    <tableColumn id="81" xr3:uid="{DCBF0FDB-4749-40FD-AC98-9179F2E3AD67}" uniqueName="81" name="SN1-45" queryTableFieldId="81" dataDxfId="586"/>
    <tableColumn id="82" xr3:uid="{CB2CAD25-E0D4-42DA-8994-00BB9A31BCA3}" uniqueName="82" name="SN1-46" queryTableFieldId="82" dataDxfId="585"/>
    <tableColumn id="83" xr3:uid="{15BF3123-2AA0-4668-81BF-B9FBB6D2195F}" uniqueName="83" name="SN1-47" queryTableFieldId="83" dataDxfId="584"/>
    <tableColumn id="84" xr3:uid="{92527EEE-42DC-40BF-881F-52DD9B22251F}" uniqueName="84" name="SN1-48" queryTableFieldId="84" dataDxfId="583"/>
    <tableColumn id="85" xr3:uid="{AB09B134-FD7A-4695-8C58-910C7DBB212C}" uniqueName="85" name="SN1-49" queryTableFieldId="85" dataDxfId="582"/>
    <tableColumn id="86" xr3:uid="{5C19746A-B1AC-4DB5-BE4B-F29906B8EF49}" uniqueName="86" name="SN1-50" queryTableFieldId="86" dataDxfId="581"/>
    <tableColumn id="87" xr3:uid="{8549ED7A-4939-4F50-8EC8-2628C5799C71}" uniqueName="87" name="SN1-51" queryTableFieldId="87" dataDxfId="580"/>
    <tableColumn id="88" xr3:uid="{F673265D-5CC1-436F-9A84-1A52CBD2E3A3}" uniqueName="88" name="SN1-52" queryTableFieldId="88" dataDxfId="579"/>
    <tableColumn id="89" xr3:uid="{DB5D442F-F3CD-4974-8A23-B29969C4C0B3}" uniqueName="89" name="SN1-53" queryTableFieldId="89" dataDxfId="578"/>
    <tableColumn id="90" xr3:uid="{FDA4100B-DE78-46DE-96E8-D43FEB611C40}" uniqueName="90" name="SN1-54" queryTableFieldId="90" dataDxfId="577"/>
    <tableColumn id="91" xr3:uid="{53CCF19D-0155-4552-A469-13B29555EF70}" uniqueName="91" name="SN1-55" queryTableFieldId="91" dataDxfId="576"/>
    <tableColumn id="92" xr3:uid="{0CC4A265-0AEA-47C8-A351-E3DFF40366DB}" uniqueName="92" name="SN1-56" queryTableFieldId="92" dataDxfId="575"/>
    <tableColumn id="93" xr3:uid="{EFE6678F-192F-4357-94D8-E4C43A24E105}" uniqueName="93" name="SN1-57" queryTableFieldId="93" dataDxfId="574"/>
    <tableColumn id="94" xr3:uid="{37CC2330-ED34-42D5-A59E-71F27CE87C34}" uniqueName="94" name="SN1-58" queryTableFieldId="94" dataDxfId="573"/>
    <tableColumn id="95" xr3:uid="{B5A8144E-213A-4FCF-AE79-E01590102D0B}" uniqueName="95" name="SN1-59" queryTableFieldId="95" dataDxfId="572"/>
    <tableColumn id="96" xr3:uid="{CC8EA91F-3026-4C0B-ADDB-01905043EA95}" uniqueName="96" name="SN1-60" queryTableFieldId="96" dataDxfId="571"/>
    <tableColumn id="97" xr3:uid="{017CAAA2-44A7-4313-9232-EE5964208DB3}" uniqueName="97" name="SN1-61" queryTableFieldId="97" dataDxfId="570"/>
    <tableColumn id="98" xr3:uid="{877AEC0A-AFFF-417F-98A0-7AF604E08BBA}" uniqueName="98" name="SN1-62" queryTableFieldId="98" dataDxfId="569"/>
    <tableColumn id="99" xr3:uid="{BBF178A7-0598-4DCE-9ADD-19230A9EE505}" uniqueName="99" name="SN1-63" queryTableFieldId="99" dataDxfId="568"/>
    <tableColumn id="100" xr3:uid="{B909CE0D-BA5E-4116-986B-8EC2C8C7F8E2}" uniqueName="100" name="SN1-64" queryTableFieldId="100" dataDxfId="567"/>
    <tableColumn id="101" xr3:uid="{1136CAF6-8C1A-4281-9062-7436568DE370}" uniqueName="101" name="SN1-65" queryTableFieldId="101" dataDxfId="566"/>
    <tableColumn id="102" xr3:uid="{F62EB299-DBDF-4E67-B40C-28728985A332}" uniqueName="102" name="SN1-66" queryTableFieldId="102" dataDxfId="565"/>
    <tableColumn id="103" xr3:uid="{494879F6-C06C-4773-8407-2FC85144C264}" uniqueName="103" name="SN1-67" queryTableFieldId="103" dataDxfId="564"/>
    <tableColumn id="104" xr3:uid="{7483628E-E485-4488-A60C-A7CB11A75F41}" uniqueName="104" name="SN1-68" queryTableFieldId="104" dataDxfId="563"/>
    <tableColumn id="105" xr3:uid="{C8E54AD2-2760-4C4E-A38D-CA52D0BAA533}" uniqueName="105" name="SN2-1" queryTableFieldId="105" dataDxfId="562"/>
    <tableColumn id="106" xr3:uid="{DA12FD3D-5F9F-4685-85AF-87FF48DB8407}" uniqueName="106" name="SN2-2" queryTableFieldId="106" dataDxfId="561"/>
    <tableColumn id="107" xr3:uid="{97E5F52F-A6EC-4B24-89FB-7A688F74D5AC}" uniqueName="107" name="SN2-3" queryTableFieldId="107" dataDxfId="560"/>
    <tableColumn id="108" xr3:uid="{DB08502B-A370-475D-B53F-9E1726062029}" uniqueName="108" name="SN2-4" queryTableFieldId="108" dataDxfId="559"/>
    <tableColumn id="109" xr3:uid="{C895041B-773E-4044-951E-F06E1F976A3D}" uniqueName="109" name="SN2-5" queryTableFieldId="109" dataDxfId="558"/>
    <tableColumn id="110" xr3:uid="{DA67366C-6263-4FF8-9AC9-464A62FB6066}" uniqueName="110" name="SN2-6" queryTableFieldId="110" dataDxfId="557"/>
    <tableColumn id="111" xr3:uid="{66DDDEC0-3E7C-4EAC-9046-44B8F753B7AE}" uniqueName="111" name="SN2-7" queryTableFieldId="111" dataDxfId="556"/>
    <tableColumn id="112" xr3:uid="{475C26F5-F15F-47D2-AFA3-C9466C589E1A}" uniqueName="112" name="SN2-8" queryTableFieldId="112" dataDxfId="555"/>
    <tableColumn id="113" xr3:uid="{12278B45-9AF2-4654-B338-F3ACE6AC4889}" uniqueName="113" name="SN2-9" queryTableFieldId="113" dataDxfId="554"/>
    <tableColumn id="114" xr3:uid="{077466F5-ED6B-49F5-9ADA-E62F22CF61E4}" uniqueName="114" name="SN2-10" queryTableFieldId="114" dataDxfId="553"/>
    <tableColumn id="115" xr3:uid="{639F6F6E-1BF7-4B99-92F7-4A821A8486E0}" uniqueName="115" name="SN2-11" queryTableFieldId="115" dataDxfId="552"/>
    <tableColumn id="116" xr3:uid="{1FDA96B1-EC4D-4A03-BA90-32B5E0455C55}" uniqueName="116" name="SN2-12" queryTableFieldId="116" dataDxfId="551"/>
    <tableColumn id="117" xr3:uid="{98385F4E-0F5F-4C98-B75A-6FEBCB0EA9C1}" uniqueName="117" name="SN2-13" queryTableFieldId="117" dataDxfId="550"/>
    <tableColumn id="118" xr3:uid="{0E941640-7E76-4DF7-8D98-E2FA7267AA67}" uniqueName="118" name="SN2-14" queryTableFieldId="118" dataDxfId="549"/>
    <tableColumn id="119" xr3:uid="{76F1869F-5A4A-4A80-A500-21AFA3FB64E2}" uniqueName="119" name="SN2-15" queryTableFieldId="119" dataDxfId="548"/>
    <tableColumn id="120" xr3:uid="{D8B4310F-D97E-4C32-A18A-058593D5732D}" uniqueName="120" name="SN2-16" queryTableFieldId="120" dataDxfId="547"/>
    <tableColumn id="121" xr3:uid="{80B67FE7-2585-4054-B40F-CEB95946C389}" uniqueName="121" name="SN2-17" queryTableFieldId="121" dataDxfId="546"/>
    <tableColumn id="122" xr3:uid="{5CC708DF-9A38-4DE4-97CF-2781200CE74B}" uniqueName="122" name="SN2-18" queryTableFieldId="122" dataDxfId="545"/>
    <tableColumn id="123" xr3:uid="{3AF53B53-3F62-424E-8919-5CB48531141A}" uniqueName="123" name="SN2-19" queryTableFieldId="123" dataDxfId="544"/>
    <tableColumn id="124" xr3:uid="{CA3C70F7-5320-46A3-AF4F-5E00016BDEB1}" uniqueName="124" name="SN2-20" queryTableFieldId="124" dataDxfId="543"/>
    <tableColumn id="125" xr3:uid="{645237CE-7658-4EEA-892D-7C9B21CA9B24}" uniqueName="125" name="SN2-21" queryTableFieldId="125" dataDxfId="542"/>
    <tableColumn id="126" xr3:uid="{A38937C0-77D4-4329-A0B1-31CF7FA2778D}" uniqueName="126" name="SN2-22" queryTableFieldId="126" dataDxfId="541"/>
    <tableColumn id="127" xr3:uid="{F5828644-7B3E-43E4-912A-CCD5595FA126}" uniqueName="127" name="SN2-23" queryTableFieldId="127" dataDxfId="540"/>
    <tableColumn id="128" xr3:uid="{B6A5B574-46D7-4CA1-B353-FC49A81382C3}" uniqueName="128" name="SN2-24" queryTableFieldId="128" dataDxfId="539"/>
    <tableColumn id="129" xr3:uid="{D0474768-4B59-4FD9-9BB3-E3C2DC2AA513}" uniqueName="129" name="SN2-25" queryTableFieldId="129" dataDxfId="538"/>
    <tableColumn id="130" xr3:uid="{30AFF02E-74B7-4F94-8318-9312B424F939}" uniqueName="130" name="SN2-26" queryTableFieldId="130" dataDxfId="537"/>
    <tableColumn id="131" xr3:uid="{6D0E2FE6-1EC5-45FF-8C0E-C0B869FF6399}" uniqueName="131" name="SN2-27" queryTableFieldId="131" dataDxfId="536"/>
    <tableColumn id="132" xr3:uid="{EEC6BF75-5541-45B4-8288-CEE515447FDE}" uniqueName="132" name="SN2-28" queryTableFieldId="132" dataDxfId="535"/>
    <tableColumn id="133" xr3:uid="{D2A234BD-DD42-44E2-BAE0-87E36029DF33}" uniqueName="133" name="SN2-29" queryTableFieldId="133" dataDxfId="534"/>
    <tableColumn id="134" xr3:uid="{6B8B9FAA-29A4-4678-82AC-4150595883AA}" uniqueName="134" name="SN2-30" queryTableFieldId="134" dataDxfId="533"/>
    <tableColumn id="135" xr3:uid="{3FD14EB3-96F7-47DB-8845-70E680A899F3}" uniqueName="135" name="SN2-31" queryTableFieldId="135" dataDxfId="532"/>
    <tableColumn id="136" xr3:uid="{E23BA455-66C1-454C-A229-DD446F29F9F8}" uniqueName="136" name="SN2-32" queryTableFieldId="136" dataDxfId="531"/>
    <tableColumn id="137" xr3:uid="{00A22BB3-7C25-4B17-B17C-00ABFCEE893A}" uniqueName="137" name="SN2-33" queryTableFieldId="137" dataDxfId="530"/>
    <tableColumn id="138" xr3:uid="{2F744F40-2913-421A-8C98-7A4F35F62953}" uniqueName="138" name="SN2-34" queryTableFieldId="138" dataDxfId="529"/>
    <tableColumn id="139" xr3:uid="{0583E96B-4DF4-4DDA-97D3-8A41DA2133C9}" uniqueName="139" name="SN2-35" queryTableFieldId="139" dataDxfId="528"/>
    <tableColumn id="140" xr3:uid="{B86B44A8-0886-4F90-B5BC-55948029AFCC}" uniqueName="140" name="SN2-36" queryTableFieldId="140" dataDxfId="527"/>
    <tableColumn id="141" xr3:uid="{5AABB58D-6923-43AE-99C2-BA8113005B9B}" uniqueName="141" name="SN2-37" queryTableFieldId="141" dataDxfId="526"/>
    <tableColumn id="142" xr3:uid="{11E416EA-2796-48B6-BC9A-F0F3AEB95A4E}" uniqueName="142" name="SN2-38" queryTableFieldId="142" dataDxfId="525"/>
    <tableColumn id="143" xr3:uid="{9F421311-971B-46D5-9197-BCD7A5564EED}" uniqueName="143" name="SN2-39" queryTableFieldId="143" dataDxfId="524"/>
    <tableColumn id="144" xr3:uid="{C9C8D80B-15FA-4346-80E1-54C4D6546404}" uniqueName="144" name="SN2-40" queryTableFieldId="144" dataDxfId="523"/>
    <tableColumn id="145" xr3:uid="{A89572E5-7FD3-45F8-86ED-9EC4093F7EBF}" uniqueName="145" name="SN2-41" queryTableFieldId="145" dataDxfId="522"/>
    <tableColumn id="146" xr3:uid="{41D81261-22E3-4E44-9A16-FD60D87E961E}" uniqueName="146" name="SN2-42" queryTableFieldId="146" dataDxfId="521"/>
    <tableColumn id="147" xr3:uid="{355E8CDC-851C-480C-95F4-F7C63A50B65C}" uniqueName="147" name="SN2-43" queryTableFieldId="147" dataDxfId="520"/>
    <tableColumn id="148" xr3:uid="{B117B42B-1B36-4DA6-9CB0-7EE9F09E94DC}" uniqueName="148" name="SN2-44" queryTableFieldId="148" dataDxfId="519"/>
    <tableColumn id="149" xr3:uid="{71F04A3F-22C6-4698-9C48-3B5735EDE5F2}" uniqueName="149" name="SN2-45" queryTableFieldId="149" dataDxfId="518"/>
    <tableColumn id="150" xr3:uid="{DDAF5F80-3238-45A2-AD92-D25EE8E5D7A2}" uniqueName="150" name="SN2-46" queryTableFieldId="150" dataDxfId="517"/>
    <tableColumn id="151" xr3:uid="{DC8F7EF7-3AE2-486B-BAC4-B46F4D8F79ED}" uniqueName="151" name="SN2-47" queryTableFieldId="151" dataDxfId="516"/>
    <tableColumn id="152" xr3:uid="{90F3857D-9636-40A7-A6E7-BF6923D08F3F}" uniqueName="152" name="SN2-48" queryTableFieldId="152" dataDxfId="515"/>
    <tableColumn id="153" xr3:uid="{8B101053-2589-4A18-A840-07538A6A9BB4}" uniqueName="153" name="SN2-49" queryTableFieldId="153" dataDxfId="514"/>
    <tableColumn id="154" xr3:uid="{51D9A039-43D7-4123-9907-40ACC42EC44D}" uniqueName="154" name="SN2-50" queryTableFieldId="154" dataDxfId="513"/>
    <tableColumn id="155" xr3:uid="{27A638B9-31B7-43AD-8D46-16928DCD301A}" uniqueName="155" name="SN2-51" queryTableFieldId="155" dataDxfId="512"/>
    <tableColumn id="156" xr3:uid="{FD1FBDDC-525D-4337-BC03-745E51C22937}" uniqueName="156" name="SN2-52" queryTableFieldId="156" dataDxfId="511"/>
    <tableColumn id="157" xr3:uid="{35BC8901-6D30-4614-B7C3-FE0C5754F0D1}" uniqueName="157" name="SN2-53" queryTableFieldId="157" dataDxfId="510"/>
    <tableColumn id="158" xr3:uid="{85A34DB9-C9E1-442D-B2B8-B56EC86D1D1A}" uniqueName="158" name="SN2-54" queryTableFieldId="158" dataDxfId="509"/>
    <tableColumn id="159" xr3:uid="{F544D0D3-F7EB-4E9B-B760-7A5C4F67C7A0}" uniqueName="159" name="SN2-55" queryTableFieldId="159" dataDxfId="508"/>
    <tableColumn id="160" xr3:uid="{46B873C3-B422-487E-93BD-7A2F9EA57A80}" uniqueName="160" name="SN2-56" queryTableFieldId="160" dataDxfId="507"/>
    <tableColumn id="161" xr3:uid="{3589A87A-073D-43AC-B9CE-11B1D1426C82}" uniqueName="161" name="SN2-57" queryTableFieldId="161" dataDxfId="506"/>
    <tableColumn id="162" xr3:uid="{E035B8F0-3D9F-4C23-930A-34444D3155CF}" uniqueName="162" name="SN2-58" queryTableFieldId="162" dataDxfId="505"/>
    <tableColumn id="163" xr3:uid="{9282C3E8-E3A7-4C2B-B037-5A3B4A6D9252}" uniqueName="163" name="SN2-59" queryTableFieldId="163" dataDxfId="504"/>
    <tableColumn id="164" xr3:uid="{5A4127B3-41BC-4BAE-9E75-EC1B7CC5C722}" uniqueName="164" name="SN2-60" queryTableFieldId="164" dataDxfId="503"/>
    <tableColumn id="165" xr3:uid="{AF41602E-6D98-4B3C-B9C7-B0B429E37236}" uniqueName="165" name="SN2-61" queryTableFieldId="165" dataDxfId="502"/>
    <tableColumn id="166" xr3:uid="{A63D745C-45CC-4C59-92BE-F7D20EB6327F}" uniqueName="166" name="SN2-62" queryTableFieldId="166" dataDxfId="501"/>
    <tableColumn id="167" xr3:uid="{0F252368-F4DE-4894-BDB2-91F7221A41EC}" uniqueName="167" name="SN2-63" queryTableFieldId="167" dataDxfId="500"/>
    <tableColumn id="168" xr3:uid="{69ECF5F5-28AA-4F7A-B209-EFE2B646C785}" uniqueName="168" name="SN2-64" queryTableFieldId="168" dataDxfId="499"/>
    <tableColumn id="169" xr3:uid="{DAE6DACD-2756-4CDD-A5BF-92B6FCAA5E95}" uniqueName="169" name="SN2-65" queryTableFieldId="169" dataDxfId="498"/>
    <tableColumn id="170" xr3:uid="{5F7C0FA9-6A83-458A-AF61-B72E7C888637}" uniqueName="170" name="SN2-66" queryTableFieldId="170" dataDxfId="497"/>
    <tableColumn id="171" xr3:uid="{595A2442-738E-4891-B32F-9E8A29585FD4}" uniqueName="171" name="SN2-67" queryTableFieldId="171" dataDxfId="496"/>
    <tableColumn id="172" xr3:uid="{003EE2D4-F8E9-4E48-8E26-0CC42426BCE8}" uniqueName="172" name="SN2-68" queryTableFieldId="172" dataDxfId="495"/>
    <tableColumn id="173" xr3:uid="{832D2067-AE24-4300-A2B6-6A3CEA112005}" uniqueName="173" name="P-[M+H]+ Precursor Mass" queryTableFieldId="173" dataDxfId="494"/>
    <tableColumn id="174" xr3:uid="{881507F0-FB53-4F02-8037-014D7AA4B456}" uniqueName="174" name="P-Head loss" queryTableFieldId="174" dataDxfId="493"/>
    <tableColumn id="321" xr3:uid="{074E4302-656D-4AD1-8E62-946CAB4F9820}" uniqueName="321" name="P-Head-Particalloss" queryTableFieldId="324" dataDxfId="492"/>
    <tableColumn id="331" xr3:uid="{3C1E8BDE-8791-4EE6-83E5-5FA78367B823}" uniqueName="331" name="P-Chainloss" queryTableFieldId="339" dataDxfId="491"/>
    <tableColumn id="332" xr3:uid="{C3820734-ADE4-4071-93C6-63A86B9C4F3D}" uniqueName="332" name="P-Head&amp;Chainloss" queryTableFieldId="338" dataDxfId="490"/>
    <tableColumn id="333" xr3:uid="{E56D5463-C4C0-4B2F-9397-1F90E0D13A33}" uniqueName="333" name="P-Debris of Phospholipids" queryTableFieldId="337" dataDxfId="489"/>
    <tableColumn id="334" xr3:uid="{CD4CE827-27A9-4233-991B-F724FA58A208}" uniqueName="334" name="P-Debris of Phospholipids2" queryTableFieldId="336" dataDxfId="488"/>
    <tableColumn id="335" xr3:uid="{8DC0BDB2-4427-4FDE-A413-4B90879EC8E0}" uniqueName="335" name="P-undefined" queryTableFieldId="335" dataDxfId="487"/>
    <tableColumn id="336" xr3:uid="{4F6BA8D0-A730-462A-9D01-2DFBEECB761E}" uniqueName="336" name="P-undefined2" queryTableFieldId="334" dataDxfId="486"/>
    <tableColumn id="337" xr3:uid="{E5F40A76-E7D0-490B-A490-E43B39509E7E}" uniqueName="337" name="P-SN1+2" queryTableFieldId="333" dataDxfId="485"/>
    <tableColumn id="338" xr3:uid="{5534DCB5-D3B7-4049-AB7B-85899B6DA512}" uniqueName="338" name="P--2SN" queryTableFieldId="332" dataDxfId="484"/>
    <tableColumn id="322" xr3:uid="{B23001EC-90D4-4B7E-9107-6C793067CC2D}" uniqueName="322" name="P--SN2-H2O" queryTableFieldId="323" dataDxfId="483"/>
    <tableColumn id="323" xr3:uid="{9103928E-0208-4E21-A533-C295F7BEE2BF}" uniqueName="323" name="P-undefined3" queryTableFieldId="322" dataDxfId="482"/>
    <tableColumn id="324" xr3:uid="{8E25A56C-F2BC-4035-9C54-EB046DA3D55F}" uniqueName="324" name="P-undefined4" queryTableFieldId="321" dataDxfId="481"/>
    <tableColumn id="175" xr3:uid="{772D16E1-254E-408C-BADF-B0B3278BF505}" uniqueName="175" name="P-PA-Head" queryTableFieldId="175" dataDxfId="480"/>
    <tableColumn id="339" xr3:uid="{2DA19E48-5460-491C-8BF4-F76C82D5F254}" uniqueName="339" name="P-PA-Head-H2O" queryTableFieldId="340" dataDxfId="479"/>
    <tableColumn id="179" xr3:uid="{8FDD9156-6A22-49BF-8AD7-EB8B01776EAA}" uniqueName="179" name="P-SN1" queryTableFieldId="179" dataDxfId="478"/>
    <tableColumn id="180" xr3:uid="{390036FA-0C2A-4B8F-88B2-1FDD27D9E5B2}" uniqueName="180" name="P-SN2" queryTableFieldId="180" dataDxfId="477"/>
    <tableColumn id="181" xr3:uid="{DA095102-279A-44FF-833D-70E2C9C44C4B}" uniqueName="181" name="P-SN1-1" queryTableFieldId="181" dataDxfId="476"/>
    <tableColumn id="182" xr3:uid="{8746E3D5-990E-4CDE-8945-CB5C527FABFB}" uniqueName="182" name="P-SN1-2" queryTableFieldId="182" dataDxfId="475"/>
    <tableColumn id="183" xr3:uid="{BC14BA11-D6FF-4813-9B5B-5CB97368F16A}" uniqueName="183" name="P-SN1-3" queryTableFieldId="183" dataDxfId="474"/>
    <tableColumn id="184" xr3:uid="{3F19964D-054A-4B64-8CCE-8F65B0C7A87A}" uniqueName="184" name="P-SN1-4" queryTableFieldId="184" dataDxfId="473"/>
    <tableColumn id="185" xr3:uid="{7D9FDB18-DF72-4F24-B05E-476E6EE8938D}" uniqueName="185" name="P-SN1-5" queryTableFieldId="185" dataDxfId="472"/>
    <tableColumn id="186" xr3:uid="{1D41A9BC-D37C-44EA-8C9E-43E2FC54433C}" uniqueName="186" name="P-SN1-6" queryTableFieldId="186" dataDxfId="471"/>
    <tableColumn id="187" xr3:uid="{C9B9F19F-1099-430C-B4EC-2164A276858C}" uniqueName="187" name="P-SN1-7" queryTableFieldId="187" dataDxfId="470"/>
    <tableColumn id="188" xr3:uid="{5C0A53DB-9C28-44B6-96D6-C14AEA37491F}" uniqueName="188" name="P-SN1-8" queryTableFieldId="188" dataDxfId="469"/>
    <tableColumn id="189" xr3:uid="{42620D73-F4A3-49E4-BF06-37064482DFF6}" uniqueName="189" name="P-SN1-9" queryTableFieldId="189" dataDxfId="468"/>
    <tableColumn id="190" xr3:uid="{3E32F2CA-20A3-4171-8B0D-8B12FF4C32C7}" uniqueName="190" name="P-SN1-10" queryTableFieldId="190" dataDxfId="467"/>
    <tableColumn id="191" xr3:uid="{34D43B4A-74E3-46F9-B301-166FD5491789}" uniqueName="191" name="P-SN1-11" queryTableFieldId="191" dataDxfId="466"/>
    <tableColumn id="192" xr3:uid="{9E3C6D4B-9C2A-4FCE-AC51-F65F536FA726}" uniqueName="192" name="P-SN1-12" queryTableFieldId="192" dataDxfId="465"/>
    <tableColumn id="193" xr3:uid="{C4138ACC-A689-4A96-A10B-E734FD430664}" uniqueName="193" name="P-SN1-13" queryTableFieldId="193" dataDxfId="464"/>
    <tableColumn id="194" xr3:uid="{C947BFFC-6B7A-4C94-8F00-3592E2395FA7}" uniqueName="194" name="P-SN1-14" queryTableFieldId="194" dataDxfId="463"/>
    <tableColumn id="195" xr3:uid="{D640933A-74B7-47EB-846C-444DF4E501E7}" uniqueName="195" name="P-SN1-15" queryTableFieldId="195" dataDxfId="462"/>
    <tableColumn id="196" xr3:uid="{FB4E3DBD-D3B4-44C1-85D5-D3B1CD4C15E7}" uniqueName="196" name="P-SN1-16" queryTableFieldId="196" dataDxfId="461"/>
    <tableColumn id="197" xr3:uid="{687C065D-2C23-40C2-AB59-0BADB4699C6A}" uniqueName="197" name="P-SN1-17" queryTableFieldId="197" dataDxfId="460"/>
    <tableColumn id="198" xr3:uid="{26426307-9DCF-4FA1-8281-CEE01580DD9E}" uniqueName="198" name="P-SN1-18" queryTableFieldId="198" dataDxfId="459"/>
    <tableColumn id="199" xr3:uid="{21AF1438-4B01-4C3C-9790-3CBAEA55476F}" uniqueName="199" name="P-SN1-19" queryTableFieldId="199" dataDxfId="458"/>
    <tableColumn id="200" xr3:uid="{2AE01126-BFE2-4295-9B61-27DC00F055FB}" uniqueName="200" name="P-SN1-20" queryTableFieldId="200" dataDxfId="457"/>
    <tableColumn id="201" xr3:uid="{808B7630-3B80-4705-983C-A65BB2EE5AF5}" uniqueName="201" name="P-SN1-21" queryTableFieldId="201" dataDxfId="456"/>
    <tableColumn id="202" xr3:uid="{7E67495D-ECA0-4E15-BC72-FAB3C9783960}" uniqueName="202" name="P-SN1-22" queryTableFieldId="202" dataDxfId="455"/>
    <tableColumn id="203" xr3:uid="{FC59DE16-4960-4862-A692-5555F96E81AC}" uniqueName="203" name="P-SN1-23" queryTableFieldId="203" dataDxfId="454"/>
    <tableColumn id="204" xr3:uid="{F383A903-4561-4ED5-B338-6ACADD31EDBE}" uniqueName="204" name="P-SN1-24" queryTableFieldId="204" dataDxfId="453"/>
    <tableColumn id="205" xr3:uid="{C752536F-5A56-4A60-AE97-4BA5F256A168}" uniqueName="205" name="P-SN1-25" queryTableFieldId="205" dataDxfId="452"/>
    <tableColumn id="206" xr3:uid="{4D2B1422-6E4F-43AD-99BD-2FCECFA6F6BD}" uniqueName="206" name="P-SN1-26" queryTableFieldId="206" dataDxfId="451"/>
    <tableColumn id="207" xr3:uid="{FB43AC6B-08F1-42A9-B12F-7D8EA068FD00}" uniqueName="207" name="P-SN1-27" queryTableFieldId="207" dataDxfId="450"/>
    <tableColumn id="208" xr3:uid="{C9FEEDF4-A8C9-45FD-9ABE-9A2C163605FA}" uniqueName="208" name="P-SN1-28" queryTableFieldId="208" dataDxfId="449"/>
    <tableColumn id="209" xr3:uid="{AA0CFF40-A43D-4BAF-BBA0-195AAB7E3DB4}" uniqueName="209" name="P-SN1-29" queryTableFieldId="209" dataDxfId="448"/>
    <tableColumn id="210" xr3:uid="{A298C3F6-10D9-4FB2-B4D5-BE32FFFF7EF6}" uniqueName="210" name="P-SN1-30" queryTableFieldId="210" dataDxfId="447"/>
    <tableColumn id="211" xr3:uid="{DD492025-DFDF-4801-A35A-A0E80E59D019}" uniqueName="211" name="P-SN1-31" queryTableFieldId="211" dataDxfId="446"/>
    <tableColumn id="212" xr3:uid="{F4D57F8B-05A2-40AD-93C7-E22D63FB5E3C}" uniqueName="212" name="P-SN1-32" queryTableFieldId="212" dataDxfId="445"/>
    <tableColumn id="213" xr3:uid="{EB2BA197-4318-4B50-BE5A-AC463FF20951}" uniqueName="213" name="P-SN1-33" queryTableFieldId="213" dataDxfId="444"/>
    <tableColumn id="214" xr3:uid="{29D025EA-6DF8-4A4D-B123-CFAE1A2F9B75}" uniqueName="214" name="P-SN1-34" queryTableFieldId="214" dataDxfId="443"/>
    <tableColumn id="215" xr3:uid="{2263F871-0E34-4166-91DF-D76B9CA21B97}" uniqueName="215" name="P-SN1-35" queryTableFieldId="215" dataDxfId="442"/>
    <tableColumn id="216" xr3:uid="{FBF61F2D-B07E-44BC-BE4D-0CFC1F038295}" uniqueName="216" name="P-SN1-36" queryTableFieldId="216" dataDxfId="441"/>
    <tableColumn id="217" xr3:uid="{C754A03E-B1DF-4F15-B709-183154D3D291}" uniqueName="217" name="P-SN1-37" queryTableFieldId="217" dataDxfId="440"/>
    <tableColumn id="218" xr3:uid="{35F9ED27-BE46-4E33-8445-9876667FA4CA}" uniqueName="218" name="P-SN1-38" queryTableFieldId="218" dataDxfId="439"/>
    <tableColumn id="219" xr3:uid="{59A81A55-359C-4418-8B38-92CD244A1D9C}" uniqueName="219" name="P-SN1-39" queryTableFieldId="219" dataDxfId="438"/>
    <tableColumn id="220" xr3:uid="{4A3ADE26-D749-4775-BA61-6F39406F965E}" uniqueName="220" name="P-SN1-40" queryTableFieldId="220" dataDxfId="437"/>
    <tableColumn id="221" xr3:uid="{175E1B5E-069C-48BB-B14D-38B9241DD806}" uniqueName="221" name="P-SN1-41" queryTableFieldId="221" dataDxfId="436"/>
    <tableColumn id="222" xr3:uid="{01A0DE4D-3EF0-4EE3-9B52-A2B8E17869C0}" uniqueName="222" name="P-SN1-42" queryTableFieldId="222" dataDxfId="435"/>
    <tableColumn id="223" xr3:uid="{736E37E3-13BE-47CC-8B95-DF2593CE145B}" uniqueName="223" name="P-SN1-43" queryTableFieldId="223" dataDxfId="434"/>
    <tableColumn id="224" xr3:uid="{11F45FFB-9C6F-45B6-A3B6-3EEDF12CBDF7}" uniqueName="224" name="P-SN1-44" queryTableFieldId="224" dataDxfId="433"/>
    <tableColumn id="225" xr3:uid="{55DF5E12-CA57-48DB-846B-476F14C19F3D}" uniqueName="225" name="P-SN1-45" queryTableFieldId="225" dataDxfId="432"/>
    <tableColumn id="226" xr3:uid="{185A2EEC-4247-4B4D-B965-C1888A5EF532}" uniqueName="226" name="P-SN1-46" queryTableFieldId="226" dataDxfId="431"/>
    <tableColumn id="227" xr3:uid="{5CBBC605-054E-4127-B33E-4A6F9A0EEF5D}" uniqueName="227" name="P-SN1-47" queryTableFieldId="227" dataDxfId="430"/>
    <tableColumn id="228" xr3:uid="{1C7AA5E4-A499-4655-8E39-915A9E5ED0AE}" uniqueName="228" name="P-SN1-48" queryTableFieldId="228" dataDxfId="429"/>
    <tableColumn id="229" xr3:uid="{FA4871F7-D9B5-4C3E-A5D7-3CA3CF677049}" uniqueName="229" name="P-SN1-49" queryTableFieldId="229" dataDxfId="428"/>
    <tableColumn id="230" xr3:uid="{53678B19-37B5-4687-85C5-6AD654261F92}" uniqueName="230" name="P-SN1-50" queryTableFieldId="230" dataDxfId="427"/>
    <tableColumn id="231" xr3:uid="{9E469287-B66C-4294-9A16-ECD39999FF5B}" uniqueName="231" name="P-SN1-51" queryTableFieldId="231" dataDxfId="426"/>
    <tableColumn id="232" xr3:uid="{A892E21C-6B90-491A-A7A3-1CC36C0F4BB8}" uniqueName="232" name="P-SN1-52" queryTableFieldId="232" dataDxfId="425"/>
    <tableColumn id="233" xr3:uid="{24B138A5-0E40-40F8-BC2F-FB2E250BC685}" uniqueName="233" name="P-SN1-53" queryTableFieldId="233" dataDxfId="424"/>
    <tableColumn id="234" xr3:uid="{4CC58CC1-78F8-420F-AB5F-3491DD2FEBA5}" uniqueName="234" name="P-SN1-54" queryTableFieldId="234" dataDxfId="423"/>
    <tableColumn id="235" xr3:uid="{37F48445-D1B7-40AD-829D-DE8B2D560471}" uniqueName="235" name="P-SN1-55" queryTableFieldId="235" dataDxfId="422"/>
    <tableColumn id="236" xr3:uid="{00A955E4-88BD-455E-B0A3-6DC1C5214050}" uniqueName="236" name="P-SN1-56" queryTableFieldId="236" dataDxfId="421"/>
    <tableColumn id="237" xr3:uid="{6B26E361-1065-46CE-9AAC-FFCED6E1A9BA}" uniqueName="237" name="P-SN1-57" queryTableFieldId="237" dataDxfId="420"/>
    <tableColumn id="238" xr3:uid="{60DFC4EA-C1FC-4F55-9F0C-549CED44C815}" uniqueName="238" name="P-SN1-58" queryTableFieldId="238" dataDxfId="419"/>
    <tableColumn id="239" xr3:uid="{29BDD894-0A66-42EE-B612-71FE396C6AE6}" uniqueName="239" name="P-SN1-59" queryTableFieldId="239" dataDxfId="418"/>
    <tableColumn id="240" xr3:uid="{EE834587-84D2-4F32-A508-0AF570B58F0B}" uniqueName="240" name="P-SN1-60" queryTableFieldId="240" dataDxfId="417"/>
    <tableColumn id="241" xr3:uid="{20BE111A-E257-4DCB-9659-479B03842D20}" uniqueName="241" name="P-SN1-61" queryTableFieldId="241" dataDxfId="416"/>
    <tableColumn id="242" xr3:uid="{885E5018-C2B3-4BBE-9596-9CE8F7040D43}" uniqueName="242" name="P-SN1-62" queryTableFieldId="242" dataDxfId="415"/>
    <tableColumn id="243" xr3:uid="{45D07F10-7D3E-43E7-A717-06B535495E66}" uniqueName="243" name="P-SN1-63" queryTableFieldId="243" dataDxfId="414"/>
    <tableColumn id="244" xr3:uid="{342EC810-7B02-4D14-A91C-F134E4024275}" uniqueName="244" name="P-SN1-64" queryTableFieldId="244" dataDxfId="413"/>
    <tableColumn id="245" xr3:uid="{2C79277C-9943-41ED-9E97-3262402DD7FA}" uniqueName="245" name="P-SN1-65" queryTableFieldId="245" dataDxfId="412"/>
    <tableColumn id="246" xr3:uid="{974E67C6-E6BF-479E-8CD0-52266693DBEF}" uniqueName="246" name="P-SN1-66" queryTableFieldId="246" dataDxfId="411"/>
    <tableColumn id="247" xr3:uid="{B9D60FCF-FC49-4D02-B10A-F778B0EA00DE}" uniqueName="247" name="P-SN1-67" queryTableFieldId="247" dataDxfId="410"/>
    <tableColumn id="248" xr3:uid="{05A25741-2BD5-46B5-AB42-E2BFCC10B7C7}" uniqueName="248" name="P-SN1-68" queryTableFieldId="248" dataDxfId="409"/>
    <tableColumn id="249" xr3:uid="{27E4E0E7-7F05-4223-98E0-B7EB8083BE9F}" uniqueName="249" name="P-SN2-1" queryTableFieldId="249" dataDxfId="408"/>
    <tableColumn id="250" xr3:uid="{BBF4F989-246D-401D-8CD0-361E06420205}" uniqueName="250" name="P-SN2-2" queryTableFieldId="250" dataDxfId="407"/>
    <tableColumn id="251" xr3:uid="{FC41C4A2-7A94-40E2-B6D8-4BFA7AB64159}" uniqueName="251" name="P-SN2-3" queryTableFieldId="251" dataDxfId="406"/>
    <tableColumn id="252" xr3:uid="{5C3B25A7-39B2-4BB9-A45C-7882721F94FF}" uniqueName="252" name="P-SN2-4" queryTableFieldId="252" dataDxfId="405"/>
    <tableColumn id="253" xr3:uid="{36D07E85-104A-4F52-9E05-FEAA22321215}" uniqueName="253" name="P-SN2-5" queryTableFieldId="253" dataDxfId="404"/>
    <tableColumn id="254" xr3:uid="{B9B8459E-5C4D-415A-A952-CD9A857307EE}" uniqueName="254" name="P-SN2-6" queryTableFieldId="254" dataDxfId="403"/>
    <tableColumn id="255" xr3:uid="{6055EDCF-195B-4C87-A012-157B97820A48}" uniqueName="255" name="P-SN2-7" queryTableFieldId="255" dataDxfId="402"/>
    <tableColumn id="256" xr3:uid="{F20F658F-CB95-4A8C-879E-CED263EBB4C7}" uniqueName="256" name="P-SN2-8" queryTableFieldId="256" dataDxfId="401"/>
    <tableColumn id="257" xr3:uid="{475D77A5-F3AB-41AC-81E2-F0419ACCE284}" uniqueName="257" name="P-SN2-9" queryTableFieldId="257" dataDxfId="400"/>
    <tableColumn id="258" xr3:uid="{305C1F73-0AB5-4A52-9626-6AE71BF508B5}" uniqueName="258" name="P-SN2-10" queryTableFieldId="258" dataDxfId="399"/>
    <tableColumn id="259" xr3:uid="{BEC1B316-5BB2-4E5B-BF90-CAADD4CDD757}" uniqueName="259" name="P-SN2-11" queryTableFieldId="259" dataDxfId="398"/>
    <tableColumn id="260" xr3:uid="{548F5A46-1086-481E-92FB-09BC0A524FE2}" uniqueName="260" name="P-SN2-12" queryTableFieldId="260" dataDxfId="397"/>
    <tableColumn id="261" xr3:uid="{D9018273-75E1-4DD5-85B9-EA918FEEB6ED}" uniqueName="261" name="P-SN2-13" queryTableFieldId="261" dataDxfId="396"/>
    <tableColumn id="262" xr3:uid="{7348CB68-E869-4DD4-B60F-8C8352BA8196}" uniqueName="262" name="P-SN2-14" queryTableFieldId="262" dataDxfId="395"/>
    <tableColumn id="263" xr3:uid="{132A9D8F-88A0-4EF0-98E3-DC820C410DFE}" uniqueName="263" name="P-SN2-15" queryTableFieldId="263" dataDxfId="394"/>
    <tableColumn id="264" xr3:uid="{6429736C-CDF9-4B58-8445-2211D99B82F9}" uniqueName="264" name="P-SN2-16" queryTableFieldId="264" dataDxfId="393"/>
    <tableColumn id="265" xr3:uid="{A68567ED-7EBF-4743-8A9E-A6641FEB398A}" uniqueName="265" name="P-SN2-17" queryTableFieldId="265" dataDxfId="392"/>
    <tableColumn id="266" xr3:uid="{13E0A72D-4152-4C15-A06F-1DC3518B5E53}" uniqueName="266" name="P-SN2-18" queryTableFieldId="266" dataDxfId="391"/>
    <tableColumn id="267" xr3:uid="{A008F961-A0CB-45E2-AA66-D467F5EA574C}" uniqueName="267" name="P-SN2-19" queryTableFieldId="267" dataDxfId="390"/>
    <tableColumn id="268" xr3:uid="{89DCDD15-3AD9-441E-9DBA-72BC0A5B0379}" uniqueName="268" name="P-SN2-20" queryTableFieldId="268" dataDxfId="389"/>
    <tableColumn id="269" xr3:uid="{A296652F-A10D-4F1B-8EC7-E339A9B55638}" uniqueName="269" name="P-SN2-21" queryTableFieldId="269" dataDxfId="388"/>
    <tableColumn id="270" xr3:uid="{CFA6FA18-55F5-4844-A572-FEFEAC37F1F8}" uniqueName="270" name="P-SN2-22" queryTableFieldId="270" dataDxfId="387"/>
    <tableColumn id="271" xr3:uid="{FC1ED476-E4C2-4E97-9D08-4DB2CF5B3C12}" uniqueName="271" name="P-SN2-23" queryTableFieldId="271" dataDxfId="386"/>
    <tableColumn id="272" xr3:uid="{9166A3E1-9884-48DA-8D78-0C71E4C7D306}" uniqueName="272" name="P-SN2-24" queryTableFieldId="272" dataDxfId="385"/>
    <tableColumn id="273" xr3:uid="{2C7613A3-20D2-4DC8-BF81-663E3A706682}" uniqueName="273" name="P-SN2-25" queryTableFieldId="273" dataDxfId="384"/>
    <tableColumn id="274" xr3:uid="{F8BFFF73-C15D-419D-9CC7-2B5135089F3A}" uniqueName="274" name="P-SN2-26" queryTableFieldId="274" dataDxfId="383"/>
    <tableColumn id="275" xr3:uid="{ECABE91B-A2F2-49A3-BB47-9B227A4F3580}" uniqueName="275" name="P-SN2-27" queryTableFieldId="275" dataDxfId="382"/>
    <tableColumn id="276" xr3:uid="{4973025D-8877-41BE-93BC-D6D9423F603A}" uniqueName="276" name="P-SN2-28" queryTableFieldId="276" dataDxfId="381"/>
    <tableColumn id="277" xr3:uid="{A4D7D94B-A66F-4835-AAA1-FDA8E4AB1EF4}" uniqueName="277" name="P-SN2-29" queryTableFieldId="277" dataDxfId="380"/>
    <tableColumn id="278" xr3:uid="{A41E4698-DDAD-44E5-99B0-2E76FCF2974E}" uniqueName="278" name="P-SN2-30" queryTableFieldId="278" dataDxfId="379"/>
    <tableColumn id="279" xr3:uid="{11F1B912-F872-4755-B7D9-BCF6AB1CB230}" uniqueName="279" name="P-SN2-31" queryTableFieldId="279" dataDxfId="378"/>
    <tableColumn id="280" xr3:uid="{109BED0F-B5ED-458E-A195-E0D406754B66}" uniqueName="280" name="P-SN2-32" queryTableFieldId="280" dataDxfId="377"/>
    <tableColumn id="281" xr3:uid="{3AB85764-223D-4B63-B3BF-39BBF3D1C31A}" uniqueName="281" name="P-SN2-33" queryTableFieldId="281" dataDxfId="376"/>
    <tableColumn id="282" xr3:uid="{DA989270-9163-4848-BF88-74DB5492ACAE}" uniqueName="282" name="P-SN2-34" queryTableFieldId="282" dataDxfId="375"/>
    <tableColumn id="283" xr3:uid="{FCB3C54A-75BF-407F-8FCA-FB6F08B088DB}" uniqueName="283" name="P-SN2-35" queryTableFieldId="283" dataDxfId="374"/>
    <tableColumn id="284" xr3:uid="{AE810AE1-A3D5-4A58-8C9C-843CE553A1F8}" uniqueName="284" name="P-SN2-36" queryTableFieldId="284" dataDxfId="373"/>
    <tableColumn id="285" xr3:uid="{B9998D8B-407C-4C73-ABC0-D06D768EDB39}" uniqueName="285" name="P-SN2-37" queryTableFieldId="285" dataDxfId="372"/>
    <tableColumn id="286" xr3:uid="{F22F9220-CC83-4316-BDBA-3F4C7598AB69}" uniqueName="286" name="P-SN2-38" queryTableFieldId="286" dataDxfId="371"/>
    <tableColumn id="287" xr3:uid="{2ED4084D-850C-4AE1-9A15-4BE42D6D9455}" uniqueName="287" name="P-SN2-39" queryTableFieldId="287" dataDxfId="370"/>
    <tableColumn id="288" xr3:uid="{72D17D37-C33B-4D92-80C0-91679E5B8028}" uniqueName="288" name="P-SN2-40" queryTableFieldId="288" dataDxfId="369"/>
    <tableColumn id="289" xr3:uid="{95CFA8B8-77F5-4F08-9FBB-10A6AFA10851}" uniqueName="289" name="P-SN2-41" queryTableFieldId="289" dataDxfId="368"/>
    <tableColumn id="290" xr3:uid="{60A3B263-7FA0-4FF0-B921-211521FDD108}" uniqueName="290" name="P-SN2-42" queryTableFieldId="290" dataDxfId="367"/>
    <tableColumn id="291" xr3:uid="{635B5962-0CDC-436C-A70C-5C32D4474D91}" uniqueName="291" name="P-SN2-43" queryTableFieldId="291" dataDxfId="366"/>
    <tableColumn id="292" xr3:uid="{F02109E6-FFA9-492D-B9C8-E843F95ED6A6}" uniqueName="292" name="P-SN2-44" queryTableFieldId="292" dataDxfId="365"/>
    <tableColumn id="293" xr3:uid="{69A35059-35ED-4956-8625-E92C0003B4CC}" uniqueName="293" name="P-SN2-45" queryTableFieldId="293" dataDxfId="364"/>
    <tableColumn id="294" xr3:uid="{F7DE1D68-1545-4051-A529-4211662B0248}" uniqueName="294" name="P-SN2-46" queryTableFieldId="294" dataDxfId="363"/>
    <tableColumn id="295" xr3:uid="{CECDAD8C-EDE9-4B9D-81EE-598A8EFC9F5A}" uniqueName="295" name="P-SN2-47" queryTableFieldId="295" dataDxfId="362"/>
    <tableColumn id="296" xr3:uid="{CE476D37-DFA1-4DCB-B8DF-5DD6A8ABAD9B}" uniqueName="296" name="P-SN2-48" queryTableFieldId="296" dataDxfId="361"/>
    <tableColumn id="297" xr3:uid="{AA165687-33DA-4345-BAFB-FAB5A534AD41}" uniqueName="297" name="P-SN2-49" queryTableFieldId="297" dataDxfId="360"/>
    <tableColumn id="298" xr3:uid="{C2DB5C4D-F547-4DA6-8A92-20F648340A55}" uniqueName="298" name="P-SN2-50" queryTableFieldId="298" dataDxfId="359"/>
    <tableColumn id="299" xr3:uid="{F6096930-40FE-422D-8370-C903C5E17F81}" uniqueName="299" name="P-SN2-51" queryTableFieldId="299" dataDxfId="358"/>
    <tableColumn id="300" xr3:uid="{12E51583-D530-4AC5-9024-74331E688DDC}" uniqueName="300" name="P-SN2-52" queryTableFieldId="300" dataDxfId="357"/>
    <tableColumn id="301" xr3:uid="{029783BB-C899-4C15-8AF9-AC270B563059}" uniqueName="301" name="P-SN2-53" queryTableFieldId="301" dataDxfId="356"/>
    <tableColumn id="302" xr3:uid="{38DFD53F-10B8-4EF4-9915-BE0CCC28F9FE}" uniqueName="302" name="P-SN2-54" queryTableFieldId="302" dataDxfId="355"/>
    <tableColumn id="303" xr3:uid="{E487B65C-38B7-4725-B9C9-50E264A6AAF5}" uniqueName="303" name="P-SN2-55" queryTableFieldId="303" dataDxfId="354"/>
    <tableColumn id="304" xr3:uid="{EA0A41A4-09D9-4F02-8216-9FBCBA02857B}" uniqueName="304" name="P-SN2-56" queryTableFieldId="304" dataDxfId="353"/>
    <tableColumn id="305" xr3:uid="{010AF279-DF0B-44CC-897C-D8309FCAC8DF}" uniqueName="305" name="P-SN2-57" queryTableFieldId="305" dataDxfId="352"/>
    <tableColumn id="306" xr3:uid="{7A34F31E-2965-49E2-826F-5DB4E6FF6612}" uniqueName="306" name="P-SN2-58" queryTableFieldId="306" dataDxfId="351"/>
    <tableColumn id="307" xr3:uid="{7CED11DA-DDA7-4791-A9B7-92B94D269AE5}" uniqueName="307" name="P-SN2-59" queryTableFieldId="307" dataDxfId="350"/>
    <tableColumn id="308" xr3:uid="{227677EE-0324-458F-A09C-E62CA157EA8D}" uniqueName="308" name="P-SN2-60" queryTableFieldId="308" dataDxfId="349"/>
    <tableColumn id="309" xr3:uid="{4ABDA30A-50A2-4A18-8EBD-9BC86A1E1F75}" uniqueName="309" name="P-SN2-61" queryTableFieldId="309" dataDxfId="348"/>
    <tableColumn id="310" xr3:uid="{A00986BD-5240-4585-A8A1-F930EB97E57F}" uniqueName="310" name="P-SN2-62" queryTableFieldId="310" dataDxfId="347"/>
    <tableColumn id="311" xr3:uid="{EE2BA73E-7CB2-4BE0-9B82-B69E532C6275}" uniqueName="311" name="P-SN2-63" queryTableFieldId="311" dataDxfId="346"/>
    <tableColumn id="312" xr3:uid="{60D33BAB-0913-4443-AC90-FCA9B6BDD041}" uniqueName="312" name="P-SN2-64" queryTableFieldId="312" dataDxfId="345"/>
    <tableColumn id="313" xr3:uid="{970BCE82-F705-41B9-8566-DB92308CF18C}" uniqueName="313" name="P-SN2-65" queryTableFieldId="313" dataDxfId="344"/>
    <tableColumn id="314" xr3:uid="{EE9FC1F3-D2B1-42EC-BCA0-C5BEDED4913E}" uniqueName="314" name="P-SN2-66" queryTableFieldId="314" dataDxfId="343"/>
    <tableColumn id="315" xr3:uid="{3C90E91F-FFAE-4FBE-932A-045C419B8185}" uniqueName="315" name="P-SN2-67" queryTableFieldId="315" dataDxfId="342"/>
    <tableColumn id="316" xr3:uid="{2B9B5988-E8D7-462C-9709-570D2F8B316D}" uniqueName="316" name="P-SN2-68" queryTableFieldId="316" dataDxfId="34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400207F-D076-4E91-B911-C961F8B99691}" name="表1__347222324252627282930313233" displayName="表1__347222324252627282930313233" ref="A6:LX26" tableType="queryTable" totalsRowShown="0" headerRowDxfId="340" dataDxfId="339">
  <autoFilter ref="A6:LX26" xr:uid="{79A61EF6-F139-42FC-B6D1-B48DC4BC625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  <filterColumn colId="200" hiddenButton="1"/>
    <filterColumn colId="201" hiddenButton="1"/>
    <filterColumn colId="202" hiddenButton="1"/>
    <filterColumn colId="203" hiddenButton="1"/>
    <filterColumn colId="204" hiddenButton="1"/>
    <filterColumn colId="205" hiddenButton="1"/>
    <filterColumn colId="206" hiddenButton="1"/>
    <filterColumn colId="207" hiddenButton="1"/>
    <filterColumn colId="208" hiddenButton="1"/>
    <filterColumn colId="209" hiddenButton="1"/>
    <filterColumn colId="210" hiddenButton="1"/>
    <filterColumn colId="211" hiddenButton="1"/>
    <filterColumn colId="212" hiddenButton="1"/>
    <filterColumn colId="213" hiddenButton="1"/>
    <filterColumn colId="214" hiddenButton="1"/>
    <filterColumn colId="215" hiddenButton="1"/>
    <filterColumn colId="216" hiddenButton="1"/>
    <filterColumn colId="217" hiddenButton="1"/>
    <filterColumn colId="218" hiddenButton="1"/>
    <filterColumn colId="219" hiddenButton="1"/>
    <filterColumn colId="220" hiddenButton="1"/>
    <filterColumn colId="221" hiddenButton="1"/>
    <filterColumn colId="222" hiddenButton="1"/>
    <filterColumn colId="223" hiddenButton="1"/>
    <filterColumn colId="224" hiddenButton="1"/>
    <filterColumn colId="225" hiddenButton="1"/>
    <filterColumn colId="226" hiddenButton="1"/>
    <filterColumn colId="227" hiddenButton="1"/>
    <filterColumn colId="228" hiddenButton="1"/>
    <filterColumn colId="229" hiddenButton="1"/>
    <filterColumn colId="230" hiddenButton="1"/>
    <filterColumn colId="231" hiddenButton="1"/>
    <filterColumn colId="232" hiddenButton="1"/>
    <filterColumn colId="233" hiddenButton="1"/>
    <filterColumn colId="234" hiddenButton="1"/>
    <filterColumn colId="235" hiddenButton="1"/>
    <filterColumn colId="236" hiddenButton="1"/>
    <filterColumn colId="237" hiddenButton="1"/>
    <filterColumn colId="238" hiddenButton="1"/>
    <filterColumn colId="239" hiddenButton="1"/>
    <filterColumn colId="240" hiddenButton="1"/>
    <filterColumn colId="241" hiddenButton="1"/>
    <filterColumn colId="242" hiddenButton="1"/>
    <filterColumn colId="243" hiddenButton="1"/>
    <filterColumn colId="244" hiddenButton="1"/>
    <filterColumn colId="245" hiddenButton="1"/>
    <filterColumn colId="246" hiddenButton="1"/>
    <filterColumn colId="247" hiddenButton="1"/>
    <filterColumn colId="248" hiddenButton="1"/>
    <filterColumn colId="249" hiddenButton="1"/>
    <filterColumn colId="250" hiddenButton="1"/>
    <filterColumn colId="251" hiddenButton="1"/>
    <filterColumn colId="252" hiddenButton="1"/>
    <filterColumn colId="253" hiddenButton="1"/>
    <filterColumn colId="254" hiddenButton="1"/>
    <filterColumn colId="255" hiddenButton="1"/>
    <filterColumn colId="256" hiddenButton="1"/>
    <filterColumn colId="257" hiddenButton="1"/>
    <filterColumn colId="258" hiddenButton="1"/>
    <filterColumn colId="259" hiddenButton="1"/>
    <filterColumn colId="260" hiddenButton="1"/>
    <filterColumn colId="261" hiddenButton="1"/>
    <filterColumn colId="262" hiddenButton="1"/>
    <filterColumn colId="263" hiddenButton="1"/>
    <filterColumn colId="264" hiddenButton="1"/>
    <filterColumn colId="265" hiddenButton="1"/>
    <filterColumn colId="266" hiddenButton="1"/>
    <filterColumn colId="267" hiddenButton="1"/>
    <filterColumn colId="268" hiddenButton="1"/>
    <filterColumn colId="269" hiddenButton="1"/>
    <filterColumn colId="270" hiddenButton="1"/>
    <filterColumn colId="271" hiddenButton="1"/>
    <filterColumn colId="272" hiddenButton="1"/>
    <filterColumn colId="273" hiddenButton="1"/>
    <filterColumn colId="274" hiddenButton="1"/>
    <filterColumn colId="275" hiddenButton="1"/>
    <filterColumn colId="276" hiddenButton="1"/>
    <filterColumn colId="277" hiddenButton="1"/>
    <filterColumn colId="278" hiddenButton="1"/>
    <filterColumn colId="279" hiddenButton="1"/>
    <filterColumn colId="280" hiddenButton="1"/>
    <filterColumn colId="281" hiddenButton="1"/>
    <filterColumn colId="282" hiddenButton="1"/>
    <filterColumn colId="283" hiddenButton="1"/>
    <filterColumn colId="284" hiddenButton="1"/>
    <filterColumn colId="285" hiddenButton="1"/>
    <filterColumn colId="286" hiddenButton="1"/>
    <filterColumn colId="287" hiddenButton="1"/>
    <filterColumn colId="288" hiddenButton="1"/>
    <filterColumn colId="289" hiddenButton="1"/>
    <filterColumn colId="290" hiddenButton="1"/>
    <filterColumn colId="291" hiddenButton="1"/>
    <filterColumn colId="292" hiddenButton="1"/>
    <filterColumn colId="293" hiddenButton="1"/>
    <filterColumn colId="294" hiddenButton="1"/>
    <filterColumn colId="295" hiddenButton="1"/>
    <filterColumn colId="296" hiddenButton="1"/>
    <filterColumn colId="297" hiddenButton="1"/>
    <filterColumn colId="298" hiddenButton="1"/>
    <filterColumn colId="299" hiddenButton="1"/>
    <filterColumn colId="300" hiddenButton="1"/>
    <filterColumn colId="301" hiddenButton="1"/>
    <filterColumn colId="302" hiddenButton="1"/>
    <filterColumn colId="303" hiddenButton="1"/>
    <filterColumn colId="304" hiddenButton="1"/>
    <filterColumn colId="305" hiddenButton="1"/>
    <filterColumn colId="306" hiddenButton="1"/>
    <filterColumn colId="307" hiddenButton="1"/>
    <filterColumn colId="308" hiddenButton="1"/>
    <filterColumn colId="309" hiddenButton="1"/>
    <filterColumn colId="310" hiddenButton="1"/>
    <filterColumn colId="311" hiddenButton="1"/>
    <filterColumn colId="312" hiddenButton="1"/>
    <filterColumn colId="313" hiddenButton="1"/>
    <filterColumn colId="314" hiddenButton="1"/>
    <filterColumn colId="315" hiddenButton="1"/>
    <filterColumn colId="316" hiddenButton="1"/>
    <filterColumn colId="317" hiddenButton="1"/>
    <filterColumn colId="318" hiddenButton="1"/>
    <filterColumn colId="319" hiddenButton="1"/>
    <filterColumn colId="320" hiddenButton="1"/>
    <filterColumn colId="321" hiddenButton="1"/>
    <filterColumn colId="322" hiddenButton="1"/>
    <filterColumn colId="323" hiddenButton="1"/>
    <filterColumn colId="324" hiddenButton="1"/>
    <filterColumn colId="325" hiddenButton="1"/>
    <filterColumn colId="326" hiddenButton="1"/>
    <filterColumn colId="327" hiddenButton="1"/>
    <filterColumn colId="328" hiddenButton="1"/>
    <filterColumn colId="329" hiddenButton="1"/>
    <filterColumn colId="330" hiddenButton="1"/>
    <filterColumn colId="331" hiddenButton="1"/>
    <filterColumn colId="332" hiddenButton="1"/>
    <filterColumn colId="333" hiddenButton="1"/>
    <filterColumn colId="334" hiddenButton="1"/>
    <filterColumn colId="335" hiddenButton="1"/>
  </autoFilter>
  <tableColumns count="336">
    <tableColumn id="1" xr3:uid="{9E41AAB5-E82E-41D7-8FEC-E6D3BE3234EA}" uniqueName="1" name="CdId" queryTableFieldId="1" dataDxfId="338"/>
    <tableColumn id="2" xr3:uid="{7D0514DA-406E-4970-9CEA-6FF7371868AA}" uniqueName="2" name="ExactMass" queryTableFieldId="2" dataDxfId="337"/>
    <tableColumn id="3" xr3:uid="{BD2D91E8-5442-4A83-B0DA-E2DFAE9D0BBF}" uniqueName="3" name="Name" queryTableFieldId="3" dataDxfId="336"/>
    <tableColumn id="4" xr3:uid="{C06E552B-E3F5-410D-9364-E851F83FB739}" uniqueName="4" name="Formula" queryTableFieldId="4" dataDxfId="335"/>
    <tableColumn id="5" xr3:uid="{64CEDC7B-C95C-4618-B054-261D91758872}" uniqueName="5" name="Code" queryTableFieldId="5" dataDxfId="334"/>
    <tableColumn id="6" xr3:uid="{CC684CDE-7DA1-4FCD-A967-62E36FBBA273}" uniqueName="6" name="InChI" queryTableFieldId="6" dataDxfId="333"/>
    <tableColumn id="7" xr3:uid="{EA816566-E0F8-432A-AC61-315063E0A016}" uniqueName="7" name="SMILES" queryTableFieldId="7" dataDxfId="332"/>
    <tableColumn id="8" xr3:uid="{CBC1E514-93BF-470D-B5F4-225C4F8ABD26}" uniqueName="8" name="CCS" queryTableFieldId="8" dataDxfId="331" dataCellStyle="常规 2 2 2"/>
    <tableColumn id="9" xr3:uid="{72163651-5345-4A67-8654-CEC391A2074E}" uniqueName="9" name="RT" queryTableFieldId="9" dataDxfId="330" dataCellStyle="常规 2 2 2"/>
    <tableColumn id="10" xr3:uid="{BF29CF14-035F-4673-A9CA-F39BE85AD434}" uniqueName="10" name="logP" queryTableFieldId="10" dataDxfId="329"/>
    <tableColumn id="11" xr3:uid="{68B7452D-4561-40A9-A9BE-CC406AEFD453}" uniqueName="11" name="InChIKey" queryTableFieldId="11" dataDxfId="328" dataCellStyle="常规 2 2 2"/>
    <tableColumn id="12" xr3:uid="{0747B532-EEBB-4F28-9775-52F01A5C1C3A}" uniqueName="12" name="IUPAC" queryTableFieldId="12" dataDxfId="327"/>
    <tableColumn id="13" xr3:uid="{1CC16BE0-3466-4773-B470-AD748CD3CA6D}" uniqueName="13" name="Confidence" queryTableFieldId="13" dataDxfId="326"/>
    <tableColumn id="14" xr3:uid="{E23EFAD5-296A-4BFC-AEDC-48D95E83A39C}" uniqueName="14" name="Name2" queryTableFieldId="14" dataDxfId="325"/>
    <tableColumn id="15" xr3:uid="{F97659EA-94A0-465D-8440-10966D1D5CD9}" uniqueName="15" name="OH1" queryTableFieldId="15" dataDxfId="324"/>
    <tableColumn id="16" xr3:uid="{09B0189F-19B0-46C5-A44B-2EA1AE55EEE0}" uniqueName="16" name="OH2" queryTableFieldId="16" dataDxfId="323"/>
    <tableColumn id="17" xr3:uid="{E6091BB8-4F5B-4451-8215-59DF0B87E9E8}" uniqueName="17" name="Branch1" queryTableFieldId="17" dataDxfId="322"/>
    <tableColumn id="18" xr3:uid="{581A0C37-9D3F-49ED-AB4B-239C8B68A7B1}" uniqueName="18" name="Branch2" queryTableFieldId="18" dataDxfId="321"/>
    <tableColumn id="19" xr3:uid="{EC3BE134-E465-4558-87F3-00C2C3275E43}" uniqueName="19" name="Rings" queryTableFieldId="19" dataDxfId="320"/>
    <tableColumn id="20" xr3:uid="{1DC00EA8-CF1A-4DD9-B4DA-D7A67160128F}" uniqueName="20" name="Sn2 Chain Length" queryTableFieldId="20" dataDxfId="319"/>
    <tableColumn id="21" xr3:uid="{377D28B5-DCB0-4A43-93E7-5FFB4755BFD5}" uniqueName="21" name="Sn2 Double Bonds" queryTableFieldId="21" dataDxfId="318"/>
    <tableColumn id="22" xr3:uid="{5DE40A18-6ABE-4FB0-8C99-D2E0D13A4F05}" uniqueName="22" name="Sn3 Chain Length" queryTableFieldId="22" dataDxfId="317"/>
    <tableColumn id="23" xr3:uid="{6B1F6834-8D17-4269-AB1D-607C29646072}" uniqueName="23" name="Sn3 Double Bonds" queryTableFieldId="23" dataDxfId="316"/>
    <tableColumn id="24" xr3:uid="{192713D0-423D-4EF8-A2F7-36072794C3DB}" uniqueName="24" name="Short Name" queryTableFieldId="24" dataDxfId="315"/>
    <tableColumn id="25" xr3:uid="{615EA95E-46FC-4A67-A0F5-9A74332927E0}" uniqueName="25" name="SN1 acyl loss" queryTableFieldId="25" dataDxfId="314"/>
    <tableColumn id="26" xr3:uid="{C5E8EE87-721E-49D7-88F5-29B68C8AB3F0}" uniqueName="26" name="SN1-H2O" queryTableFieldId="26" dataDxfId="313"/>
    <tableColumn id="27" xr3:uid="{6A3EFB65-35DF-414C-ABD6-6CE6AABB61F1}" uniqueName="27" name="SN2 acyl loss" queryTableFieldId="27" dataDxfId="312"/>
    <tableColumn id="28" xr3:uid="{89E0F10F-C7D3-483F-92D2-AD96F7EA65AD}" uniqueName="28" name="SN2-H2O" queryTableFieldId="28" dataDxfId="311"/>
    <tableColumn id="29" xr3:uid="{6315F921-050F-433A-8AAF-EE81C4E7F135}" uniqueName="29" name="[M+H]+ Precursor Mass" queryTableFieldId="29" dataDxfId="310"/>
    <tableColumn id="317" xr3:uid="{6B396DEA-0157-48BA-A575-BF2ABFA46CF6}" uniqueName="317" name="Head loss" queryTableFieldId="320" dataDxfId="309"/>
    <tableColumn id="325" xr3:uid="{C7365B32-D014-4882-A42A-8398D89A0A22}" uniqueName="325" name="Head-Particalloss" queryTableFieldId="326" dataDxfId="308"/>
    <tableColumn id="30" xr3:uid="{0ADB32AE-9520-4EB6-B2D2-87A909304B98}" uniqueName="30" name="Chainloss" queryTableFieldId="30" dataDxfId="307"/>
    <tableColumn id="318" xr3:uid="{19156409-5CDE-4EAE-892F-0726DB13A22B}" uniqueName="318" name="Head&amp;Chainloss" queryTableFieldId="319" dataDxfId="306"/>
    <tableColumn id="319" xr3:uid="{C2B2720C-BF47-4B14-B0B6-AFBC683D7187}" uniqueName="319" name="Debris of Phospholipids" queryTableFieldId="318" dataDxfId="305"/>
    <tableColumn id="320" xr3:uid="{33CD4D79-9C6C-4C1E-8EC8-B3E7214F31F6}" uniqueName="320" name="Debris of Phospholipids2" queryTableFieldId="317" dataDxfId="304"/>
    <tableColumn id="330" xr3:uid="{EA927DD5-4116-4FD7-AC38-A23E50086FE0}" uniqueName="330" name="Chainloss-H2O" queryTableFieldId="331" dataDxfId="303"/>
    <tableColumn id="31" xr3:uid="{8A7D76A3-C877-4CBB-A68B-A586147DC66F}" uniqueName="31" name="undefined2" queryTableFieldId="31" dataDxfId="302"/>
    <tableColumn id="32" xr3:uid="{EFE0E7C0-E789-4360-99D1-FDAA206EE6FA}" uniqueName="32" name="SN1+2" queryTableFieldId="32" dataDxfId="301"/>
    <tableColumn id="33" xr3:uid="{F4C9EA32-F8CA-44AB-8194-F9BDD89044AD}" uniqueName="33" name="-2SN" queryTableFieldId="33" dataDxfId="300"/>
    <tableColumn id="34" xr3:uid="{7F0A7F95-2061-4861-9BA1-4B48D5440802}" uniqueName="34" name="-SN2-H2O" queryTableFieldId="34" dataDxfId="299"/>
    <tableColumn id="328" xr3:uid="{7E0B4B2C-0A43-47BF-B43A-0440DBA9E404}" uniqueName="328" name="undefined3" queryTableFieldId="330" dataDxfId="298"/>
    <tableColumn id="329" xr3:uid="{98DA4D55-4256-4213-A288-EAF44B07E11B}" uniqueName="329" name="Head" queryTableFieldId="329" dataDxfId="297"/>
    <tableColumn id="326" xr3:uid="{E5772749-1433-4CEB-B5A4-AA5417121E53}" uniqueName="326" name="PA-Head" queryTableFieldId="328" dataDxfId="296"/>
    <tableColumn id="327" xr3:uid="{6A446C48-52D8-40C9-89F2-A55539C85136}" uniqueName="327" name="PA-Head-H2O" queryTableFieldId="327" dataDxfId="295"/>
    <tableColumn id="35" xr3:uid="{B8403F6D-590A-467C-A3E3-1F7C1D5377D1}" uniqueName="35" name="SN1" queryTableFieldId="35" dataDxfId="294"/>
    <tableColumn id="36" xr3:uid="{30B5641D-23C2-4567-8FEE-70288D1B62EE}" uniqueName="36" name="SN2" queryTableFieldId="36" dataDxfId="293"/>
    <tableColumn id="37" xr3:uid="{C349785D-EEDC-4705-B678-6225714E07C8}" uniqueName="37" name="SN1-1" queryTableFieldId="37" dataDxfId="292"/>
    <tableColumn id="38" xr3:uid="{717012D6-9ED2-4D72-A1E1-7730CB356393}" uniqueName="38" name="SN1-2" queryTableFieldId="38" dataDxfId="291"/>
    <tableColumn id="39" xr3:uid="{0E4F6D6A-60A5-4640-95D8-13C165C025D3}" uniqueName="39" name="SN1-3" queryTableFieldId="39" dataDxfId="290"/>
    <tableColumn id="40" xr3:uid="{A70B50B5-CF57-449B-B9EE-A72B23622A66}" uniqueName="40" name="SN1-4" queryTableFieldId="40" dataDxfId="289"/>
    <tableColumn id="41" xr3:uid="{90C53815-9FAA-41A4-BF51-F653D236713D}" uniqueName="41" name="SN1-5" queryTableFieldId="41" dataDxfId="288"/>
    <tableColumn id="42" xr3:uid="{79BCF9E7-877F-44C6-A134-D6C0F151DBC2}" uniqueName="42" name="SN1-6" queryTableFieldId="42" dataDxfId="287"/>
    <tableColumn id="43" xr3:uid="{2DA27705-0FF5-42BA-83BA-FE99C609ED0A}" uniqueName="43" name="SN1-7" queryTableFieldId="43" dataDxfId="286"/>
    <tableColumn id="44" xr3:uid="{6FB1EAC6-9B1D-459A-BF7A-BBC8ADCDDD76}" uniqueName="44" name="SN1-8" queryTableFieldId="44" dataDxfId="285"/>
    <tableColumn id="45" xr3:uid="{1B1123F9-FE19-4B2A-BA82-C36FB8F02098}" uniqueName="45" name="SN1-9" queryTableFieldId="45" dataDxfId="284"/>
    <tableColumn id="46" xr3:uid="{2F06432C-420F-4942-BC4D-5E0F204F1B76}" uniqueName="46" name="SN1-10" queryTableFieldId="46" dataDxfId="283"/>
    <tableColumn id="47" xr3:uid="{CAFF1911-9B37-4A4B-A044-FCBA6D7D409D}" uniqueName="47" name="SN1-11" queryTableFieldId="47" dataDxfId="282"/>
    <tableColumn id="48" xr3:uid="{16632F23-188B-443E-953A-23F54E755599}" uniqueName="48" name="SN1-12" queryTableFieldId="48" dataDxfId="281"/>
    <tableColumn id="49" xr3:uid="{F6F0533F-3574-4F7B-B847-15F8420C8B17}" uniqueName="49" name="SN1-13" queryTableFieldId="49" dataDxfId="280"/>
    <tableColumn id="50" xr3:uid="{71C53AB9-C5AB-43CC-B826-8A9A9BFE8FFA}" uniqueName="50" name="SN1-14" queryTableFieldId="50" dataDxfId="279"/>
    <tableColumn id="51" xr3:uid="{9C24EFE6-FDF5-4DE0-BA33-B4E80953DF60}" uniqueName="51" name="SN1-15" queryTableFieldId="51" dataDxfId="278"/>
    <tableColumn id="52" xr3:uid="{0F376A6A-061F-4916-B3FA-CDF46A4CFBA0}" uniqueName="52" name="SN1-16" queryTableFieldId="52" dataDxfId="277"/>
    <tableColumn id="53" xr3:uid="{EC246CF5-7C21-47E8-889B-60567966112E}" uniqueName="53" name="SN1-17" queryTableFieldId="53" dataDxfId="276"/>
    <tableColumn id="54" xr3:uid="{69CDB0F9-50D9-44FE-9C03-2326C7642DFA}" uniqueName="54" name="SN1-18" queryTableFieldId="54" dataDxfId="275"/>
    <tableColumn id="55" xr3:uid="{7991A037-C5D2-4CA0-9CD7-46E9DA185F42}" uniqueName="55" name="SN1-19" queryTableFieldId="55" dataDxfId="274"/>
    <tableColumn id="56" xr3:uid="{3DFB3449-E04E-441B-9C72-036C3F9204A8}" uniqueName="56" name="SN1-20" queryTableFieldId="56" dataDxfId="273"/>
    <tableColumn id="57" xr3:uid="{EAD2E28E-EDE1-4BA6-8632-CA03413430B8}" uniqueName="57" name="SN1-21" queryTableFieldId="57" dataDxfId="272"/>
    <tableColumn id="58" xr3:uid="{9B234441-D68F-441E-9684-B1299F3BBEE6}" uniqueName="58" name="SN1-22" queryTableFieldId="58" dataDxfId="271"/>
    <tableColumn id="59" xr3:uid="{1D6AC0EF-E280-44C9-BBA7-F2E405229CFD}" uniqueName="59" name="SN1-23" queryTableFieldId="59" dataDxfId="270"/>
    <tableColumn id="60" xr3:uid="{9A5B01A8-7169-4A0E-B28C-DDD1FC2213B4}" uniqueName="60" name="SN1-24" queryTableFieldId="60" dataDxfId="269"/>
    <tableColumn id="61" xr3:uid="{D97AE812-36AF-41D6-9E88-DA267DB1DFFD}" uniqueName="61" name="SN1-25" queryTableFieldId="61" dataDxfId="268"/>
    <tableColumn id="62" xr3:uid="{C959E63C-D8AE-48BA-BA2D-F6F0E2B0E596}" uniqueName="62" name="SN1-26" queryTableFieldId="62" dataDxfId="267"/>
    <tableColumn id="63" xr3:uid="{C947041A-09F3-40A7-8C4E-9FA7080BAB68}" uniqueName="63" name="SN1-27" queryTableFieldId="63" dataDxfId="266"/>
    <tableColumn id="64" xr3:uid="{EF737DEA-4EA1-463C-9866-2D74B7C1E871}" uniqueName="64" name="SN1-28" queryTableFieldId="64" dataDxfId="265"/>
    <tableColumn id="65" xr3:uid="{514CF1B9-A283-4BF2-B8FB-B08B900A224D}" uniqueName="65" name="SN1-29" queryTableFieldId="65" dataDxfId="264"/>
    <tableColumn id="66" xr3:uid="{45438E33-D0E9-49BC-A0D0-F32C480454D6}" uniqueName="66" name="SN1-30" queryTableFieldId="66" dataDxfId="263"/>
    <tableColumn id="67" xr3:uid="{CA4B22DE-7765-4F0E-A61B-3AF5FA5DA567}" uniqueName="67" name="SN1-31" queryTableFieldId="67" dataDxfId="262"/>
    <tableColumn id="68" xr3:uid="{77257D26-1BA6-4E01-82D2-67DA0C144FDF}" uniqueName="68" name="SN1-32" queryTableFieldId="68" dataDxfId="261"/>
    <tableColumn id="69" xr3:uid="{B8F515BC-2122-48E0-BD13-74522CFEC183}" uniqueName="69" name="SN1-33" queryTableFieldId="69" dataDxfId="260"/>
    <tableColumn id="70" xr3:uid="{6EC829D6-CB70-4524-AE64-60B89C90995C}" uniqueName="70" name="SN1-34" queryTableFieldId="70" dataDxfId="259"/>
    <tableColumn id="71" xr3:uid="{7AB6C227-8B48-4B93-B1AC-57ED35074BB6}" uniqueName="71" name="SN1-35" queryTableFieldId="71" dataDxfId="258"/>
    <tableColumn id="72" xr3:uid="{0737BCC9-B903-4452-B7B0-ADD42310F2CA}" uniqueName="72" name="SN1-36" queryTableFieldId="72" dataDxfId="257"/>
    <tableColumn id="73" xr3:uid="{4EAE53E8-93B9-44CB-9681-F74548D8F5AC}" uniqueName="73" name="SN1-37" queryTableFieldId="73" dataDxfId="256"/>
    <tableColumn id="74" xr3:uid="{96FFA040-8B37-48C4-8A72-7EE4F22C2B7F}" uniqueName="74" name="SN1-38" queryTableFieldId="74" dataDxfId="255"/>
    <tableColumn id="75" xr3:uid="{96909BB3-EDC0-42F0-B29D-394983D4E86D}" uniqueName="75" name="SN1-39" queryTableFieldId="75" dataDxfId="254"/>
    <tableColumn id="76" xr3:uid="{D666E077-740D-45FD-B661-746135B003AB}" uniqueName="76" name="SN1-40" queryTableFieldId="76" dataDxfId="253"/>
    <tableColumn id="77" xr3:uid="{56AB5367-CAA7-4AC0-A5B5-946AC7231804}" uniqueName="77" name="SN1-41" queryTableFieldId="77" dataDxfId="252"/>
    <tableColumn id="78" xr3:uid="{73334378-D547-4997-9353-0D61D81CBFD2}" uniqueName="78" name="SN1-42" queryTableFieldId="78" dataDxfId="251"/>
    <tableColumn id="79" xr3:uid="{8E3229CD-2509-43DB-98B5-37BA316562F8}" uniqueName="79" name="SN1-43" queryTableFieldId="79" dataDxfId="250"/>
    <tableColumn id="80" xr3:uid="{FD800804-49D8-48E4-ACDE-2CD8D9C95F4A}" uniqueName="80" name="SN1-44" queryTableFieldId="80" dataDxfId="249"/>
    <tableColumn id="81" xr3:uid="{9BF013B1-B813-4835-95AF-C3D075CADA87}" uniqueName="81" name="SN1-45" queryTableFieldId="81" dataDxfId="248"/>
    <tableColumn id="82" xr3:uid="{8F166B53-5D9E-4CDF-9F33-51A45DD045E2}" uniqueName="82" name="SN1-46" queryTableFieldId="82" dataDxfId="247"/>
    <tableColumn id="83" xr3:uid="{EA6AB3FD-B169-4C24-A08A-B8702DBF2D36}" uniqueName="83" name="SN1-47" queryTableFieldId="83" dataDxfId="246"/>
    <tableColumn id="84" xr3:uid="{E5356138-210C-43BC-880C-0551796116D5}" uniqueName="84" name="SN1-48" queryTableFieldId="84" dataDxfId="245"/>
    <tableColumn id="85" xr3:uid="{8FF0FE58-A07F-4C38-BDA6-783AB9DC312B}" uniqueName="85" name="SN1-49" queryTableFieldId="85" dataDxfId="244"/>
    <tableColumn id="86" xr3:uid="{A798241C-B65E-4FC7-99AB-A6327986A522}" uniqueName="86" name="SN1-50" queryTableFieldId="86" dataDxfId="243"/>
    <tableColumn id="87" xr3:uid="{899B21C3-42B7-44F9-9891-56E12DE74BB4}" uniqueName="87" name="SN1-51" queryTableFieldId="87" dataDxfId="242"/>
    <tableColumn id="88" xr3:uid="{EBF471D9-4FB5-46F9-861D-BC1EF3234D26}" uniqueName="88" name="SN1-52" queryTableFieldId="88" dataDxfId="241"/>
    <tableColumn id="89" xr3:uid="{EC4F0E90-CABF-4E00-AE6F-6BA3A1D9EF5E}" uniqueName="89" name="SN1-53" queryTableFieldId="89" dataDxfId="240"/>
    <tableColumn id="90" xr3:uid="{EC850354-D3F2-4B89-A724-F92C4A11E6A5}" uniqueName="90" name="SN1-54" queryTableFieldId="90" dataDxfId="239"/>
    <tableColumn id="91" xr3:uid="{4A174DB2-0D7C-4061-B13E-B0A52C0E0FEC}" uniqueName="91" name="SN1-55" queryTableFieldId="91" dataDxfId="238"/>
    <tableColumn id="92" xr3:uid="{679E27B7-3836-47D1-B1F9-58C8C6E2DEFF}" uniqueName="92" name="SN1-56" queryTableFieldId="92" dataDxfId="237"/>
    <tableColumn id="93" xr3:uid="{66682D07-45B2-4C60-9229-2F0336A28EE2}" uniqueName="93" name="SN1-57" queryTableFieldId="93" dataDxfId="236"/>
    <tableColumn id="94" xr3:uid="{3EC1F840-DD23-4D6D-BE44-0D576ABD9F0B}" uniqueName="94" name="SN1-58" queryTableFieldId="94" dataDxfId="235"/>
    <tableColumn id="95" xr3:uid="{F8E02C8A-9163-4106-81E7-90AC6CC89B2A}" uniqueName="95" name="SN1-59" queryTableFieldId="95" dataDxfId="234"/>
    <tableColumn id="96" xr3:uid="{0E64DAD3-F4EF-41FC-BD8B-D541F3BA08A7}" uniqueName="96" name="SN1-60" queryTableFieldId="96" dataDxfId="233"/>
    <tableColumn id="97" xr3:uid="{B9E2F72F-2738-420D-8A45-79A1C766AC68}" uniqueName="97" name="SN1-61" queryTableFieldId="97" dataDxfId="232"/>
    <tableColumn id="98" xr3:uid="{0149950C-6748-4F31-99FF-70E5A8E7D12D}" uniqueName="98" name="SN1-62" queryTableFieldId="98" dataDxfId="231"/>
    <tableColumn id="99" xr3:uid="{EEAA887C-7BA4-40A8-AA27-FF557A7C8E3C}" uniqueName="99" name="SN1-63" queryTableFieldId="99" dataDxfId="230"/>
    <tableColumn id="100" xr3:uid="{193B3EA3-C012-4ACD-9B44-31BB2160C999}" uniqueName="100" name="SN1-64" queryTableFieldId="100" dataDxfId="229"/>
    <tableColumn id="101" xr3:uid="{F1A64A6D-999E-4B36-97B0-237B7F3B5310}" uniqueName="101" name="SN1-65" queryTableFieldId="101" dataDxfId="228"/>
    <tableColumn id="102" xr3:uid="{609602BF-FE9D-4C7E-9090-E4262E48EC91}" uniqueName="102" name="SN1-66" queryTableFieldId="102" dataDxfId="227"/>
    <tableColumn id="103" xr3:uid="{92B42A21-25FE-4185-8B22-160280F2F126}" uniqueName="103" name="SN1-67" queryTableFieldId="103" dataDxfId="226"/>
    <tableColumn id="104" xr3:uid="{5538607D-034C-453D-8CAD-D4E9DAD99907}" uniqueName="104" name="SN1-68" queryTableFieldId="104" dataDxfId="225"/>
    <tableColumn id="105" xr3:uid="{C996F9C3-CEE5-4793-BF8C-54DF3DABFA89}" uniqueName="105" name="SN2-1" queryTableFieldId="105" dataDxfId="224"/>
    <tableColumn id="106" xr3:uid="{542F76A2-21FD-4D32-9E5A-A1C9FD4EB410}" uniqueName="106" name="SN2-2" queryTableFieldId="106" dataDxfId="223"/>
    <tableColumn id="107" xr3:uid="{8AC6A4B8-5A38-4A56-AF62-867E9B103A36}" uniqueName="107" name="SN2-3" queryTableFieldId="107" dataDxfId="222"/>
    <tableColumn id="108" xr3:uid="{CBAB275E-A08F-4E7D-AD19-EF0AC99E9B4A}" uniqueName="108" name="SN2-4" queryTableFieldId="108" dataDxfId="221"/>
    <tableColumn id="109" xr3:uid="{64CEAB91-6EB7-4B09-9EB7-C815C91B03F2}" uniqueName="109" name="SN2-5" queryTableFieldId="109" dataDxfId="220"/>
    <tableColumn id="110" xr3:uid="{55809A9C-D2CB-431C-84B3-0474D3C085E3}" uniqueName="110" name="SN2-6" queryTableFieldId="110" dataDxfId="219"/>
    <tableColumn id="111" xr3:uid="{BC33E977-BB93-4092-88D5-56FC55CA3BA2}" uniqueName="111" name="SN2-7" queryTableFieldId="111" dataDxfId="218"/>
    <tableColumn id="112" xr3:uid="{30E35E38-2CD8-4FC3-BE82-F5D8D0FC47EE}" uniqueName="112" name="SN2-8" queryTableFieldId="112" dataDxfId="217"/>
    <tableColumn id="113" xr3:uid="{21006A1D-72B6-4AE4-BA1F-F70680540E4D}" uniqueName="113" name="SN2-9" queryTableFieldId="113" dataDxfId="216"/>
    <tableColumn id="114" xr3:uid="{6E6B5FDC-7481-4E6F-B876-9665598F2DCB}" uniqueName="114" name="SN2-10" queryTableFieldId="114" dataDxfId="215"/>
    <tableColumn id="115" xr3:uid="{3A5C3896-2AC3-4E3D-856F-C4E5C3614898}" uniqueName="115" name="SN2-11" queryTableFieldId="115" dataDxfId="214"/>
    <tableColumn id="116" xr3:uid="{CE46F856-1ED2-45A4-B50A-E40E29E3A0A4}" uniqueName="116" name="SN2-12" queryTableFieldId="116" dataDxfId="213"/>
    <tableColumn id="117" xr3:uid="{B9BB05FD-1C11-4B96-A94D-A60E970ACF92}" uniqueName="117" name="SN2-13" queryTableFieldId="117" dataDxfId="212"/>
    <tableColumn id="118" xr3:uid="{069CCD3B-9718-4AC8-AEBA-EA3C82CA0B3A}" uniqueName="118" name="SN2-14" queryTableFieldId="118" dataDxfId="211"/>
    <tableColumn id="119" xr3:uid="{45227521-0F94-4F22-B810-2CD11A5CCBCE}" uniqueName="119" name="SN2-15" queryTableFieldId="119" dataDxfId="210"/>
    <tableColumn id="120" xr3:uid="{1C00AFF4-7419-4938-A678-959E34411E13}" uniqueName="120" name="SN2-16" queryTableFieldId="120" dataDxfId="209"/>
    <tableColumn id="121" xr3:uid="{913D9EAC-532E-4A0E-A733-F59D1D668E25}" uniqueName="121" name="SN2-17" queryTableFieldId="121" dataDxfId="208"/>
    <tableColumn id="122" xr3:uid="{0E0C54B6-7609-4EF4-B0FA-FA355A8BEFAE}" uniqueName="122" name="SN2-18" queryTableFieldId="122" dataDxfId="207"/>
    <tableColumn id="123" xr3:uid="{F6185503-910A-4891-A644-A3D617BE3765}" uniqueName="123" name="SN2-19" queryTableFieldId="123" dataDxfId="206"/>
    <tableColumn id="124" xr3:uid="{A8A08D54-C1CB-4828-A195-AB2886DBF6BA}" uniqueName="124" name="SN2-20" queryTableFieldId="124" dataDxfId="205"/>
    <tableColumn id="125" xr3:uid="{3A7154C4-1E7F-4E1E-877F-A7134D5EA795}" uniqueName="125" name="SN2-21" queryTableFieldId="125" dataDxfId="204"/>
    <tableColumn id="126" xr3:uid="{D8B8F797-C8FF-4185-BC5D-35408FA24C24}" uniqueName="126" name="SN2-22" queryTableFieldId="126" dataDxfId="203"/>
    <tableColumn id="127" xr3:uid="{DFBFDA12-A0F6-49F4-8E7E-2F60980B4404}" uniqueName="127" name="SN2-23" queryTableFieldId="127" dataDxfId="202"/>
    <tableColumn id="128" xr3:uid="{DB68C064-8710-4427-A295-4FF53FFF2727}" uniqueName="128" name="SN2-24" queryTableFieldId="128" dataDxfId="201"/>
    <tableColumn id="129" xr3:uid="{B9A6DEFA-8953-4BA5-9F3D-1101F8ED6CB8}" uniqueName="129" name="SN2-25" queryTableFieldId="129" dataDxfId="200"/>
    <tableColumn id="130" xr3:uid="{88FFF7DB-FE62-4008-8A78-25AD8A13F276}" uniqueName="130" name="SN2-26" queryTableFieldId="130" dataDxfId="199"/>
    <tableColumn id="131" xr3:uid="{412C0F65-77CB-44C5-BE16-341F526FB2E1}" uniqueName="131" name="SN2-27" queryTableFieldId="131" dataDxfId="198"/>
    <tableColumn id="132" xr3:uid="{B8DFFD05-6708-4B27-9D22-0A337583DBAF}" uniqueName="132" name="SN2-28" queryTableFieldId="132" dataDxfId="197"/>
    <tableColumn id="133" xr3:uid="{10F0614B-2B74-4784-B442-3FC6CCFC4F11}" uniqueName="133" name="SN2-29" queryTableFieldId="133" dataDxfId="196"/>
    <tableColumn id="134" xr3:uid="{73F04DB8-5D0A-4599-A90F-80D480FE9AAC}" uniqueName="134" name="SN2-30" queryTableFieldId="134" dataDxfId="195"/>
    <tableColumn id="135" xr3:uid="{033D5598-42AF-4EE8-B9C7-A559DE680BC5}" uniqueName="135" name="SN2-31" queryTableFieldId="135" dataDxfId="194"/>
    <tableColumn id="136" xr3:uid="{356D25AA-5668-4135-8C1E-CC640578F364}" uniqueName="136" name="SN2-32" queryTableFieldId="136" dataDxfId="193"/>
    <tableColumn id="137" xr3:uid="{9ADBAE47-77C3-4A88-B6F1-C4DAC35D6EA2}" uniqueName="137" name="SN2-33" queryTableFieldId="137" dataDxfId="192"/>
    <tableColumn id="138" xr3:uid="{97E03D93-A1A7-4BBF-A572-ADF5CBBCA4CA}" uniqueName="138" name="SN2-34" queryTableFieldId="138" dataDxfId="191"/>
    <tableColumn id="139" xr3:uid="{A535FF1F-8AF8-4B34-80C2-5CD2C4B663F1}" uniqueName="139" name="SN2-35" queryTableFieldId="139" dataDxfId="190"/>
    <tableColumn id="140" xr3:uid="{2301DD0B-75A5-4232-9AC8-51FF8D7568CD}" uniqueName="140" name="SN2-36" queryTableFieldId="140" dataDxfId="189"/>
    <tableColumn id="141" xr3:uid="{5D61A309-6D5E-4372-B661-DF2CF18F8797}" uniqueName="141" name="SN2-37" queryTableFieldId="141" dataDxfId="188"/>
    <tableColumn id="142" xr3:uid="{12E9D505-0D94-4B9E-9D4B-428C1D5848F3}" uniqueName="142" name="SN2-38" queryTableFieldId="142" dataDxfId="187"/>
    <tableColumn id="143" xr3:uid="{D85CA094-ACFD-475D-8CF3-BB822516ABA7}" uniqueName="143" name="SN2-39" queryTableFieldId="143" dataDxfId="186"/>
    <tableColumn id="144" xr3:uid="{C26B84B5-B8D0-4F20-911B-CB677D1EB2F8}" uniqueName="144" name="SN2-40" queryTableFieldId="144" dataDxfId="185"/>
    <tableColumn id="145" xr3:uid="{63906CB4-56D1-45BF-8F83-BFE59684793E}" uniqueName="145" name="SN2-41" queryTableFieldId="145" dataDxfId="184"/>
    <tableColumn id="146" xr3:uid="{52C36CD4-0A51-4EFA-86FD-008FAE663FF8}" uniqueName="146" name="SN2-42" queryTableFieldId="146" dataDxfId="183"/>
    <tableColumn id="147" xr3:uid="{4F227C7C-047E-493F-9399-8B2340FEF6EF}" uniqueName="147" name="SN2-43" queryTableFieldId="147" dataDxfId="182"/>
    <tableColumn id="148" xr3:uid="{B15B2F80-A50D-40FC-B950-8A5F8B9B57DE}" uniqueName="148" name="SN2-44" queryTableFieldId="148" dataDxfId="181"/>
    <tableColumn id="149" xr3:uid="{78578541-5D26-4018-AE05-FD21FE6B0E20}" uniqueName="149" name="SN2-45" queryTableFieldId="149" dataDxfId="180"/>
    <tableColumn id="150" xr3:uid="{0CA854B2-2F10-463D-93DA-21743CAE8E6F}" uniqueName="150" name="SN2-46" queryTableFieldId="150" dataDxfId="179"/>
    <tableColumn id="151" xr3:uid="{017CA2C3-4F60-4044-A49C-725D93CF4E74}" uniqueName="151" name="SN2-47" queryTableFieldId="151" dataDxfId="178"/>
    <tableColumn id="152" xr3:uid="{0BC7E614-F8D8-4464-93F4-EC3875A0FB23}" uniqueName="152" name="SN2-48" queryTableFieldId="152" dataDxfId="177"/>
    <tableColumn id="153" xr3:uid="{15F5094C-D9D5-4288-9A43-7FC49F38A79A}" uniqueName="153" name="SN2-49" queryTableFieldId="153" dataDxfId="176"/>
    <tableColumn id="154" xr3:uid="{CDC874AF-69CC-476D-91A7-5C91B9A6359A}" uniqueName="154" name="SN2-50" queryTableFieldId="154" dataDxfId="175"/>
    <tableColumn id="155" xr3:uid="{C9508281-46C2-4A6A-A293-64ECFF25FD9A}" uniqueName="155" name="SN2-51" queryTableFieldId="155" dataDxfId="174"/>
    <tableColumn id="156" xr3:uid="{72B9FB4C-D6A7-4CE3-AC67-6EA7A76E7E6C}" uniqueName="156" name="SN2-52" queryTableFieldId="156" dataDxfId="173"/>
    <tableColumn id="157" xr3:uid="{DABBF313-8D30-47F1-AA5E-B03F7528E5B6}" uniqueName="157" name="SN2-53" queryTableFieldId="157" dataDxfId="172"/>
    <tableColumn id="158" xr3:uid="{2B3674CF-CDC6-44A3-BEFB-891811565D61}" uniqueName="158" name="SN2-54" queryTableFieldId="158" dataDxfId="171"/>
    <tableColumn id="159" xr3:uid="{A40870ED-2EBE-4F9F-90BE-B6800AFA2E59}" uniqueName="159" name="SN2-55" queryTableFieldId="159" dataDxfId="170"/>
    <tableColumn id="160" xr3:uid="{31203E4B-29F5-48DB-9BBC-58DD05F9ED6E}" uniqueName="160" name="SN2-56" queryTableFieldId="160" dataDxfId="169"/>
    <tableColumn id="161" xr3:uid="{CD260172-29C9-45E3-BB1B-36BD5373FC28}" uniqueName="161" name="SN2-57" queryTableFieldId="161" dataDxfId="168"/>
    <tableColumn id="162" xr3:uid="{69B1482F-A49B-488E-9496-BB9B5A1062EE}" uniqueName="162" name="SN2-58" queryTableFieldId="162" dataDxfId="167"/>
    <tableColumn id="163" xr3:uid="{2CBF4733-BED8-4B9D-AE76-651E91755B72}" uniqueName="163" name="SN2-59" queryTableFieldId="163" dataDxfId="166"/>
    <tableColumn id="164" xr3:uid="{D716DD4A-0170-4250-93D4-E80BFE9B9E00}" uniqueName="164" name="SN2-60" queryTableFieldId="164" dataDxfId="165"/>
    <tableColumn id="165" xr3:uid="{8A04D2D7-9D78-41DA-B3F6-078C9CF80DDE}" uniqueName="165" name="SN2-61" queryTableFieldId="165" dataDxfId="164"/>
    <tableColumn id="166" xr3:uid="{265512F8-C4BE-4049-B9A4-A6C7B36D7D08}" uniqueName="166" name="SN2-62" queryTableFieldId="166" dataDxfId="163"/>
    <tableColumn id="167" xr3:uid="{BD9EB205-5901-4461-8D88-4905C443B596}" uniqueName="167" name="SN2-63" queryTableFieldId="167" dataDxfId="162"/>
    <tableColumn id="168" xr3:uid="{DBABE8A1-84E0-41E7-A79E-45F981A09CC4}" uniqueName="168" name="SN2-64" queryTableFieldId="168" dataDxfId="161"/>
    <tableColumn id="169" xr3:uid="{8C6A284A-C4E4-4E0E-8BF5-DB86F9C34A4B}" uniqueName="169" name="SN2-65" queryTableFieldId="169" dataDxfId="160"/>
    <tableColumn id="170" xr3:uid="{F5A7BAB4-E718-4B50-9C22-EF0C133F0FBB}" uniqueName="170" name="SN2-66" queryTableFieldId="170" dataDxfId="159"/>
    <tableColumn id="171" xr3:uid="{C3830A78-F7A8-46D6-8002-A6D244BFCE24}" uniqueName="171" name="SN2-67" queryTableFieldId="171" dataDxfId="158"/>
    <tableColumn id="172" xr3:uid="{1ED257FB-54F5-4D08-A06D-AD9EF9D230A3}" uniqueName="172" name="SN2-68" queryTableFieldId="172" dataDxfId="157"/>
    <tableColumn id="173" xr3:uid="{872BE143-20DB-4787-AFD7-EFAB41435DE6}" uniqueName="173" name="P-[M+H]+ Precursor Mass" queryTableFieldId="173" dataDxfId="156"/>
    <tableColumn id="174" xr3:uid="{063F29A4-099C-4EC0-9795-DE5D9BA779C8}" uniqueName="174" name="P-Head loss" queryTableFieldId="174" dataDxfId="155"/>
    <tableColumn id="321" xr3:uid="{14F863D3-60DD-448D-A6D7-5C12C28104D6}" uniqueName="321" name="P-Head-Particalloss" queryTableFieldId="324" dataDxfId="154"/>
    <tableColumn id="331" xr3:uid="{73630625-D0DA-4887-AA03-F711B6CF58EC}" uniqueName="331" name="P-Chainloss" queryTableFieldId="339" dataDxfId="153"/>
    <tableColumn id="332" xr3:uid="{507DAA38-6134-4A96-A27B-64B02530C4E7}" uniqueName="332" name="P-Head&amp;Chainloss" queryTableFieldId="338" dataDxfId="152"/>
    <tableColumn id="333" xr3:uid="{AED950B1-8673-4E2D-8DFD-015D3F2EC196}" uniqueName="333" name="P-Debris of Phospholipids" queryTableFieldId="337" dataDxfId="151"/>
    <tableColumn id="334" xr3:uid="{84AD8443-2D5B-4DD9-A9EE-53E08FEDDA4C}" uniqueName="334" name="P-Debris of Phospholipids2" queryTableFieldId="336" dataDxfId="150"/>
    <tableColumn id="335" xr3:uid="{0E9A76CD-0199-46BE-9627-6C7098645CCD}" uniqueName="335" name="P-Chainloss-H2O" queryTableFieldId="335" dataDxfId="149"/>
    <tableColumn id="336" xr3:uid="{5EAAEB99-8344-4B5D-A0A2-027D02327FF7}" uniqueName="336" name="P-undefined2" queryTableFieldId="334" dataDxfId="148"/>
    <tableColumn id="337" xr3:uid="{F42E6188-0DF7-4F1D-8C7D-821BFF431AF2}" uniqueName="337" name="P-SN1+2" queryTableFieldId="333" dataDxfId="147"/>
    <tableColumn id="338" xr3:uid="{08D3808C-A8F8-4183-88E0-76B4AF42EE6E}" uniqueName="338" name="P--2SN" queryTableFieldId="332" dataDxfId="146"/>
    <tableColumn id="322" xr3:uid="{485E1415-AA1B-4F25-9039-DFA0B8DAD366}" uniqueName="322" name="P--SN2-H2O" queryTableFieldId="323" dataDxfId="145"/>
    <tableColumn id="323" xr3:uid="{6D0D812F-81A5-46AA-BC5B-1DD59CA648E5}" uniqueName="323" name="P-undefined3" queryTableFieldId="322" dataDxfId="144"/>
    <tableColumn id="324" xr3:uid="{61DD49EA-DD3B-44F4-BC05-17E4F227F1FC}" uniqueName="324" name="P-Head" queryTableFieldId="321" dataDxfId="143"/>
    <tableColumn id="175" xr3:uid="{0A270778-55F8-4AAF-82B9-EC843038897E}" uniqueName="175" name="P-PA-Head" queryTableFieldId="175" dataDxfId="142"/>
    <tableColumn id="339" xr3:uid="{B3029210-C3BA-4C03-B0BD-BD4202DE60AD}" uniqueName="339" name="P-PA-Head-H2O" queryTableFieldId="340" dataDxfId="141"/>
    <tableColumn id="179" xr3:uid="{47D63A59-AC19-4F61-8DF9-E86A17EF7AE1}" uniqueName="179" name="P-SN1" queryTableFieldId="179" dataDxfId="140"/>
    <tableColumn id="180" xr3:uid="{5EA4BB83-D36D-41C0-9BF6-63CEED6D2E39}" uniqueName="180" name="P-SN2" queryTableFieldId="180" dataDxfId="139"/>
    <tableColumn id="181" xr3:uid="{5F2D28D2-D31E-482B-9D81-43D8D5A85DEA}" uniqueName="181" name="P-SN1-1" queryTableFieldId="181" dataDxfId="138"/>
    <tableColumn id="182" xr3:uid="{3A2ADCBC-F37B-4B7B-81C7-5B335E4B61FD}" uniqueName="182" name="P-SN1-2" queryTableFieldId="182" dataDxfId="137"/>
    <tableColumn id="183" xr3:uid="{3CD8E253-1563-4DC0-ABA3-10BD93798460}" uniqueName="183" name="P-SN1-3" queryTableFieldId="183" dataDxfId="136"/>
    <tableColumn id="184" xr3:uid="{6FA3672E-62EB-4E1E-BDA3-134CF74E093D}" uniqueName="184" name="P-SN1-4" queryTableFieldId="184" dataDxfId="135"/>
    <tableColumn id="185" xr3:uid="{78D5A764-9E9E-469A-9529-0A46AED049E9}" uniqueName="185" name="P-SN1-5" queryTableFieldId="185" dataDxfId="134"/>
    <tableColumn id="186" xr3:uid="{7DFB95F8-B2B3-4419-B123-194F4324CFFC}" uniqueName="186" name="P-SN1-6" queryTableFieldId="186" dataDxfId="133"/>
    <tableColumn id="187" xr3:uid="{508F329B-D39A-4257-ACF6-049DA88754ED}" uniqueName="187" name="P-SN1-7" queryTableFieldId="187" dataDxfId="132"/>
    <tableColumn id="188" xr3:uid="{DC134139-7F92-472E-A5A5-965F85CE4416}" uniqueName="188" name="P-SN1-8" queryTableFieldId="188" dataDxfId="131"/>
    <tableColumn id="189" xr3:uid="{989781C3-535A-4929-B2BC-FE507CCDEE58}" uniqueName="189" name="P-SN1-9" queryTableFieldId="189" dataDxfId="130"/>
    <tableColumn id="190" xr3:uid="{40FA1952-4E12-4DE4-BED2-DD485E1537DA}" uniqueName="190" name="P-SN1-10" queryTableFieldId="190" dataDxfId="129"/>
    <tableColumn id="191" xr3:uid="{357249CD-2F66-48B0-A28A-038A3749CBB2}" uniqueName="191" name="P-SN1-11" queryTableFieldId="191" dataDxfId="128"/>
    <tableColumn id="192" xr3:uid="{32B7D5E7-81F1-49F4-A206-C49F3ABBAF4E}" uniqueName="192" name="P-SN1-12" queryTableFieldId="192" dataDxfId="127"/>
    <tableColumn id="193" xr3:uid="{E521161D-DB7C-4283-AD0F-92F5C020A50B}" uniqueName="193" name="P-SN1-13" queryTableFieldId="193" dataDxfId="126"/>
    <tableColumn id="194" xr3:uid="{0D6B8ED1-9CC3-42A5-93F2-254347B906ED}" uniqueName="194" name="P-SN1-14" queryTableFieldId="194" dataDxfId="125"/>
    <tableColumn id="195" xr3:uid="{76B04A17-6E1B-4933-B955-E2F9DD48A094}" uniqueName="195" name="P-SN1-15" queryTableFieldId="195" dataDxfId="124"/>
    <tableColumn id="196" xr3:uid="{F027E209-130E-4D8C-A09F-71C9578F127C}" uniqueName="196" name="P-SN1-16" queryTableFieldId="196" dataDxfId="123"/>
    <tableColumn id="197" xr3:uid="{95599062-CB63-4D18-B3FB-3F9C78434202}" uniqueName="197" name="P-SN1-17" queryTableFieldId="197" dataDxfId="122"/>
    <tableColumn id="198" xr3:uid="{60879038-AB55-4155-9D9F-D7DEFB6B6A1C}" uniqueName="198" name="P-SN1-18" queryTableFieldId="198" dataDxfId="121"/>
    <tableColumn id="199" xr3:uid="{94541CE0-12F3-4FA9-95F5-97FDAF694826}" uniqueName="199" name="P-SN1-19" queryTableFieldId="199" dataDxfId="120"/>
    <tableColumn id="200" xr3:uid="{5AA42891-E09E-4349-ADE6-3E4A11AC9DAE}" uniqueName="200" name="P-SN1-20" queryTableFieldId="200" dataDxfId="119"/>
    <tableColumn id="201" xr3:uid="{5E2A6E07-2140-4AA5-8760-E80EEBB5DF15}" uniqueName="201" name="P-SN1-21" queryTableFieldId="201" dataDxfId="118"/>
    <tableColumn id="202" xr3:uid="{80878663-804C-4BB4-B6A3-541ADC8125C0}" uniqueName="202" name="P-SN1-22" queryTableFieldId="202" dataDxfId="117"/>
    <tableColumn id="203" xr3:uid="{F955B484-DBDB-4E66-8E21-3935FA6FFE32}" uniqueName="203" name="P-SN1-23" queryTableFieldId="203" dataDxfId="116"/>
    <tableColumn id="204" xr3:uid="{A20FA74F-5DE7-4BF4-A7B9-B4A2D03769FA}" uniqueName="204" name="P-SN1-24" queryTableFieldId="204" dataDxfId="115"/>
    <tableColumn id="205" xr3:uid="{B2F1760B-FC73-4B70-9A70-CF4BCC842BBD}" uniqueName="205" name="P-SN1-25" queryTableFieldId="205" dataDxfId="114"/>
    <tableColumn id="206" xr3:uid="{A8343FB2-A30F-414A-A71F-C5151BF2DBD9}" uniqueName="206" name="P-SN1-26" queryTableFieldId="206" dataDxfId="113"/>
    <tableColumn id="207" xr3:uid="{868689A5-83F2-45B5-B955-B3547E1D870F}" uniqueName="207" name="P-SN1-27" queryTableFieldId="207" dataDxfId="112"/>
    <tableColumn id="208" xr3:uid="{742AED3F-ADA4-42A0-8D41-6142CB392D15}" uniqueName="208" name="P-SN1-28" queryTableFieldId="208" dataDxfId="111"/>
    <tableColumn id="209" xr3:uid="{88CA016E-C4B4-42EF-A838-B69D152BE3E9}" uniqueName="209" name="P-SN1-29" queryTableFieldId="209" dataDxfId="110"/>
    <tableColumn id="210" xr3:uid="{1001FDB9-9154-4C6C-86D3-E3168047202D}" uniqueName="210" name="P-SN1-30" queryTableFieldId="210" dataDxfId="109"/>
    <tableColumn id="211" xr3:uid="{8A69B1B8-AB4C-43FA-B3A7-E6CA93E79A34}" uniqueName="211" name="P-SN1-31" queryTableFieldId="211" dataDxfId="108"/>
    <tableColumn id="212" xr3:uid="{E3303162-9444-45A3-8D83-A8CE384DBC15}" uniqueName="212" name="P-SN1-32" queryTableFieldId="212" dataDxfId="107"/>
    <tableColumn id="213" xr3:uid="{7B769998-D496-45B1-B2BA-D30008ED43B9}" uniqueName="213" name="P-SN1-33" queryTableFieldId="213" dataDxfId="106"/>
    <tableColumn id="214" xr3:uid="{4B93F9CF-8E95-4D3D-9526-E44B89C5EC6D}" uniqueName="214" name="P-SN1-34" queryTableFieldId="214" dataDxfId="105"/>
    <tableColumn id="215" xr3:uid="{64511239-F671-4215-8F20-573D7AC64C7F}" uniqueName="215" name="P-SN1-35" queryTableFieldId="215" dataDxfId="104"/>
    <tableColumn id="216" xr3:uid="{9937A06C-3EA4-4D15-A276-9D7F2A7BE102}" uniqueName="216" name="P-SN1-36" queryTableFieldId="216" dataDxfId="103"/>
    <tableColumn id="217" xr3:uid="{5E840958-9E7C-4BB5-8529-1D6C0AFD7B9B}" uniqueName="217" name="P-SN1-37" queryTableFieldId="217" dataDxfId="102"/>
    <tableColumn id="218" xr3:uid="{147353F6-5945-4279-9F58-7D7ABFFD05B4}" uniqueName="218" name="P-SN1-38" queryTableFieldId="218" dataDxfId="101"/>
    <tableColumn id="219" xr3:uid="{945A362E-BBF6-4294-B62F-567FD7021F76}" uniqueName="219" name="P-SN1-39" queryTableFieldId="219" dataDxfId="100"/>
    <tableColumn id="220" xr3:uid="{89617C28-5FEF-47EB-995E-F18DB398F36E}" uniqueName="220" name="P-SN1-40" queryTableFieldId="220" dataDxfId="99"/>
    <tableColumn id="221" xr3:uid="{6F987B02-7775-46EF-ADA8-3287BF3CE856}" uniqueName="221" name="P-SN1-41" queryTableFieldId="221" dataDxfId="98"/>
    <tableColumn id="222" xr3:uid="{DDD98E4A-A209-4F7B-8EED-66420519C1EB}" uniqueName="222" name="P-SN1-42" queryTableFieldId="222" dataDxfId="97"/>
    <tableColumn id="223" xr3:uid="{8E6EBF9D-B690-4195-88EE-207049482B33}" uniqueName="223" name="P-SN1-43" queryTableFieldId="223" dataDxfId="96"/>
    <tableColumn id="224" xr3:uid="{1B500137-041D-48E7-9750-857CE15AA586}" uniqueName="224" name="P-SN1-44" queryTableFieldId="224" dataDxfId="95"/>
    <tableColumn id="225" xr3:uid="{E58F66CF-2C92-4274-889A-6C9701C4A9CD}" uniqueName="225" name="P-SN1-45" queryTableFieldId="225" dataDxfId="94"/>
    <tableColumn id="226" xr3:uid="{E680A322-9E6C-4253-AFE4-48952BF84B10}" uniqueName="226" name="P-SN1-46" queryTableFieldId="226" dataDxfId="93"/>
    <tableColumn id="227" xr3:uid="{40E67D6D-C41E-47F1-B326-2533042D2119}" uniqueName="227" name="P-SN1-47" queryTableFieldId="227" dataDxfId="92"/>
    <tableColumn id="228" xr3:uid="{5A4C226E-17FF-4A4B-AFBA-F89632C35028}" uniqueName="228" name="P-SN1-48" queryTableFieldId="228" dataDxfId="91"/>
    <tableColumn id="229" xr3:uid="{5A1E05FF-F945-49DB-8EDF-EE4ECD790429}" uniqueName="229" name="P-SN1-49" queryTableFieldId="229" dataDxfId="90"/>
    <tableColumn id="230" xr3:uid="{789B5A43-1A53-4B3D-8249-70193DBB75DE}" uniqueName="230" name="P-SN1-50" queryTableFieldId="230" dataDxfId="89"/>
    <tableColumn id="231" xr3:uid="{19978D8F-A097-4CA4-8A1D-8E4EBCBC99A3}" uniqueName="231" name="P-SN1-51" queryTableFieldId="231" dataDxfId="88"/>
    <tableColumn id="232" xr3:uid="{8ACE070E-9011-4803-B0E2-1148495D2F48}" uniqueName="232" name="P-SN1-52" queryTableFieldId="232" dataDxfId="87"/>
    <tableColumn id="233" xr3:uid="{F66B31C3-0005-46E0-B54D-67A0908509C2}" uniqueName="233" name="P-SN1-53" queryTableFieldId="233" dataDxfId="86"/>
    <tableColumn id="234" xr3:uid="{CCB64F81-F1EA-4ADE-99C1-5DBDF87CCA01}" uniqueName="234" name="P-SN1-54" queryTableFieldId="234" dataDxfId="85"/>
    <tableColumn id="235" xr3:uid="{B1B5F95F-3AD4-4921-AE88-953D7306458A}" uniqueName="235" name="P-SN1-55" queryTableFieldId="235" dataDxfId="84"/>
    <tableColumn id="236" xr3:uid="{3138AC81-BD35-43D8-B34D-1976DBBD48D4}" uniqueName="236" name="P-SN1-56" queryTableFieldId="236" dataDxfId="83"/>
    <tableColumn id="237" xr3:uid="{51D9BE61-A605-4E3E-9261-FE51DC77F3B9}" uniqueName="237" name="P-SN1-57" queryTableFieldId="237" dataDxfId="82"/>
    <tableColumn id="238" xr3:uid="{70EA8C90-E5B5-4BD6-A601-FFCDB4AE8090}" uniqueName="238" name="P-SN1-58" queryTableFieldId="238" dataDxfId="81"/>
    <tableColumn id="239" xr3:uid="{A8A4F71C-0382-4B56-83C1-ECA24D3262A4}" uniqueName="239" name="P-SN1-59" queryTableFieldId="239" dataDxfId="80"/>
    <tableColumn id="240" xr3:uid="{B275296D-1DFF-4842-AD74-60A74AB7D182}" uniqueName="240" name="P-SN1-60" queryTableFieldId="240" dataDxfId="79"/>
    <tableColumn id="241" xr3:uid="{3CAC9B48-AA3E-4170-9B8A-A4A7ED0EF410}" uniqueName="241" name="P-SN1-61" queryTableFieldId="241" dataDxfId="78"/>
    <tableColumn id="242" xr3:uid="{CABC66BB-63BA-4EDC-80FD-C5BA4C0D9337}" uniqueName="242" name="P-SN1-62" queryTableFieldId="242" dataDxfId="77"/>
    <tableColumn id="243" xr3:uid="{0BBDAE5A-E3CF-4910-9C3A-65C2CBFD523F}" uniqueName="243" name="P-SN1-63" queryTableFieldId="243" dataDxfId="76"/>
    <tableColumn id="244" xr3:uid="{0321214C-39A7-4D02-9498-1D41A74E07F2}" uniqueName="244" name="P-SN1-64" queryTableFieldId="244" dataDxfId="75"/>
    <tableColumn id="245" xr3:uid="{F61A0F83-52CA-472D-9996-C4974123BC0D}" uniqueName="245" name="P-SN1-65" queryTableFieldId="245" dataDxfId="74"/>
    <tableColumn id="246" xr3:uid="{A8A7BFE4-1740-4730-86DD-93E9BC3B5A09}" uniqueName="246" name="P-SN1-66" queryTableFieldId="246" dataDxfId="73"/>
    <tableColumn id="247" xr3:uid="{7A0D581D-1AE0-488D-A7D3-87C50F2832ED}" uniqueName="247" name="P-SN1-67" queryTableFieldId="247" dataDxfId="72"/>
    <tableColumn id="248" xr3:uid="{244ABD96-0C42-4DD5-B8C7-A970A91CD26C}" uniqueName="248" name="P-SN1-68" queryTableFieldId="248" dataDxfId="71"/>
    <tableColumn id="249" xr3:uid="{C8EEFBC2-909D-4311-B5BF-6635052BA708}" uniqueName="249" name="P-SN2-1" queryTableFieldId="249" dataDxfId="70"/>
    <tableColumn id="250" xr3:uid="{996BF30F-07A1-45C2-80DA-6A319A1D9323}" uniqueName="250" name="P-SN2-2" queryTableFieldId="250" dataDxfId="69"/>
    <tableColumn id="251" xr3:uid="{BED3729F-8C53-48ED-9499-26E0CD93D220}" uniqueName="251" name="P-SN2-3" queryTableFieldId="251" dataDxfId="68"/>
    <tableColumn id="252" xr3:uid="{F27F7C0C-FDAE-44BB-AD69-74CE2E477E03}" uniqueName="252" name="P-SN2-4" queryTableFieldId="252" dataDxfId="67"/>
    <tableColumn id="253" xr3:uid="{A46797DD-E38F-4F70-A410-93D11A25E1CB}" uniqueName="253" name="P-SN2-5" queryTableFieldId="253" dataDxfId="66"/>
    <tableColumn id="254" xr3:uid="{1ACA95C3-4AF4-45FC-8596-F51DD79E1F30}" uniqueName="254" name="P-SN2-6" queryTableFieldId="254" dataDxfId="65"/>
    <tableColumn id="255" xr3:uid="{449571F1-0B2A-4CE8-BDA0-1E4D6AF43AE6}" uniqueName="255" name="P-SN2-7" queryTableFieldId="255" dataDxfId="64"/>
    <tableColumn id="256" xr3:uid="{E655595D-BACA-42CA-981D-7FD40CC377A9}" uniqueName="256" name="P-SN2-8" queryTableFieldId="256" dataDxfId="63"/>
    <tableColumn id="257" xr3:uid="{FE5FACED-8EC4-437E-BC82-ED4D7F9E2D11}" uniqueName="257" name="P-SN2-9" queryTableFieldId="257" dataDxfId="62"/>
    <tableColumn id="258" xr3:uid="{EE1C5FCC-098A-4B89-A88F-70EFF2BE87F7}" uniqueName="258" name="P-SN2-10" queryTableFieldId="258" dataDxfId="61"/>
    <tableColumn id="259" xr3:uid="{B091F47E-0E4B-48E3-9B95-E32D6AFBB554}" uniqueName="259" name="P-SN2-11" queryTableFieldId="259" dataDxfId="60"/>
    <tableColumn id="260" xr3:uid="{E429168E-16E1-4656-A186-E4E0A4F391D6}" uniqueName="260" name="P-SN2-12" queryTableFieldId="260" dataDxfId="59"/>
    <tableColumn id="261" xr3:uid="{95975ABB-82D3-462E-AFC1-34AF2D22CD9A}" uniqueName="261" name="P-SN2-13" queryTableFieldId="261" dataDxfId="58"/>
    <tableColumn id="262" xr3:uid="{908B287C-0F2F-4CA5-B81B-4CCFF23CEB5E}" uniqueName="262" name="P-SN2-14" queryTableFieldId="262" dataDxfId="57"/>
    <tableColumn id="263" xr3:uid="{37E61131-2B1B-43F5-A31D-31D3C256D679}" uniqueName="263" name="P-SN2-15" queryTableFieldId="263" dataDxfId="56"/>
    <tableColumn id="264" xr3:uid="{2CD00D98-F359-41B8-AD84-9E5337006FDC}" uniqueName="264" name="P-SN2-16" queryTableFieldId="264" dataDxfId="55"/>
    <tableColumn id="265" xr3:uid="{FCF4397C-5F3A-4D7A-BD54-038A797CE8FA}" uniqueName="265" name="P-SN2-17" queryTableFieldId="265" dataDxfId="54"/>
    <tableColumn id="266" xr3:uid="{5A218E1F-D18C-45DA-AF54-4946861C40E0}" uniqueName="266" name="P-SN2-18" queryTableFieldId="266" dataDxfId="53"/>
    <tableColumn id="267" xr3:uid="{80AA62BD-47B4-46A7-A659-267A96DE8C03}" uniqueName="267" name="P-SN2-19" queryTableFieldId="267" dataDxfId="52"/>
    <tableColumn id="268" xr3:uid="{D12400A7-5B99-4480-BCEF-6317BB469EBA}" uniqueName="268" name="P-SN2-20" queryTableFieldId="268" dataDxfId="51"/>
    <tableColumn id="269" xr3:uid="{0BBF1957-F5B8-4953-9F21-74F2D562A9AC}" uniqueName="269" name="P-SN2-21" queryTableFieldId="269" dataDxfId="50"/>
    <tableColumn id="270" xr3:uid="{D31ED23D-8C26-4527-8575-73732FEE142E}" uniqueName="270" name="P-SN2-22" queryTableFieldId="270" dataDxfId="49"/>
    <tableColumn id="271" xr3:uid="{6CE8FE65-05AC-4B07-8850-6E8BD6168C8A}" uniqueName="271" name="P-SN2-23" queryTableFieldId="271" dataDxfId="48"/>
    <tableColumn id="272" xr3:uid="{5703ADEB-CCA8-40B1-A557-A3BE52319E36}" uniqueName="272" name="P-SN2-24" queryTableFieldId="272" dataDxfId="47"/>
    <tableColumn id="273" xr3:uid="{E15964F7-2257-4E61-8CA1-6B6D70A455D7}" uniqueName="273" name="P-SN2-25" queryTableFieldId="273" dataDxfId="46"/>
    <tableColumn id="274" xr3:uid="{15FCE5F5-8DF0-42F1-8031-53ABC82FF765}" uniqueName="274" name="P-SN2-26" queryTableFieldId="274" dataDxfId="45"/>
    <tableColumn id="275" xr3:uid="{5C5CA07F-6F84-4FD6-A89D-961CD43DF78B}" uniqueName="275" name="P-SN2-27" queryTableFieldId="275" dataDxfId="44"/>
    <tableColumn id="276" xr3:uid="{F2047ABB-665D-460A-9AD5-5B62FEDB6AEE}" uniqueName="276" name="P-SN2-28" queryTableFieldId="276" dataDxfId="43"/>
    <tableColumn id="277" xr3:uid="{FA06EAC7-D42F-4993-B2BD-521E8EC7D498}" uniqueName="277" name="P-SN2-29" queryTableFieldId="277" dataDxfId="42"/>
    <tableColumn id="278" xr3:uid="{77F0A83F-9C3F-4C46-B636-0CDC352B0246}" uniqueName="278" name="P-SN2-30" queryTableFieldId="278" dataDxfId="41"/>
    <tableColumn id="279" xr3:uid="{F4682F89-6D1A-4A43-BD94-CD3E4FF9744F}" uniqueName="279" name="P-SN2-31" queryTableFieldId="279" dataDxfId="40"/>
    <tableColumn id="280" xr3:uid="{6BAB63BD-7DDC-4DF0-ABA7-4EEBA1E7EC38}" uniqueName="280" name="P-SN2-32" queryTableFieldId="280" dataDxfId="39"/>
    <tableColumn id="281" xr3:uid="{3D5CF018-2D28-4D91-892B-8C7B4149B210}" uniqueName="281" name="P-SN2-33" queryTableFieldId="281" dataDxfId="38"/>
    <tableColumn id="282" xr3:uid="{7A172D3C-3B8B-448B-93A6-D0B720855B43}" uniqueName="282" name="P-SN2-34" queryTableFieldId="282" dataDxfId="37"/>
    <tableColumn id="283" xr3:uid="{6454BD7F-9624-4377-B26E-10BB98FC0284}" uniqueName="283" name="P-SN2-35" queryTableFieldId="283" dataDxfId="36"/>
    <tableColumn id="284" xr3:uid="{EDEE5048-7CDA-4314-91B7-1A23A61D56BB}" uniqueName="284" name="P-SN2-36" queryTableFieldId="284" dataDxfId="35"/>
    <tableColumn id="285" xr3:uid="{BAB2D2AE-1E36-478E-9AB7-03072BF3FA99}" uniqueName="285" name="P-SN2-37" queryTableFieldId="285" dataDxfId="34"/>
    <tableColumn id="286" xr3:uid="{EDC893E6-F00E-4999-9054-1F4C7F5C4049}" uniqueName="286" name="P-SN2-38" queryTableFieldId="286" dataDxfId="33"/>
    <tableColumn id="287" xr3:uid="{BB44C3F6-04EB-4E7D-9386-8FD06B67BC5D}" uniqueName="287" name="P-SN2-39" queryTableFieldId="287" dataDxfId="32"/>
    <tableColumn id="288" xr3:uid="{A0948922-0C51-40A6-9972-BFBC47B982D1}" uniqueName="288" name="P-SN2-40" queryTableFieldId="288" dataDxfId="31"/>
    <tableColumn id="289" xr3:uid="{05805BD9-BB43-4769-B9B0-DA0C2C35C9CA}" uniqueName="289" name="P-SN2-41" queryTableFieldId="289" dataDxfId="30"/>
    <tableColumn id="290" xr3:uid="{8E503219-302C-4D34-AD23-F727603A4C42}" uniqueName="290" name="P-SN2-42" queryTableFieldId="290" dataDxfId="29"/>
    <tableColumn id="291" xr3:uid="{60B35050-447B-47FA-BCB6-276AB94CAF96}" uniqueName="291" name="P-SN2-43" queryTableFieldId="291" dataDxfId="28"/>
    <tableColumn id="292" xr3:uid="{69891E9D-1155-469A-A1B5-DF8EE118CE03}" uniqueName="292" name="P-SN2-44" queryTableFieldId="292" dataDxfId="27"/>
    <tableColumn id="293" xr3:uid="{5E6CA662-9040-41F3-8860-2B243FB1C926}" uniqueName="293" name="P-SN2-45" queryTableFieldId="293" dataDxfId="26"/>
    <tableColumn id="294" xr3:uid="{AFDFC48D-E940-4532-B603-CC468C604B8C}" uniqueName="294" name="P-SN2-46" queryTableFieldId="294" dataDxfId="25"/>
    <tableColumn id="295" xr3:uid="{5EEA7504-56A4-4A06-A12B-695ED1EF0830}" uniqueName="295" name="P-SN2-47" queryTableFieldId="295" dataDxfId="24"/>
    <tableColumn id="296" xr3:uid="{FFCDCADD-9B6D-431F-8E9C-083D256F115C}" uniqueName="296" name="P-SN2-48" queryTableFieldId="296" dataDxfId="23"/>
    <tableColumn id="297" xr3:uid="{D1CB1630-7C0C-46B9-AA9A-5A7768F268B9}" uniqueName="297" name="P-SN2-49" queryTableFieldId="297" dataDxfId="22"/>
    <tableColumn id="298" xr3:uid="{0479A250-C15C-475E-ABD2-D1AD7565F028}" uniqueName="298" name="P-SN2-50" queryTableFieldId="298" dataDxfId="21"/>
    <tableColumn id="299" xr3:uid="{D26E3696-35BF-4CC4-BD35-9B5505D237E5}" uniqueName="299" name="P-SN2-51" queryTableFieldId="299" dataDxfId="20"/>
    <tableColumn id="300" xr3:uid="{53CB675C-D517-4DBB-9592-5BDCDC956699}" uniqueName="300" name="P-SN2-52" queryTableFieldId="300" dataDxfId="19"/>
    <tableColumn id="301" xr3:uid="{A8716C1B-329A-4C25-BCA5-0B10154FC741}" uniqueName="301" name="P-SN2-53" queryTableFieldId="301" dataDxfId="18"/>
    <tableColumn id="302" xr3:uid="{36D268DE-4908-4A3F-9BCA-3986312FA49B}" uniqueName="302" name="P-SN2-54" queryTableFieldId="302" dataDxfId="17"/>
    <tableColumn id="303" xr3:uid="{59276EE3-EC6F-4220-863B-2A196119F5B4}" uniqueName="303" name="P-SN2-55" queryTableFieldId="303" dataDxfId="16"/>
    <tableColumn id="304" xr3:uid="{D50C3CF2-569D-4B95-869C-A7F8E7D51B96}" uniqueName="304" name="P-SN2-56" queryTableFieldId="304" dataDxfId="15"/>
    <tableColumn id="305" xr3:uid="{4BF6987B-8ED9-4AE5-88ED-F31D880A2CD8}" uniqueName="305" name="P-SN2-57" queryTableFieldId="305" dataDxfId="14"/>
    <tableColumn id="306" xr3:uid="{0C092674-9192-4933-8121-D10EF63E54D5}" uniqueName="306" name="P-SN2-58" queryTableFieldId="306" dataDxfId="13"/>
    <tableColumn id="307" xr3:uid="{B2317F05-F03F-4FB6-9CED-331002C4CF43}" uniqueName="307" name="P-SN2-59" queryTableFieldId="307" dataDxfId="12"/>
    <tableColumn id="308" xr3:uid="{AED59C3C-091A-4659-A171-D7564B7DB1E5}" uniqueName="308" name="P-SN2-60" queryTableFieldId="308" dataDxfId="11"/>
    <tableColumn id="309" xr3:uid="{BB7C124D-A988-4F0E-AD18-432D4D3A307B}" uniqueName="309" name="P-SN2-61" queryTableFieldId="309" dataDxfId="10"/>
    <tableColumn id="310" xr3:uid="{4EF5004A-7F74-4618-BD99-A96D99263AD4}" uniqueName="310" name="P-SN2-62" queryTableFieldId="310" dataDxfId="9"/>
    <tableColumn id="311" xr3:uid="{52E6541D-5220-491B-A3E9-EB2E9BDE1B36}" uniqueName="311" name="P-SN2-63" queryTableFieldId="311" dataDxfId="8"/>
    <tableColumn id="312" xr3:uid="{54875B6D-211C-4AB2-805C-8D4BE4E59EC8}" uniqueName="312" name="P-SN2-64" queryTableFieldId="312" dataDxfId="7"/>
    <tableColumn id="313" xr3:uid="{4FCE5C39-5676-4FD4-8B4E-2290128075BA}" uniqueName="313" name="P-SN2-65" queryTableFieldId="313" dataDxfId="6"/>
    <tableColumn id="314" xr3:uid="{FCA19D53-54AA-4F25-ABED-50761200CD59}" uniqueName="314" name="P-SN2-66" queryTableFieldId="314" dataDxfId="5"/>
    <tableColumn id="315" xr3:uid="{D32055FF-7A10-40AD-B18C-AF4100B55B8B}" uniqueName="315" name="P-SN2-67" queryTableFieldId="315" dataDxfId="4"/>
    <tableColumn id="316" xr3:uid="{40A49E38-DEEF-4C98-92A8-967A37CB9D70}" uniqueName="316" name="P-SN2-68" queryTableFieldId="316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主题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4"/>
  <dimension ref="A1:Q82"/>
  <sheetViews>
    <sheetView topLeftCell="B1" zoomScaleNormal="100" workbookViewId="0">
      <selection activeCell="N24" sqref="N24"/>
    </sheetView>
  </sheetViews>
  <sheetFormatPr defaultRowHeight="12.75" x14ac:dyDescent="0.2"/>
  <cols>
    <col min="1" max="1" width="36.140625" customWidth="1"/>
    <col min="2" max="8" width="8.42578125" customWidth="1"/>
    <col min="9" max="9" width="29.85546875" customWidth="1"/>
    <col min="10" max="11" width="2.85546875" customWidth="1"/>
    <col min="12" max="12" width="7.140625" customWidth="1"/>
    <col min="14" max="14" width="13.5703125" customWidth="1"/>
    <col min="15" max="15" width="71.7109375" customWidth="1"/>
    <col min="16" max="16" width="20.42578125" customWidth="1"/>
    <col min="17" max="17" width="15.28515625" customWidth="1"/>
  </cols>
  <sheetData>
    <row r="1" spans="1:17" s="3" customFormat="1" ht="14.25" x14ac:dyDescent="0.2">
      <c r="A1" s="3" t="s">
        <v>499</v>
      </c>
      <c r="B1" s="3" t="s">
        <v>500</v>
      </c>
      <c r="C1" s="3" t="s">
        <v>506</v>
      </c>
      <c r="D1" s="3" t="s">
        <v>503</v>
      </c>
      <c r="E1" s="3" t="s">
        <v>510</v>
      </c>
      <c r="F1" s="3" t="s">
        <v>501</v>
      </c>
      <c r="G1" s="3" t="s">
        <v>494</v>
      </c>
      <c r="H1" s="3" t="s">
        <v>508</v>
      </c>
      <c r="I1" s="3" t="s">
        <v>495</v>
      </c>
      <c r="N1" s="3" t="s">
        <v>486</v>
      </c>
      <c r="O1" s="3" t="s">
        <v>487</v>
      </c>
      <c r="P1" s="3" t="s">
        <v>488</v>
      </c>
      <c r="Q1" s="3" t="s">
        <v>489</v>
      </c>
    </row>
    <row r="2" spans="1:17" s="3" customFormat="1" ht="14.25" x14ac:dyDescent="0.2">
      <c r="A2" s="3" t="s">
        <v>228</v>
      </c>
      <c r="B2" s="3" t="s">
        <v>229</v>
      </c>
      <c r="C2" s="3" t="s">
        <v>178</v>
      </c>
      <c r="D2" s="3" t="s">
        <v>162</v>
      </c>
      <c r="E2" s="3">
        <v>-1</v>
      </c>
      <c r="F2" s="3">
        <v>12.01</v>
      </c>
      <c r="G2" s="3">
        <v>15.060837744666664</v>
      </c>
      <c r="H2" s="3" t="s">
        <v>188</v>
      </c>
      <c r="N2" s="3" t="s">
        <v>480</v>
      </c>
      <c r="O2" s="3" t="s">
        <v>481</v>
      </c>
      <c r="P2" s="3" t="s">
        <v>490</v>
      </c>
      <c r="Q2" s="3" t="str" cm="1">
        <f t="array" ref="Q2">compoundadd(P2,"C3H6O2")</f>
        <v>C3H8O3</v>
      </c>
    </row>
    <row r="3" spans="1:17" s="3" customFormat="1" ht="14.25" x14ac:dyDescent="0.2">
      <c r="A3" s="3" t="s">
        <v>230</v>
      </c>
      <c r="B3" s="3" t="s">
        <v>231</v>
      </c>
      <c r="C3" s="3" t="s">
        <v>179</v>
      </c>
      <c r="D3" s="3" t="s">
        <v>164</v>
      </c>
      <c r="E3" s="3">
        <v>-1</v>
      </c>
      <c r="F3" s="3">
        <v>9.59</v>
      </c>
      <c r="G3" s="3">
        <v>14.811165723333334</v>
      </c>
      <c r="H3" s="3" t="s">
        <v>189</v>
      </c>
      <c r="M3" s="3" t="str">
        <f t="shared" ref="M3" si="0">LEFT(N3,LEN(N3)-9)</f>
        <v>PG</v>
      </c>
      <c r="N3" s="3" t="s">
        <v>482</v>
      </c>
      <c r="O3" s="3" t="s">
        <v>481</v>
      </c>
      <c r="P3" s="3" t="s">
        <v>484</v>
      </c>
      <c r="Q3" s="3" t="str" cm="1">
        <f t="array" ref="Q3">compoundadd(P3,"C3H6O2")</f>
        <v>C6H15O8P</v>
      </c>
    </row>
    <row r="4" spans="1:17" s="3" customFormat="1" ht="14.25" x14ac:dyDescent="0.2">
      <c r="A4" s="3" t="s">
        <v>232</v>
      </c>
      <c r="B4" s="3" t="s">
        <v>233</v>
      </c>
      <c r="C4" s="3" t="s">
        <v>180</v>
      </c>
      <c r="D4" s="3" t="s">
        <v>165</v>
      </c>
      <c r="E4" s="3">
        <v>-1</v>
      </c>
      <c r="F4" s="3">
        <v>8.85</v>
      </c>
      <c r="G4" s="3">
        <v>14.405586241999998</v>
      </c>
      <c r="H4" s="3" t="s">
        <v>190</v>
      </c>
      <c r="M4" s="3" t="str">
        <f t="shared" ref="M4" si="1">LEFT(N4,LEN(N4)-9)</f>
        <v>Sulfo-PG</v>
      </c>
      <c r="N4" s="3" t="s">
        <v>483</v>
      </c>
      <c r="O4" s="3" t="s">
        <v>172</v>
      </c>
      <c r="P4" s="3" t="s">
        <v>485</v>
      </c>
      <c r="Q4" s="3" t="str" cm="1">
        <f t="array" ref="Q4">compoundadd(P4,"C3H6O2")</f>
        <v>C6H15O11PS</v>
      </c>
    </row>
    <row r="5" spans="1:17" s="3" customFormat="1" ht="14.25" x14ac:dyDescent="0.2">
      <c r="A5" s="3" t="s">
        <v>234</v>
      </c>
      <c r="B5" s="3" t="s">
        <v>235</v>
      </c>
      <c r="C5" s="3" t="s">
        <v>181</v>
      </c>
      <c r="D5" s="3" t="s">
        <v>166</v>
      </c>
      <c r="E5" s="3">
        <v>-1</v>
      </c>
      <c r="F5" s="3">
        <v>8.15</v>
      </c>
      <c r="G5" s="3">
        <v>14.000006760666665</v>
      </c>
      <c r="H5" s="3" t="s">
        <v>191</v>
      </c>
      <c r="M5" s="4"/>
      <c r="N5" s="4"/>
      <c r="O5" s="4"/>
      <c r="P5" s="4"/>
      <c r="Q5" s="4"/>
    </row>
    <row r="6" spans="1:17" s="3" customFormat="1" ht="14.25" x14ac:dyDescent="0.2">
      <c r="A6" s="3" t="s">
        <v>236</v>
      </c>
      <c r="B6" s="3" t="s">
        <v>237</v>
      </c>
      <c r="C6" s="3" t="s">
        <v>182</v>
      </c>
      <c r="D6" s="3" t="s">
        <v>167</v>
      </c>
      <c r="E6" s="3">
        <v>-1</v>
      </c>
      <c r="F6" s="3">
        <v>7.44</v>
      </c>
      <c r="G6" s="3">
        <v>13.594427279333331</v>
      </c>
      <c r="H6" s="3" t="s">
        <v>192</v>
      </c>
      <c r="M6"/>
      <c r="N6"/>
      <c r="O6"/>
      <c r="P6"/>
      <c r="Q6"/>
    </row>
    <row r="7" spans="1:17" s="3" customFormat="1" ht="14.25" x14ac:dyDescent="0.2">
      <c r="A7" s="3" t="s">
        <v>238</v>
      </c>
      <c r="B7" s="3" t="s">
        <v>233</v>
      </c>
      <c r="C7" s="3" t="s">
        <v>239</v>
      </c>
      <c r="D7" s="3" t="s">
        <v>240</v>
      </c>
      <c r="E7" s="3">
        <v>-1</v>
      </c>
      <c r="F7" s="3">
        <v>8.77</v>
      </c>
      <c r="G7" s="3">
        <v>14.561493702</v>
      </c>
      <c r="H7" s="3" t="s">
        <v>241</v>
      </c>
      <c r="M7"/>
      <c r="N7"/>
      <c r="O7"/>
      <c r="P7"/>
      <c r="Q7"/>
    </row>
    <row r="8" spans="1:17" s="3" customFormat="1" ht="14.25" x14ac:dyDescent="0.2">
      <c r="A8" s="3" t="s">
        <v>242</v>
      </c>
      <c r="B8" s="3" t="s">
        <v>235</v>
      </c>
      <c r="C8" s="3" t="s">
        <v>243</v>
      </c>
      <c r="D8" s="3" t="s">
        <v>244</v>
      </c>
      <c r="E8" s="3">
        <v>-1</v>
      </c>
      <c r="F8" s="3">
        <v>8.06</v>
      </c>
      <c r="G8" s="3">
        <v>14.155914220666665</v>
      </c>
      <c r="H8" s="3" t="s">
        <v>245</v>
      </c>
      <c r="M8"/>
      <c r="N8"/>
      <c r="O8"/>
      <c r="P8"/>
      <c r="Q8"/>
    </row>
    <row r="9" spans="1:17" s="3" customFormat="1" ht="14.25" x14ac:dyDescent="0.2">
      <c r="A9" s="3" t="s">
        <v>246</v>
      </c>
      <c r="B9" s="3" t="s">
        <v>237</v>
      </c>
      <c r="C9" s="3" t="s">
        <v>247</v>
      </c>
      <c r="D9" s="3" t="s">
        <v>248</v>
      </c>
      <c r="E9" s="3">
        <v>-1</v>
      </c>
      <c r="F9" s="3">
        <v>7.39</v>
      </c>
      <c r="G9" s="3">
        <v>13.750334739333328</v>
      </c>
      <c r="H9" s="3" t="s">
        <v>249</v>
      </c>
      <c r="M9"/>
      <c r="N9"/>
      <c r="O9"/>
      <c r="P9"/>
      <c r="Q9"/>
    </row>
    <row r="10" spans="1:17" s="3" customFormat="1" ht="14.25" x14ac:dyDescent="0.2">
      <c r="A10" s="3" t="s">
        <v>250</v>
      </c>
      <c r="B10" s="3" t="s">
        <v>251</v>
      </c>
      <c r="C10" s="3" t="s">
        <v>252</v>
      </c>
      <c r="D10" s="3" t="s">
        <v>253</v>
      </c>
      <c r="E10" s="3">
        <v>-1</v>
      </c>
      <c r="F10" s="3">
        <v>6.72</v>
      </c>
      <c r="G10" s="3">
        <v>13.344755257999998</v>
      </c>
      <c r="H10" s="3" t="s">
        <v>254</v>
      </c>
      <c r="M10"/>
      <c r="N10"/>
      <c r="O10"/>
      <c r="P10"/>
      <c r="Q10"/>
    </row>
    <row r="11" spans="1:17" s="3" customFormat="1" ht="14.25" x14ac:dyDescent="0.2">
      <c r="A11" s="3" t="s">
        <v>255</v>
      </c>
      <c r="B11" s="3" t="s">
        <v>237</v>
      </c>
      <c r="C11" s="3" t="s">
        <v>256</v>
      </c>
      <c r="D11" s="3" t="s">
        <v>257</v>
      </c>
      <c r="E11" s="3">
        <v>-1</v>
      </c>
      <c r="F11" s="3">
        <v>7.4</v>
      </c>
      <c r="G11" s="3">
        <v>13.750334739333328</v>
      </c>
      <c r="H11" s="3" t="s">
        <v>258</v>
      </c>
      <c r="M11"/>
      <c r="N11"/>
      <c r="O11"/>
      <c r="P11"/>
      <c r="Q11"/>
    </row>
    <row r="12" spans="1:17" s="3" customFormat="1" ht="14.25" x14ac:dyDescent="0.2">
      <c r="A12" s="3" t="s">
        <v>259</v>
      </c>
      <c r="B12" s="3" t="s">
        <v>251</v>
      </c>
      <c r="C12" s="3" t="s">
        <v>260</v>
      </c>
      <c r="D12" s="3" t="s">
        <v>261</v>
      </c>
      <c r="E12" s="3">
        <v>-1</v>
      </c>
      <c r="F12" s="3">
        <v>6.78</v>
      </c>
      <c r="G12" s="3">
        <v>13.344755257999998</v>
      </c>
      <c r="H12" s="3" t="s">
        <v>262</v>
      </c>
      <c r="M12"/>
      <c r="N12"/>
      <c r="O12"/>
      <c r="P12"/>
      <c r="Q12"/>
    </row>
    <row r="13" spans="1:17" s="3" customFormat="1" ht="14.25" x14ac:dyDescent="0.2">
      <c r="A13" s="3" t="s">
        <v>263</v>
      </c>
      <c r="B13" s="3" t="s">
        <v>264</v>
      </c>
      <c r="C13" s="3" t="s">
        <v>265</v>
      </c>
      <c r="D13" s="3" t="s">
        <v>266</v>
      </c>
      <c r="E13" s="3">
        <v>-1</v>
      </c>
      <c r="F13" s="3">
        <v>6.16</v>
      </c>
      <c r="G13" s="3">
        <v>12.939175776666664</v>
      </c>
      <c r="H13" s="3" t="s">
        <v>267</v>
      </c>
      <c r="M13"/>
      <c r="N13"/>
      <c r="O13"/>
      <c r="P13"/>
      <c r="Q13"/>
    </row>
    <row r="14" spans="1:17" s="3" customFormat="1" ht="14.25" x14ac:dyDescent="0.2">
      <c r="A14" s="3" t="s">
        <v>268</v>
      </c>
      <c r="B14" s="3" t="s">
        <v>264</v>
      </c>
      <c r="C14" s="3" t="s">
        <v>269</v>
      </c>
      <c r="D14" s="3" t="s">
        <v>270</v>
      </c>
      <c r="E14" s="3">
        <v>-1</v>
      </c>
      <c r="F14" s="3">
        <v>6.2</v>
      </c>
      <c r="G14" s="3">
        <v>12.939175776666664</v>
      </c>
      <c r="H14" s="3" t="s">
        <v>271</v>
      </c>
      <c r="M14"/>
      <c r="N14"/>
      <c r="O14"/>
      <c r="P14"/>
      <c r="Q14"/>
    </row>
    <row r="15" spans="1:17" s="3" customFormat="1" ht="14.25" x14ac:dyDescent="0.2">
      <c r="A15" s="3" t="s">
        <v>272</v>
      </c>
      <c r="B15" s="3" t="s">
        <v>273</v>
      </c>
      <c r="C15" s="3" t="s">
        <v>274</v>
      </c>
      <c r="D15" s="3" t="s">
        <v>275</v>
      </c>
      <c r="E15" s="3">
        <v>-1</v>
      </c>
      <c r="F15" s="3">
        <v>5.64</v>
      </c>
      <c r="G15" s="3">
        <v>12.533596295333332</v>
      </c>
      <c r="H15" s="3" t="s">
        <v>276</v>
      </c>
      <c r="M15"/>
      <c r="N15"/>
      <c r="O15"/>
      <c r="P15"/>
      <c r="Q15"/>
    </row>
    <row r="16" spans="1:17" s="3" customFormat="1" ht="14.25" x14ac:dyDescent="0.2">
      <c r="A16" s="3" t="s">
        <v>277</v>
      </c>
      <c r="B16" s="3" t="s">
        <v>278</v>
      </c>
      <c r="C16" s="3" t="s">
        <v>279</v>
      </c>
      <c r="D16" s="3" t="s">
        <v>280</v>
      </c>
      <c r="E16" s="3">
        <v>-1</v>
      </c>
      <c r="F16" s="3">
        <v>5.13</v>
      </c>
      <c r="G16" s="3">
        <v>12.128016814000002</v>
      </c>
      <c r="H16" s="3" t="s">
        <v>281</v>
      </c>
      <c r="M16"/>
      <c r="N16"/>
      <c r="O16"/>
      <c r="P16"/>
      <c r="Q16"/>
    </row>
    <row r="17" spans="1:17" s="3" customFormat="1" ht="14.25" x14ac:dyDescent="0.2">
      <c r="A17" s="3" t="s">
        <v>282</v>
      </c>
      <c r="B17" s="3" t="s">
        <v>283</v>
      </c>
      <c r="C17" s="3" t="s">
        <v>183</v>
      </c>
      <c r="D17" s="3" t="s">
        <v>163</v>
      </c>
      <c r="E17" s="3">
        <v>-1</v>
      </c>
      <c r="F17" s="3">
        <v>18.38</v>
      </c>
      <c r="G17" s="3">
        <v>19.191425257333336</v>
      </c>
      <c r="H17" s="3" t="s">
        <v>193</v>
      </c>
      <c r="M17"/>
      <c r="N17"/>
      <c r="O17"/>
      <c r="P17"/>
      <c r="Q17"/>
    </row>
    <row r="18" spans="1:17" s="3" customFormat="1" ht="14.25" x14ac:dyDescent="0.2">
      <c r="A18" s="3" t="s">
        <v>284</v>
      </c>
      <c r="B18" s="3" t="s">
        <v>285</v>
      </c>
      <c r="C18" s="3" t="s">
        <v>184</v>
      </c>
      <c r="D18" s="3" t="s">
        <v>168</v>
      </c>
      <c r="E18" s="3">
        <v>-1</v>
      </c>
      <c r="F18" s="3">
        <v>16.07</v>
      </c>
      <c r="G18" s="3">
        <v>18.941753235999997</v>
      </c>
      <c r="H18" s="3" t="s">
        <v>194</v>
      </c>
      <c r="M18"/>
      <c r="N18"/>
      <c r="O18"/>
      <c r="P18"/>
      <c r="Q18"/>
    </row>
    <row r="19" spans="1:17" s="3" customFormat="1" ht="14.25" x14ac:dyDescent="0.2">
      <c r="A19" s="3" t="s">
        <v>286</v>
      </c>
      <c r="B19" s="3" t="s">
        <v>287</v>
      </c>
      <c r="C19" s="3" t="s">
        <v>185</v>
      </c>
      <c r="D19" s="3" t="s">
        <v>169</v>
      </c>
      <c r="E19" s="3">
        <v>-1</v>
      </c>
      <c r="F19" s="3">
        <v>15.31</v>
      </c>
      <c r="G19" s="3">
        <v>18.536173754666667</v>
      </c>
      <c r="H19" s="3" t="s">
        <v>195</v>
      </c>
      <c r="M19"/>
      <c r="N19"/>
      <c r="O19"/>
      <c r="P19"/>
      <c r="Q19"/>
    </row>
    <row r="20" spans="1:17" s="3" customFormat="1" ht="14.25" x14ac:dyDescent="0.2">
      <c r="A20" s="3" t="s">
        <v>288</v>
      </c>
      <c r="B20" s="3" t="s">
        <v>289</v>
      </c>
      <c r="C20" s="3" t="s">
        <v>186</v>
      </c>
      <c r="D20" s="3" t="s">
        <v>170</v>
      </c>
      <c r="E20" s="3">
        <v>-1</v>
      </c>
      <c r="F20" s="3">
        <v>14.59</v>
      </c>
      <c r="G20" s="3">
        <v>18.130594273333337</v>
      </c>
      <c r="H20" s="3" t="s">
        <v>196</v>
      </c>
      <c r="M20"/>
      <c r="N20"/>
      <c r="O20"/>
      <c r="P20"/>
      <c r="Q20"/>
    </row>
    <row r="21" spans="1:17" s="3" customFormat="1" ht="14.25" x14ac:dyDescent="0.2">
      <c r="A21" s="3" t="s">
        <v>290</v>
      </c>
      <c r="B21" s="3" t="s">
        <v>291</v>
      </c>
      <c r="C21" s="3" t="s">
        <v>187</v>
      </c>
      <c r="D21" s="3" t="s">
        <v>171</v>
      </c>
      <c r="E21" s="3">
        <v>-1</v>
      </c>
      <c r="F21" s="3">
        <v>13.88</v>
      </c>
      <c r="G21" s="3">
        <v>17.725014792000003</v>
      </c>
      <c r="H21" s="3" t="s">
        <v>197</v>
      </c>
      <c r="M21"/>
      <c r="N21"/>
      <c r="O21"/>
      <c r="P21"/>
      <c r="Q21"/>
    </row>
    <row r="22" spans="1:17" s="3" customFormat="1" ht="14.25" x14ac:dyDescent="0.2">
      <c r="A22" s="3" t="s">
        <v>292</v>
      </c>
      <c r="B22" s="3" t="s">
        <v>293</v>
      </c>
      <c r="C22" s="3" t="s">
        <v>294</v>
      </c>
      <c r="D22" s="3" t="s">
        <v>295</v>
      </c>
      <c r="E22" s="3">
        <v>-1</v>
      </c>
      <c r="F22" s="3">
        <v>6.33</v>
      </c>
      <c r="G22" s="3">
        <v>13.994795481999995</v>
      </c>
      <c r="H22" s="3" t="s">
        <v>296</v>
      </c>
      <c r="M22"/>
      <c r="N22"/>
      <c r="O22"/>
      <c r="P22"/>
      <c r="Q22"/>
    </row>
    <row r="23" spans="1:17" s="3" customFormat="1" ht="14.25" x14ac:dyDescent="0.2">
      <c r="A23" s="3" t="s">
        <v>297</v>
      </c>
      <c r="B23" s="3" t="s">
        <v>298</v>
      </c>
      <c r="C23" s="3" t="s">
        <v>299</v>
      </c>
      <c r="D23" s="3" t="s">
        <v>300</v>
      </c>
      <c r="E23" s="3">
        <v>-1</v>
      </c>
      <c r="F23" s="3">
        <v>5.07</v>
      </c>
      <c r="G23" s="3">
        <v>13.745123460666669</v>
      </c>
      <c r="H23" s="3" t="s">
        <v>301</v>
      </c>
      <c r="M23"/>
      <c r="N23"/>
      <c r="O23"/>
      <c r="P23"/>
      <c r="Q23"/>
    </row>
    <row r="24" spans="1:17" s="3" customFormat="1" ht="14.25" x14ac:dyDescent="0.2">
      <c r="A24" s="3" t="s">
        <v>302</v>
      </c>
      <c r="B24" s="3" t="s">
        <v>303</v>
      </c>
      <c r="C24" s="3" t="s">
        <v>304</v>
      </c>
      <c r="D24" s="3" t="s">
        <v>305</v>
      </c>
      <c r="E24" s="3">
        <v>-1</v>
      </c>
      <c r="F24" s="3">
        <v>4.09</v>
      </c>
      <c r="G24" s="3">
        <v>13.339543979333335</v>
      </c>
      <c r="H24" s="3" t="s">
        <v>306</v>
      </c>
      <c r="M24"/>
      <c r="N24"/>
      <c r="O24"/>
      <c r="P24"/>
      <c r="Q24"/>
    </row>
    <row r="25" spans="1:17" s="3" customFormat="1" ht="14.25" x14ac:dyDescent="0.2">
      <c r="A25" s="3" t="s">
        <v>307</v>
      </c>
      <c r="B25" s="3" t="s">
        <v>308</v>
      </c>
      <c r="C25" s="3" t="s">
        <v>309</v>
      </c>
      <c r="D25" s="3" t="s">
        <v>310</v>
      </c>
      <c r="E25" s="3">
        <v>-1</v>
      </c>
      <c r="F25" s="3">
        <v>3.11</v>
      </c>
      <c r="G25" s="3">
        <v>12.933964498000002</v>
      </c>
      <c r="H25" s="3" t="s">
        <v>311</v>
      </c>
      <c r="M25"/>
      <c r="N25"/>
      <c r="O25"/>
      <c r="P25"/>
      <c r="Q25"/>
    </row>
    <row r="26" spans="1:17" s="3" customFormat="1" ht="14.25" x14ac:dyDescent="0.2">
      <c r="A26" s="3" t="s">
        <v>312</v>
      </c>
      <c r="B26" s="3" t="s">
        <v>313</v>
      </c>
      <c r="C26" s="3" t="s">
        <v>314</v>
      </c>
      <c r="D26" s="3" t="s">
        <v>315</v>
      </c>
      <c r="E26" s="3">
        <v>-1</v>
      </c>
      <c r="F26" s="3">
        <v>2.1</v>
      </c>
      <c r="G26" s="3">
        <v>12.528385016666668</v>
      </c>
      <c r="H26" s="3" t="s">
        <v>316</v>
      </c>
      <c r="M26"/>
      <c r="N26"/>
      <c r="O26"/>
      <c r="P26"/>
      <c r="Q26"/>
    </row>
    <row r="27" spans="1:17" s="3" customFormat="1" ht="14.25" x14ac:dyDescent="0.2">
      <c r="A27" s="3" t="s">
        <v>317</v>
      </c>
      <c r="B27" s="3" t="s">
        <v>303</v>
      </c>
      <c r="C27" s="3" t="s">
        <v>318</v>
      </c>
      <c r="D27" s="3" t="s">
        <v>319</v>
      </c>
      <c r="E27" s="3">
        <v>-1</v>
      </c>
      <c r="F27" s="3">
        <v>4.03</v>
      </c>
      <c r="G27" s="3">
        <v>13.495451439333335</v>
      </c>
      <c r="H27" s="3" t="s">
        <v>320</v>
      </c>
      <c r="M27"/>
      <c r="N27"/>
      <c r="O27"/>
      <c r="P27"/>
      <c r="Q27"/>
    </row>
    <row r="28" spans="1:17" s="3" customFormat="1" ht="14.25" x14ac:dyDescent="0.2">
      <c r="A28" s="3" t="s">
        <v>321</v>
      </c>
      <c r="B28" s="3" t="s">
        <v>308</v>
      </c>
      <c r="C28" s="3" t="s">
        <v>322</v>
      </c>
      <c r="D28" s="3" t="s">
        <v>323</v>
      </c>
      <c r="E28" s="3">
        <v>-1</v>
      </c>
      <c r="F28" s="3">
        <v>3.05</v>
      </c>
      <c r="G28" s="3">
        <v>13.089871957999998</v>
      </c>
      <c r="H28" s="3" t="s">
        <v>324</v>
      </c>
      <c r="M28"/>
      <c r="N28"/>
      <c r="O28"/>
      <c r="P28"/>
      <c r="Q28"/>
    </row>
    <row r="29" spans="1:17" s="3" customFormat="1" ht="14.25" x14ac:dyDescent="0.2">
      <c r="A29" s="3" t="s">
        <v>325</v>
      </c>
      <c r="B29" s="3" t="s">
        <v>313</v>
      </c>
      <c r="C29" s="3" t="s">
        <v>326</v>
      </c>
      <c r="D29" s="3" t="s">
        <v>327</v>
      </c>
      <c r="E29" s="3">
        <v>-1</v>
      </c>
      <c r="F29" s="3">
        <v>2.0699999999999998</v>
      </c>
      <c r="G29" s="3">
        <v>12.68429247666667</v>
      </c>
      <c r="H29" s="3" t="s">
        <v>328</v>
      </c>
      <c r="M29"/>
      <c r="N29"/>
      <c r="O29"/>
      <c r="P29"/>
      <c r="Q29"/>
    </row>
    <row r="30" spans="1:17" s="3" customFormat="1" ht="14.25" x14ac:dyDescent="0.2">
      <c r="A30" s="3" t="s">
        <v>329</v>
      </c>
      <c r="B30" s="3" t="s">
        <v>330</v>
      </c>
      <c r="C30" s="3" t="s">
        <v>331</v>
      </c>
      <c r="D30" s="3" t="s">
        <v>332</v>
      </c>
      <c r="E30" s="3">
        <v>-1</v>
      </c>
      <c r="F30" s="3">
        <v>1.07</v>
      </c>
      <c r="G30" s="3">
        <v>12.278712995333336</v>
      </c>
      <c r="H30" s="3" t="s">
        <v>333</v>
      </c>
      <c r="M30"/>
      <c r="N30"/>
      <c r="O30"/>
      <c r="P30"/>
      <c r="Q30"/>
    </row>
    <row r="31" spans="1:17" s="3" customFormat="1" ht="14.25" x14ac:dyDescent="0.2">
      <c r="A31" s="3" t="s">
        <v>334</v>
      </c>
      <c r="B31" s="3" t="s">
        <v>313</v>
      </c>
      <c r="C31" s="3" t="s">
        <v>335</v>
      </c>
      <c r="D31" s="3" t="s">
        <v>336</v>
      </c>
      <c r="E31" s="3">
        <v>-1</v>
      </c>
      <c r="F31" s="3">
        <v>2.0699999999999998</v>
      </c>
      <c r="G31" s="3">
        <v>12.68429247666667</v>
      </c>
      <c r="H31" s="3" t="s">
        <v>337</v>
      </c>
      <c r="M31"/>
      <c r="N31"/>
      <c r="O31"/>
      <c r="P31"/>
      <c r="Q31"/>
    </row>
    <row r="32" spans="1:17" s="3" customFormat="1" ht="14.25" x14ac:dyDescent="0.2">
      <c r="A32" s="3" t="s">
        <v>338</v>
      </c>
      <c r="B32" s="3" t="s">
        <v>330</v>
      </c>
      <c r="C32" s="3" t="s">
        <v>339</v>
      </c>
      <c r="D32" s="3" t="s">
        <v>340</v>
      </c>
      <c r="E32" s="3">
        <v>-1</v>
      </c>
      <c r="F32" s="3">
        <v>1.1000000000000001</v>
      </c>
      <c r="G32" s="3">
        <v>12.278712995333336</v>
      </c>
      <c r="H32" s="3" t="s">
        <v>341</v>
      </c>
      <c r="M32"/>
      <c r="N32"/>
      <c r="O32"/>
      <c r="P32"/>
      <c r="Q32"/>
    </row>
    <row r="33" spans="1:17" s="3" customFormat="1" ht="14.25" x14ac:dyDescent="0.2">
      <c r="A33" s="3" t="s">
        <v>342</v>
      </c>
      <c r="B33" s="3" t="s">
        <v>343</v>
      </c>
      <c r="C33" s="3" t="s">
        <v>344</v>
      </c>
      <c r="D33" s="3" t="s">
        <v>345</v>
      </c>
      <c r="E33" s="3">
        <v>-1</v>
      </c>
      <c r="F33" s="3">
        <v>0.12</v>
      </c>
      <c r="G33" s="3">
        <v>11.873133513999999</v>
      </c>
      <c r="H33" s="3" t="s">
        <v>346</v>
      </c>
      <c r="M33"/>
      <c r="N33"/>
      <c r="O33"/>
      <c r="P33"/>
      <c r="Q33"/>
    </row>
    <row r="34" spans="1:17" s="3" customFormat="1" ht="14.25" x14ac:dyDescent="0.2">
      <c r="A34" s="3" t="s">
        <v>347</v>
      </c>
      <c r="B34" s="3" t="s">
        <v>343</v>
      </c>
      <c r="C34" s="3" t="s">
        <v>348</v>
      </c>
      <c r="D34" s="3" t="s">
        <v>349</v>
      </c>
      <c r="E34" s="3">
        <v>-1</v>
      </c>
      <c r="F34" s="3">
        <v>0.14000000000000001</v>
      </c>
      <c r="G34" s="3">
        <v>11.873133513999999</v>
      </c>
      <c r="H34" s="3" t="s">
        <v>350</v>
      </c>
      <c r="M34"/>
      <c r="N34"/>
      <c r="O34"/>
      <c r="P34"/>
      <c r="Q34"/>
    </row>
    <row r="35" spans="1:17" s="3" customFormat="1" ht="14.25" x14ac:dyDescent="0.2">
      <c r="A35" s="3" t="s">
        <v>351</v>
      </c>
      <c r="B35" s="3" t="s">
        <v>352</v>
      </c>
      <c r="C35" s="3" t="s">
        <v>353</v>
      </c>
      <c r="D35" s="3" t="s">
        <v>354</v>
      </c>
      <c r="E35" s="3">
        <v>-1</v>
      </c>
      <c r="F35" s="3">
        <v>-0.81</v>
      </c>
      <c r="G35" s="3">
        <v>11.467554032666666</v>
      </c>
      <c r="H35" s="3" t="s">
        <v>355</v>
      </c>
      <c r="M35"/>
      <c r="N35"/>
      <c r="O35"/>
      <c r="P35"/>
      <c r="Q35"/>
    </row>
    <row r="36" spans="1:17" s="3" customFormat="1" ht="14.25" x14ac:dyDescent="0.2">
      <c r="A36" s="3" t="s">
        <v>356</v>
      </c>
      <c r="B36" s="3" t="s">
        <v>357</v>
      </c>
      <c r="C36" s="3" t="s">
        <v>358</v>
      </c>
      <c r="D36" s="3" t="s">
        <v>359</v>
      </c>
      <c r="E36" s="3">
        <v>-1</v>
      </c>
      <c r="F36" s="3">
        <v>-1.73</v>
      </c>
      <c r="G36" s="3">
        <v>11.061974551333334</v>
      </c>
      <c r="H36" s="3" t="s">
        <v>360</v>
      </c>
      <c r="M36"/>
      <c r="N36"/>
      <c r="O36"/>
      <c r="P36"/>
      <c r="Q36"/>
    </row>
    <row r="37" spans="1:17" s="3" customFormat="1" ht="14.25" x14ac:dyDescent="0.2">
      <c r="A37" s="3" t="s">
        <v>361</v>
      </c>
      <c r="B37" s="3" t="s">
        <v>362</v>
      </c>
      <c r="C37" s="3" t="s">
        <v>363</v>
      </c>
      <c r="D37" s="3" t="s">
        <v>364</v>
      </c>
      <c r="E37" s="3">
        <v>-1</v>
      </c>
      <c r="F37" s="3">
        <v>12.54</v>
      </c>
      <c r="G37" s="3">
        <v>18.125382994666666</v>
      </c>
      <c r="H37" s="3" t="s">
        <v>365</v>
      </c>
      <c r="M37"/>
      <c r="N37"/>
      <c r="O37"/>
      <c r="P37"/>
      <c r="Q37"/>
    </row>
    <row r="38" spans="1:17" s="3" customFormat="1" ht="14.25" x14ac:dyDescent="0.2">
      <c r="A38" s="3" t="s">
        <v>366</v>
      </c>
      <c r="B38" s="3" t="s">
        <v>367</v>
      </c>
      <c r="C38" s="3" t="s">
        <v>368</v>
      </c>
      <c r="D38" s="3" t="s">
        <v>369</v>
      </c>
      <c r="E38" s="3">
        <v>-1</v>
      </c>
      <c r="F38" s="3">
        <v>11.1</v>
      </c>
      <c r="G38" s="3">
        <v>17.87571097333333</v>
      </c>
      <c r="H38" s="3" t="s">
        <v>370</v>
      </c>
      <c r="M38"/>
      <c r="N38"/>
      <c r="O38"/>
      <c r="P38"/>
      <c r="Q38"/>
    </row>
    <row r="39" spans="1:17" s="3" customFormat="1" ht="14.25" x14ac:dyDescent="0.2">
      <c r="A39" s="3" t="s">
        <v>371</v>
      </c>
      <c r="B39" s="3" t="s">
        <v>372</v>
      </c>
      <c r="C39" s="3" t="s">
        <v>373</v>
      </c>
      <c r="D39" s="3" t="s">
        <v>374</v>
      </c>
      <c r="E39" s="3">
        <v>-1</v>
      </c>
      <c r="F39" s="3">
        <v>10.23</v>
      </c>
      <c r="G39" s="3">
        <v>17.470131491999997</v>
      </c>
      <c r="H39" s="3" t="s">
        <v>375</v>
      </c>
      <c r="M39"/>
      <c r="N39"/>
      <c r="O39"/>
      <c r="P39"/>
      <c r="Q39"/>
    </row>
    <row r="40" spans="1:17" s="3" customFormat="1" ht="14.25" x14ac:dyDescent="0.2">
      <c r="A40" s="3" t="s">
        <v>376</v>
      </c>
      <c r="B40" s="3" t="s">
        <v>377</v>
      </c>
      <c r="C40" s="3" t="s">
        <v>378</v>
      </c>
      <c r="D40" s="3" t="s">
        <v>379</v>
      </c>
      <c r="E40" s="3">
        <v>-1</v>
      </c>
      <c r="F40" s="3">
        <v>9.36</v>
      </c>
      <c r="G40" s="3">
        <v>17.064552010666674</v>
      </c>
      <c r="H40" s="3" t="s">
        <v>380</v>
      </c>
      <c r="M40"/>
      <c r="N40"/>
      <c r="O40"/>
      <c r="P40"/>
      <c r="Q40"/>
    </row>
    <row r="41" spans="1:17" s="3" customFormat="1" ht="14.25" x14ac:dyDescent="0.2">
      <c r="A41" s="3" t="s">
        <v>381</v>
      </c>
      <c r="B41" s="3" t="s">
        <v>382</v>
      </c>
      <c r="C41" s="3" t="s">
        <v>383</v>
      </c>
      <c r="D41" s="3" t="s">
        <v>384</v>
      </c>
      <c r="E41" s="3">
        <v>-1</v>
      </c>
      <c r="F41" s="3">
        <v>8.4600000000000009</v>
      </c>
      <c r="G41" s="3">
        <v>16.658972529333333</v>
      </c>
      <c r="H41" s="3" t="s">
        <v>385</v>
      </c>
      <c r="M41"/>
      <c r="N41"/>
      <c r="O41"/>
      <c r="P41"/>
      <c r="Q41"/>
    </row>
    <row r="42" spans="1:17" s="3" customFormat="1" ht="14.25" x14ac:dyDescent="0.2">
      <c r="A42" s="3" t="s">
        <v>386</v>
      </c>
      <c r="B42" s="3" t="s">
        <v>387</v>
      </c>
      <c r="C42" s="3" t="s">
        <v>388</v>
      </c>
      <c r="D42" s="3" t="s">
        <v>389</v>
      </c>
      <c r="E42" s="3">
        <v>-1</v>
      </c>
      <c r="F42" s="3">
        <v>2.33</v>
      </c>
      <c r="G42" s="3">
        <v>12.261779000633398</v>
      </c>
      <c r="H42" s="3" t="s">
        <v>390</v>
      </c>
      <c r="M42"/>
      <c r="N42"/>
      <c r="O42"/>
      <c r="P42"/>
      <c r="Q42"/>
    </row>
    <row r="43" spans="1:17" s="3" customFormat="1" ht="14.25" x14ac:dyDescent="0.2">
      <c r="A43" s="3" t="s">
        <v>391</v>
      </c>
      <c r="B43" s="3" t="s">
        <v>392</v>
      </c>
      <c r="C43" s="3" t="s">
        <v>393</v>
      </c>
      <c r="D43" s="3" t="s">
        <v>394</v>
      </c>
      <c r="E43" s="3">
        <v>-1</v>
      </c>
      <c r="F43" s="3">
        <v>1.35</v>
      </c>
      <c r="G43" s="3">
        <v>12.012108656198087</v>
      </c>
      <c r="H43" s="3" t="s">
        <v>395</v>
      </c>
      <c r="M43"/>
      <c r="N43"/>
      <c r="O43"/>
      <c r="P43"/>
      <c r="Q43"/>
    </row>
    <row r="44" spans="1:17" s="3" customFormat="1" ht="14.25" x14ac:dyDescent="0.2">
      <c r="A44" s="3" t="s">
        <v>396</v>
      </c>
      <c r="B44" s="3" t="s">
        <v>397</v>
      </c>
      <c r="C44" s="3" t="s">
        <v>398</v>
      </c>
      <c r="D44" s="3" t="s">
        <v>399</v>
      </c>
      <c r="E44" s="3">
        <v>-1</v>
      </c>
      <c r="F44" s="3">
        <v>0.34</v>
      </c>
      <c r="G44" s="3">
        <v>11.606529145564048</v>
      </c>
      <c r="H44" s="3" t="s">
        <v>400</v>
      </c>
      <c r="M44"/>
      <c r="N44"/>
      <c r="O44"/>
      <c r="P44"/>
      <c r="Q44"/>
    </row>
    <row r="45" spans="1:17" s="3" customFormat="1" ht="14.25" x14ac:dyDescent="0.2">
      <c r="A45" s="3" t="s">
        <v>401</v>
      </c>
      <c r="B45" s="3" t="s">
        <v>402</v>
      </c>
      <c r="C45" s="3" t="s">
        <v>403</v>
      </c>
      <c r="D45" s="3" t="s">
        <v>404</v>
      </c>
      <c r="E45" s="3">
        <v>-1</v>
      </c>
      <c r="F45" s="3">
        <v>-0.67</v>
      </c>
      <c r="G45" s="3">
        <v>11.200949636993284</v>
      </c>
      <c r="H45" s="3" t="s">
        <v>405</v>
      </c>
      <c r="M45"/>
      <c r="N45"/>
      <c r="O45"/>
      <c r="P45"/>
      <c r="Q45"/>
    </row>
    <row r="46" spans="1:17" s="3" customFormat="1" ht="14.25" x14ac:dyDescent="0.2">
      <c r="A46" s="3" t="s">
        <v>406</v>
      </c>
      <c r="B46" s="3" t="s">
        <v>407</v>
      </c>
      <c r="C46" s="3" t="s">
        <v>408</v>
      </c>
      <c r="D46" s="3" t="s">
        <v>409</v>
      </c>
      <c r="E46" s="3">
        <v>-1</v>
      </c>
      <c r="F46" s="3">
        <v>-1.69</v>
      </c>
      <c r="G46" s="3">
        <v>10.795370130341</v>
      </c>
      <c r="H46" s="3" t="s">
        <v>410</v>
      </c>
      <c r="M46"/>
      <c r="N46"/>
      <c r="O46"/>
      <c r="P46"/>
      <c r="Q46"/>
    </row>
    <row r="47" spans="1:17" s="3" customFormat="1" ht="14.25" x14ac:dyDescent="0.2">
      <c r="A47" s="3" t="s">
        <v>411</v>
      </c>
      <c r="B47" s="3" t="s">
        <v>397</v>
      </c>
      <c r="C47" s="3" t="s">
        <v>412</v>
      </c>
      <c r="D47" s="3" t="s">
        <v>413</v>
      </c>
      <c r="E47" s="3">
        <v>-1</v>
      </c>
      <c r="F47" s="3">
        <v>1.01</v>
      </c>
      <c r="G47" s="3">
        <v>11.76243849626818</v>
      </c>
      <c r="H47" s="3" t="s">
        <v>414</v>
      </c>
      <c r="M47"/>
      <c r="N47"/>
      <c r="O47"/>
      <c r="P47"/>
      <c r="Q47"/>
    </row>
    <row r="48" spans="1:17" s="3" customFormat="1" ht="14.25" x14ac:dyDescent="0.2">
      <c r="A48" s="3" t="s">
        <v>415</v>
      </c>
      <c r="B48" s="3" t="s">
        <v>402</v>
      </c>
      <c r="C48" s="3" t="s">
        <v>416</v>
      </c>
      <c r="D48" s="3" t="s">
        <v>417</v>
      </c>
      <c r="E48" s="3">
        <v>-1</v>
      </c>
      <c r="F48" s="3">
        <v>0</v>
      </c>
      <c r="G48" s="3">
        <v>11.356858989266202</v>
      </c>
      <c r="H48" s="3" t="s">
        <v>418</v>
      </c>
      <c r="M48"/>
      <c r="N48"/>
      <c r="O48"/>
      <c r="P48"/>
      <c r="Q48"/>
    </row>
    <row r="49" spans="1:17" s="3" customFormat="1" ht="14.25" x14ac:dyDescent="0.2">
      <c r="A49" s="3" t="s">
        <v>419</v>
      </c>
      <c r="B49" s="3" t="s">
        <v>407</v>
      </c>
      <c r="C49" s="3" t="s">
        <v>420</v>
      </c>
      <c r="D49" s="3" t="s">
        <v>421</v>
      </c>
      <c r="E49" s="3">
        <v>-1</v>
      </c>
      <c r="F49" s="3">
        <v>-1.01</v>
      </c>
      <c r="G49" s="3">
        <v>10.951279484071677</v>
      </c>
      <c r="H49" s="3" t="s">
        <v>422</v>
      </c>
      <c r="M49"/>
      <c r="N49"/>
      <c r="O49"/>
      <c r="P49"/>
      <c r="Q49"/>
    </row>
    <row r="50" spans="1:17" s="3" customFormat="1" ht="14.25" x14ac:dyDescent="0.2">
      <c r="A50" s="3" t="s">
        <v>423</v>
      </c>
      <c r="B50" s="3" t="s">
        <v>424</v>
      </c>
      <c r="C50" s="3" t="s">
        <v>425</v>
      </c>
      <c r="D50" s="3" t="s">
        <v>426</v>
      </c>
      <c r="E50" s="3">
        <v>-1</v>
      </c>
      <c r="F50" s="3">
        <v>-2.0299999999999998</v>
      </c>
      <c r="G50" s="3">
        <v>10.545699980557822</v>
      </c>
      <c r="H50" s="3" t="s">
        <v>427</v>
      </c>
      <c r="M50"/>
      <c r="N50"/>
      <c r="O50"/>
      <c r="P50"/>
      <c r="Q50"/>
    </row>
    <row r="51" spans="1:17" s="3" customFormat="1" ht="14.25" x14ac:dyDescent="0.2">
      <c r="A51" s="3" t="s">
        <v>428</v>
      </c>
      <c r="B51" s="3" t="s">
        <v>407</v>
      </c>
      <c r="C51" s="3" t="s">
        <v>429</v>
      </c>
      <c r="D51" s="3" t="s">
        <v>430</v>
      </c>
      <c r="E51" s="3">
        <v>-1</v>
      </c>
      <c r="F51" s="3">
        <v>-1.01</v>
      </c>
      <c r="G51" s="3">
        <v>10.951279484072307</v>
      </c>
      <c r="H51" s="3" t="s">
        <v>431</v>
      </c>
      <c r="M51"/>
      <c r="N51"/>
      <c r="O51"/>
      <c r="P51"/>
      <c r="Q51"/>
    </row>
    <row r="52" spans="1:17" s="3" customFormat="1" ht="14.25" x14ac:dyDescent="0.2">
      <c r="A52" s="3" t="s">
        <v>432</v>
      </c>
      <c r="B52" s="3" t="s">
        <v>424</v>
      </c>
      <c r="C52" s="3" t="s">
        <v>433</v>
      </c>
      <c r="D52" s="3" t="s">
        <v>434</v>
      </c>
      <c r="E52" s="3">
        <v>-1</v>
      </c>
      <c r="F52" s="3">
        <v>-2.0099999999999998</v>
      </c>
      <c r="G52" s="3">
        <v>10.545699980558451</v>
      </c>
      <c r="H52" s="3" t="s">
        <v>435</v>
      </c>
      <c r="M52"/>
      <c r="N52"/>
      <c r="O52"/>
      <c r="P52"/>
      <c r="Q52"/>
    </row>
    <row r="53" spans="1:17" s="3" customFormat="1" ht="14.25" x14ac:dyDescent="0.2">
      <c r="A53" s="3" t="s">
        <v>436</v>
      </c>
      <c r="B53" s="3" t="s">
        <v>437</v>
      </c>
      <c r="C53" s="3" t="s">
        <v>438</v>
      </c>
      <c r="D53" s="3" t="s">
        <v>439</v>
      </c>
      <c r="E53" s="3">
        <v>-1</v>
      </c>
      <c r="F53" s="3">
        <v>-3</v>
      </c>
      <c r="G53" s="3">
        <v>10.140120478606896</v>
      </c>
      <c r="H53" s="3" t="s">
        <v>440</v>
      </c>
      <c r="M53"/>
      <c r="N53"/>
      <c r="O53"/>
      <c r="P53"/>
      <c r="Q53"/>
    </row>
    <row r="54" spans="1:17" s="3" customFormat="1" ht="14.25" x14ac:dyDescent="0.2">
      <c r="A54" s="3" t="s">
        <v>441</v>
      </c>
      <c r="B54" s="3" t="s">
        <v>437</v>
      </c>
      <c r="C54" s="3" t="s">
        <v>442</v>
      </c>
      <c r="D54" s="3" t="s">
        <v>443</v>
      </c>
      <c r="E54" s="3">
        <v>-1</v>
      </c>
      <c r="F54" s="3">
        <v>-3</v>
      </c>
      <c r="G54" s="3">
        <v>10.140120478606896</v>
      </c>
      <c r="H54" s="3" t="s">
        <v>444</v>
      </c>
      <c r="M54"/>
      <c r="N54"/>
      <c r="O54"/>
      <c r="P54"/>
      <c r="Q54"/>
    </row>
    <row r="55" spans="1:17" s="3" customFormat="1" ht="14.25" x14ac:dyDescent="0.2">
      <c r="A55" s="3" t="s">
        <v>445</v>
      </c>
      <c r="B55" s="3" t="s">
        <v>446</v>
      </c>
      <c r="C55" s="3" t="s">
        <v>447</v>
      </c>
      <c r="D55" s="3" t="s">
        <v>448</v>
      </c>
      <c r="E55" s="3">
        <v>-1</v>
      </c>
      <c r="F55" s="3">
        <v>-3.96</v>
      </c>
      <c r="G55" s="3">
        <v>9.7345409781075922</v>
      </c>
      <c r="H55" s="3" t="s">
        <v>449</v>
      </c>
      <c r="M55"/>
      <c r="N55"/>
      <c r="O55"/>
      <c r="P55"/>
      <c r="Q55"/>
    </row>
    <row r="56" spans="1:17" s="3" customFormat="1" ht="14.25" x14ac:dyDescent="0.2">
      <c r="A56" s="3" t="s">
        <v>450</v>
      </c>
      <c r="B56" s="3" t="s">
        <v>451</v>
      </c>
      <c r="C56" s="3" t="s">
        <v>452</v>
      </c>
      <c r="D56" s="3" t="s">
        <v>453</v>
      </c>
      <c r="E56" s="3">
        <v>-1</v>
      </c>
      <c r="F56" s="3">
        <v>-4.9000000000000004</v>
      </c>
      <c r="G56" s="3">
        <v>9.3289614789582629</v>
      </c>
      <c r="H56" s="3" t="s">
        <v>454</v>
      </c>
      <c r="M56"/>
      <c r="N56"/>
      <c r="O56"/>
      <c r="P56"/>
      <c r="Q56"/>
    </row>
    <row r="57" spans="1:17" s="3" customFormat="1" ht="14.25" x14ac:dyDescent="0.2">
      <c r="A57" s="3" t="s">
        <v>455</v>
      </c>
      <c r="B57" s="3" t="s">
        <v>456</v>
      </c>
      <c r="C57" s="3" t="s">
        <v>457</v>
      </c>
      <c r="D57" s="3" t="s">
        <v>458</v>
      </c>
      <c r="E57" s="3">
        <v>-1</v>
      </c>
      <c r="F57" s="3">
        <v>7.42</v>
      </c>
      <c r="G57" s="3">
        <v>16.392366277721177</v>
      </c>
      <c r="H57" s="3" t="s">
        <v>459</v>
      </c>
      <c r="M57"/>
      <c r="N57"/>
      <c r="O57"/>
      <c r="P57"/>
      <c r="Q57"/>
    </row>
    <row r="58" spans="1:17" s="3" customFormat="1" ht="14.25" x14ac:dyDescent="0.2">
      <c r="A58" s="3" t="s">
        <v>460</v>
      </c>
      <c r="B58" s="3" t="s">
        <v>461</v>
      </c>
      <c r="C58" s="3" t="s">
        <v>462</v>
      </c>
      <c r="D58" s="3" t="s">
        <v>463</v>
      </c>
      <c r="E58" s="3">
        <v>-1</v>
      </c>
      <c r="F58" s="3">
        <v>6.28</v>
      </c>
      <c r="G58" s="3">
        <v>16.142695961748487</v>
      </c>
      <c r="H58" s="3" t="s">
        <v>464</v>
      </c>
      <c r="M58"/>
      <c r="N58"/>
      <c r="O58"/>
      <c r="P58"/>
      <c r="Q58"/>
    </row>
    <row r="59" spans="1:17" s="3" customFormat="1" ht="14.25" x14ac:dyDescent="0.2">
      <c r="A59" s="3" t="s">
        <v>465</v>
      </c>
      <c r="B59" s="3" t="s">
        <v>466</v>
      </c>
      <c r="C59" s="3" t="s">
        <v>467</v>
      </c>
      <c r="D59" s="3" t="s">
        <v>468</v>
      </c>
      <c r="E59" s="3">
        <v>-1</v>
      </c>
      <c r="F59" s="3">
        <v>5.38</v>
      </c>
      <c r="G59" s="3">
        <v>15.737116465702805</v>
      </c>
      <c r="H59" s="3" t="s">
        <v>469</v>
      </c>
      <c r="M59"/>
      <c r="N59"/>
      <c r="O59"/>
      <c r="P59"/>
      <c r="Q59"/>
    </row>
    <row r="60" spans="1:17" s="3" customFormat="1" ht="14.25" x14ac:dyDescent="0.2">
      <c r="A60" s="3" t="s">
        <v>470</v>
      </c>
      <c r="B60" s="3" t="s">
        <v>471</v>
      </c>
      <c r="C60" s="3" t="s">
        <v>472</v>
      </c>
      <c r="D60" s="3" t="s">
        <v>473</v>
      </c>
      <c r="E60" s="3">
        <v>-1</v>
      </c>
      <c r="F60" s="3">
        <v>4.4800000000000004</v>
      </c>
      <c r="G60" s="3">
        <v>15.331536970692854</v>
      </c>
      <c r="H60" s="3" t="s">
        <v>474</v>
      </c>
      <c r="M60"/>
      <c r="N60"/>
      <c r="O60"/>
      <c r="P60"/>
      <c r="Q60"/>
    </row>
    <row r="61" spans="1:17" s="3" customFormat="1" ht="14.25" x14ac:dyDescent="0.2">
      <c r="A61" s="3" t="s">
        <v>475</v>
      </c>
      <c r="B61" s="3" t="s">
        <v>476</v>
      </c>
      <c r="C61" s="3" t="s">
        <v>477</v>
      </c>
      <c r="D61" s="3" t="s">
        <v>478</v>
      </c>
      <c r="E61" s="3">
        <v>-1</v>
      </c>
      <c r="F61" s="3">
        <v>3.55</v>
      </c>
      <c r="G61" s="3">
        <v>14.925957476646214</v>
      </c>
      <c r="H61" s="3" t="s">
        <v>479</v>
      </c>
      <c r="M61"/>
      <c r="N61"/>
      <c r="O61"/>
      <c r="P61"/>
      <c r="Q61"/>
    </row>
    <row r="62" spans="1:17" s="3" customFormat="1" ht="14.25" x14ac:dyDescent="0.2">
      <c r="M62"/>
      <c r="N62"/>
      <c r="O62"/>
      <c r="P62"/>
      <c r="Q62"/>
    </row>
    <row r="63" spans="1:17" s="3" customFormat="1" ht="14.25" x14ac:dyDescent="0.2">
      <c r="M63"/>
      <c r="N63"/>
      <c r="O63"/>
      <c r="P63"/>
      <c r="Q63"/>
    </row>
    <row r="64" spans="1:17" s="3" customFormat="1" ht="14.25" x14ac:dyDescent="0.2">
      <c r="M64"/>
      <c r="N64"/>
      <c r="O64"/>
      <c r="P64"/>
      <c r="Q64"/>
    </row>
    <row r="65" spans="13:17" s="3" customFormat="1" ht="14.25" x14ac:dyDescent="0.2">
      <c r="M65"/>
      <c r="N65"/>
      <c r="O65"/>
      <c r="P65"/>
      <c r="Q65"/>
    </row>
    <row r="66" spans="13:17" s="3" customFormat="1" ht="14.25" x14ac:dyDescent="0.2">
      <c r="M66"/>
      <c r="N66"/>
      <c r="O66"/>
      <c r="P66"/>
      <c r="Q66"/>
    </row>
    <row r="67" spans="13:17" s="3" customFormat="1" ht="14.25" x14ac:dyDescent="0.2">
      <c r="M67"/>
      <c r="N67"/>
      <c r="O67"/>
      <c r="P67"/>
      <c r="Q67"/>
    </row>
    <row r="68" spans="13:17" s="3" customFormat="1" ht="14.25" x14ac:dyDescent="0.2">
      <c r="M68"/>
      <c r="N68"/>
      <c r="O68"/>
      <c r="P68"/>
      <c r="Q68"/>
    </row>
    <row r="69" spans="13:17" s="3" customFormat="1" ht="14.25" x14ac:dyDescent="0.2">
      <c r="M69"/>
      <c r="N69"/>
      <c r="O69"/>
      <c r="P69"/>
      <c r="Q69"/>
    </row>
    <row r="70" spans="13:17" s="3" customFormat="1" ht="14.25" x14ac:dyDescent="0.2">
      <c r="M70"/>
      <c r="N70"/>
      <c r="O70"/>
      <c r="P70"/>
      <c r="Q70"/>
    </row>
    <row r="71" spans="13:17" s="3" customFormat="1" ht="14.25" x14ac:dyDescent="0.2">
      <c r="M71"/>
      <c r="N71"/>
      <c r="O71"/>
      <c r="P71"/>
      <c r="Q71"/>
    </row>
    <row r="72" spans="13:17" s="3" customFormat="1" ht="14.25" x14ac:dyDescent="0.2">
      <c r="M72"/>
      <c r="N72"/>
      <c r="O72"/>
      <c r="P72"/>
      <c r="Q72"/>
    </row>
    <row r="73" spans="13:17" s="3" customFormat="1" ht="14.25" x14ac:dyDescent="0.2">
      <c r="M73"/>
      <c r="N73"/>
      <c r="O73"/>
      <c r="P73"/>
      <c r="Q73"/>
    </row>
    <row r="74" spans="13:17" s="3" customFormat="1" ht="14.25" x14ac:dyDescent="0.2">
      <c r="M74"/>
      <c r="N74"/>
      <c r="O74"/>
      <c r="P74"/>
      <c r="Q74"/>
    </row>
    <row r="75" spans="13:17" s="3" customFormat="1" ht="14.25" x14ac:dyDescent="0.2">
      <c r="M75"/>
      <c r="N75"/>
      <c r="O75"/>
      <c r="P75"/>
      <c r="Q75"/>
    </row>
    <row r="76" spans="13:17" s="3" customFormat="1" ht="14.25" x14ac:dyDescent="0.2">
      <c r="M76"/>
      <c r="N76"/>
      <c r="O76"/>
      <c r="P76"/>
      <c r="Q76"/>
    </row>
    <row r="77" spans="13:17" s="3" customFormat="1" ht="14.25" x14ac:dyDescent="0.2">
      <c r="M77"/>
      <c r="N77"/>
      <c r="O77"/>
      <c r="P77"/>
      <c r="Q77"/>
    </row>
    <row r="78" spans="13:17" s="3" customFormat="1" ht="14.25" x14ac:dyDescent="0.2">
      <c r="M78"/>
      <c r="N78"/>
      <c r="O78"/>
      <c r="P78"/>
      <c r="Q78"/>
    </row>
    <row r="79" spans="13:17" s="3" customFormat="1" ht="14.25" x14ac:dyDescent="0.2">
      <c r="M79"/>
      <c r="N79"/>
      <c r="O79"/>
      <c r="P79"/>
      <c r="Q79"/>
    </row>
    <row r="80" spans="13:17" s="3" customFormat="1" ht="14.25" x14ac:dyDescent="0.2">
      <c r="M80"/>
      <c r="N80"/>
      <c r="O80"/>
      <c r="P80"/>
      <c r="Q80"/>
    </row>
    <row r="81" spans="13:17" s="3" customFormat="1" ht="14.25" x14ac:dyDescent="0.2">
      <c r="M81"/>
      <c r="N81"/>
      <c r="O81"/>
      <c r="P81"/>
      <c r="Q81"/>
    </row>
    <row r="82" spans="13:17" s="4" customFormat="1" x14ac:dyDescent="0.2">
      <c r="M82"/>
      <c r="N82"/>
      <c r="O82"/>
      <c r="P82"/>
      <c r="Q82"/>
    </row>
  </sheetData>
  <phoneticPr fontId="6" type="noConversion"/>
  <pageMargins left="0.75" right="0.75" top="1" bottom="1" header="0.5" footer="0.5"/>
  <pageSetup orientation="portrait" horizontalDpi="120" verticalDpi="72" r:id="rId1"/>
  <headerFooter alignWithMargins="0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99FD9-6427-42F9-A152-8CF1332E572E}">
  <dimension ref="A1"/>
  <sheetViews>
    <sheetView workbookViewId="0"/>
  </sheetViews>
  <sheetFormatPr defaultRowHeight="12.75" x14ac:dyDescent="0.2"/>
  <sheetData/>
  <phoneticPr fontId="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5"/>
  <dimension ref="A1:B38"/>
  <sheetViews>
    <sheetView zoomScaleNormal="100" workbookViewId="0">
      <selection activeCell="G23" sqref="G23"/>
    </sheetView>
  </sheetViews>
  <sheetFormatPr defaultRowHeight="12.75" x14ac:dyDescent="0.2"/>
  <cols>
    <col min="1" max="1" width="9.140625" bestFit="1" customWidth="1"/>
    <col min="2" max="2" width="19.85546875" customWidth="1"/>
    <col min="3" max="3" width="21.5703125" customWidth="1"/>
    <col min="4" max="4" width="5.140625" customWidth="1"/>
    <col min="5" max="5" width="9.85546875" customWidth="1"/>
    <col min="6" max="6" width="3.42578125" customWidth="1"/>
  </cols>
  <sheetData>
    <row r="1" spans="1:2" s="2" customFormat="1" ht="14.25" x14ac:dyDescent="0.2">
      <c r="A1" s="2">
        <v>4</v>
      </c>
      <c r="B1" s="2" t="s">
        <v>480</v>
      </c>
    </row>
    <row r="2" spans="1:2" s="2" customFormat="1" ht="14.25" x14ac:dyDescent="0.2">
      <c r="A2" s="2">
        <f t="shared" ref="A2:A3" ca="1" si="0">_xlfn.IFNA(_xlfn.SHEET(B2&amp;"-"&amp;B$1),0)</f>
        <v>5</v>
      </c>
      <c r="B2" s="2" t="s">
        <v>10</v>
      </c>
    </row>
    <row r="3" spans="1:2" s="2" customFormat="1" ht="14.25" x14ac:dyDescent="0.2">
      <c r="A3" s="2">
        <f t="shared" ca="1" si="0"/>
        <v>6</v>
      </c>
      <c r="B3" s="2" t="s">
        <v>493</v>
      </c>
    </row>
    <row r="38" ht="13.5" customHeight="1" x14ac:dyDescent="0.2"/>
  </sheetData>
  <sortState xmlns:xlrd2="http://schemas.microsoft.com/office/spreadsheetml/2017/richdata2" ref="A1:AV149">
    <sortCondition ref="A1:A149"/>
  </sortState>
  <phoneticPr fontId="6" type="noConversion"/>
  <pageMargins left="0.75" right="0.75" top="1" bottom="1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LD27"/>
  <sheetViews>
    <sheetView tabSelected="1" zoomScaleNormal="100" workbookViewId="0">
      <pane ySplit="6" topLeftCell="A7" activePane="bottomLeft" state="frozen"/>
      <selection activeCell="J3" sqref="J3"/>
      <selection pane="bottomLeft" activeCell="AH37" sqref="AH37"/>
    </sheetView>
  </sheetViews>
  <sheetFormatPr defaultRowHeight="12.75" x14ac:dyDescent="0.2"/>
  <cols>
    <col min="1" max="24" width="7.28515625" customWidth="1"/>
    <col min="25" max="28" width="7.140625" customWidth="1"/>
    <col min="29" max="34" width="9.5703125" customWidth="1"/>
    <col min="35" max="36" width="10.5703125" bestFit="1" customWidth="1"/>
    <col min="37" max="42" width="9.42578125" bestFit="1" customWidth="1"/>
    <col min="43" max="73" width="10.5703125" bestFit="1" customWidth="1"/>
    <col min="74" max="104" width="8.28515625" bestFit="1" customWidth="1"/>
    <col min="105" max="110" width="9.42578125" bestFit="1" customWidth="1"/>
    <col min="111" max="161" width="10.5703125" bestFit="1" customWidth="1"/>
    <col min="162" max="172" width="8.28515625" bestFit="1" customWidth="1"/>
    <col min="173" max="173" width="23" bestFit="1" customWidth="1"/>
    <col min="174" max="174" width="10.140625" bestFit="1" customWidth="1"/>
    <col min="175" max="175" width="14.85546875" bestFit="1" customWidth="1"/>
    <col min="176" max="177" width="9.42578125" bestFit="1" customWidth="1"/>
    <col min="178" max="178" width="10" bestFit="1" customWidth="1"/>
    <col min="179" max="180" width="9.42578125" bestFit="1" customWidth="1"/>
    <col min="181" max="181" width="8.85546875" bestFit="1" customWidth="1"/>
    <col min="182" max="182" width="9.42578125" bestFit="1" customWidth="1"/>
    <col min="183" max="183" width="8.85546875" bestFit="1" customWidth="1"/>
    <col min="184" max="184" width="9.42578125" bestFit="1" customWidth="1"/>
    <col min="185" max="185" width="8.28515625" bestFit="1" customWidth="1"/>
    <col min="186" max="187" width="9.42578125" bestFit="1" customWidth="1"/>
    <col min="188" max="188" width="8.28515625" bestFit="1" customWidth="1"/>
    <col min="189" max="189" width="9.42578125" bestFit="1" customWidth="1"/>
    <col min="190" max="190" width="8.28515625" bestFit="1" customWidth="1"/>
    <col min="191" max="192" width="9.42578125" bestFit="1" customWidth="1"/>
    <col min="193" max="193" width="8.28515625" bestFit="1" customWidth="1"/>
    <col min="194" max="196" width="9.42578125" bestFit="1" customWidth="1"/>
    <col min="197" max="197" width="8.28515625" bestFit="1" customWidth="1"/>
    <col min="198" max="198" width="9.42578125" bestFit="1" customWidth="1"/>
    <col min="199" max="199" width="8.28515625" bestFit="1" customWidth="1"/>
    <col min="200" max="200" width="9.42578125" bestFit="1" customWidth="1"/>
    <col min="201" max="249" width="8.28515625" bestFit="1" customWidth="1"/>
    <col min="250" max="250" width="9.42578125" bestFit="1" customWidth="1"/>
    <col min="251" max="251" width="8.28515625" bestFit="1" customWidth="1"/>
    <col min="252" max="252" width="9.42578125" bestFit="1" customWidth="1"/>
    <col min="253" max="253" width="8.28515625" bestFit="1" customWidth="1"/>
    <col min="254" max="255" width="9.42578125" bestFit="1" customWidth="1"/>
    <col min="256" max="256" width="8.28515625" bestFit="1" customWidth="1"/>
    <col min="257" max="257" width="9.42578125" bestFit="1" customWidth="1"/>
    <col min="258" max="258" width="8.28515625" bestFit="1" customWidth="1"/>
    <col min="259" max="260" width="9.42578125" bestFit="1" customWidth="1"/>
    <col min="261" max="261" width="8.28515625" bestFit="1" customWidth="1"/>
    <col min="262" max="270" width="9.42578125" bestFit="1" customWidth="1"/>
    <col min="271" max="316" width="8.28515625" bestFit="1" customWidth="1"/>
  </cols>
  <sheetData>
    <row r="1" spans="1:316" s="3" customFormat="1" ht="14.25" x14ac:dyDescent="0.2">
      <c r="A1" s="3" t="s">
        <v>160</v>
      </c>
      <c r="B1" s="3">
        <f>COUNTA(AC6:FP6)</f>
        <v>144</v>
      </c>
    </row>
    <row r="2" spans="1:316" s="3" customFormat="1" ht="14.25" x14ac:dyDescent="0.2">
      <c r="A2" s="3" t="s">
        <v>513</v>
      </c>
      <c r="B2" s="3" t="s">
        <v>156</v>
      </c>
      <c r="C2" s="3" t="str">
        <f>VLOOKUP(B2,Statistics!N:Q,2,FALSE)</f>
        <v>Yoshinaga, M. Y., et al. (2011). "Systematic fragmentation patterns of archaeal intact polar lipids by high-performance liquid chromatography/electrospray ionization ion-trap mass spectrometry." Rapid Communications in Mass Spectrometry 25(23): 3563-3574.</v>
      </c>
    </row>
    <row r="3" spans="1:316" s="3" customFormat="1" ht="14.25" x14ac:dyDescent="0.2">
      <c r="A3" s="3" t="s">
        <v>514</v>
      </c>
      <c r="B3" s="3" t="s">
        <v>512</v>
      </c>
      <c r="F3" s="5" t="str">
        <f>IFERROR(IF(VLOOKUP(E3&amp;"-Archaeol",Statistics!Q:T,2,FALSE)=0,"",VLOOKUP(E3&amp;"-Archaeol",Statistics!Q:T,2,FALSE)),"")</f>
        <v/>
      </c>
    </row>
    <row r="4" spans="1:316" s="3" customFormat="1" ht="14.25" x14ac:dyDescent="0.2"/>
    <row r="5" spans="1:316" s="3" customFormat="1" ht="14.25" x14ac:dyDescent="0.2">
      <c r="D5" s="3" t="str">
        <f>VLOOKUP(B2,Statistics!N:Q,4,FALSE)</f>
        <v>C3H8O3</v>
      </c>
      <c r="E5" s="5"/>
      <c r="F5" s="5"/>
      <c r="FQ5" s="6"/>
      <c r="FR5" s="6"/>
      <c r="FS5" s="6"/>
      <c r="FT5" s="6"/>
      <c r="FU5" s="6"/>
      <c r="FV5" s="6"/>
      <c r="FW5" s="6"/>
      <c r="FX5" s="6"/>
      <c r="FY5" s="6"/>
      <c r="FZ5" s="6"/>
      <c r="GA5" s="6"/>
      <c r="GB5" s="6"/>
      <c r="GC5" s="6"/>
      <c r="GD5" s="6"/>
      <c r="GE5" s="6"/>
      <c r="GF5" s="6"/>
      <c r="GG5" s="6"/>
      <c r="GH5" s="6"/>
      <c r="GI5" s="6"/>
      <c r="GJ5" s="6"/>
      <c r="GK5" s="6"/>
      <c r="GL5" s="6"/>
      <c r="GM5" s="6"/>
      <c r="GN5" s="6"/>
      <c r="GO5" s="6"/>
      <c r="GP5" s="6"/>
      <c r="GQ5" s="6"/>
      <c r="GR5" s="6"/>
      <c r="GS5" s="6"/>
      <c r="GT5" s="6"/>
      <c r="GU5" s="6"/>
      <c r="GV5" s="6"/>
      <c r="GW5" s="6"/>
      <c r="GX5" s="6"/>
      <c r="GY5" s="6"/>
      <c r="GZ5" s="6"/>
      <c r="HA5" s="6"/>
      <c r="HB5" s="6"/>
      <c r="HC5" s="6"/>
      <c r="HD5" s="6"/>
      <c r="HE5" s="6"/>
      <c r="HF5" s="6"/>
      <c r="HG5" s="6"/>
      <c r="HH5" s="6"/>
      <c r="HI5" s="6"/>
      <c r="HJ5" s="6"/>
      <c r="HK5" s="6"/>
      <c r="HL5" s="6"/>
      <c r="HM5" s="6"/>
      <c r="HN5" s="6"/>
      <c r="HO5" s="6"/>
      <c r="HP5" s="6"/>
      <c r="HQ5" s="6"/>
      <c r="HR5" s="6"/>
      <c r="HS5" s="6"/>
      <c r="HT5" s="6"/>
      <c r="HU5" s="6"/>
      <c r="HV5" s="6"/>
      <c r="HW5" s="6"/>
      <c r="HX5" s="6"/>
      <c r="HY5" s="6"/>
      <c r="HZ5" s="6"/>
      <c r="IA5" s="6"/>
      <c r="IB5" s="6"/>
      <c r="IC5" s="6"/>
      <c r="ID5" s="6"/>
      <c r="IE5" s="6"/>
      <c r="IF5" s="6"/>
      <c r="IG5" s="6"/>
      <c r="IH5" s="6"/>
      <c r="II5" s="6"/>
      <c r="IJ5" s="6"/>
      <c r="IK5" s="6"/>
      <c r="IL5" s="6"/>
      <c r="IM5" s="6"/>
      <c r="IN5" s="6"/>
      <c r="IO5" s="6"/>
      <c r="IP5" s="6"/>
      <c r="IQ5" s="6"/>
      <c r="IR5" s="6"/>
      <c r="IS5" s="6"/>
      <c r="IT5" s="6"/>
      <c r="IU5" s="6"/>
      <c r="IV5" s="6"/>
      <c r="IW5" s="6"/>
      <c r="IX5" s="6"/>
      <c r="IY5" s="6"/>
      <c r="IZ5" s="6"/>
      <c r="JA5" s="6"/>
      <c r="JB5" s="6"/>
      <c r="JC5" s="6"/>
      <c r="JD5" s="6"/>
      <c r="JE5" s="6"/>
      <c r="JF5" s="6"/>
      <c r="JG5" s="6"/>
      <c r="JH5" s="6"/>
      <c r="JI5" s="6"/>
      <c r="JJ5" s="6"/>
      <c r="JK5" s="6"/>
      <c r="JL5" s="6"/>
      <c r="JM5" s="6"/>
      <c r="JN5" s="6"/>
      <c r="JO5" s="6"/>
      <c r="JP5" s="6"/>
      <c r="JQ5" s="6"/>
      <c r="JR5" s="6"/>
      <c r="JS5" s="6"/>
      <c r="JT5" s="6"/>
      <c r="JU5" s="6"/>
      <c r="JV5" s="6"/>
      <c r="JW5" s="6"/>
      <c r="JX5" s="6"/>
      <c r="JY5" s="6"/>
      <c r="JZ5" s="6"/>
      <c r="KA5" s="6"/>
      <c r="KB5" s="6"/>
      <c r="KC5" s="6"/>
      <c r="KD5" s="6"/>
      <c r="KE5" s="6"/>
      <c r="KF5" s="6"/>
      <c r="KG5" s="6"/>
      <c r="KH5" s="6"/>
      <c r="KI5" s="6"/>
      <c r="KJ5" s="6"/>
      <c r="KK5" s="6"/>
      <c r="KL5" s="6"/>
      <c r="KM5" s="6"/>
      <c r="KN5" s="6"/>
      <c r="KO5" s="6"/>
      <c r="KP5" s="6"/>
      <c r="KQ5" s="6"/>
      <c r="KR5" s="6"/>
      <c r="KS5" s="6"/>
      <c r="KT5" s="6"/>
      <c r="KU5" s="6"/>
      <c r="KV5" s="6"/>
      <c r="KW5" s="6"/>
      <c r="KX5" s="6"/>
      <c r="KY5" s="6"/>
      <c r="KZ5" s="6"/>
      <c r="LA5" s="6"/>
      <c r="LB5" s="6"/>
      <c r="LC5" s="6"/>
      <c r="LD5" s="6"/>
    </row>
    <row r="6" spans="1:316" s="15" customFormat="1" ht="15" x14ac:dyDescent="0.2">
      <c r="A6" s="7" t="s">
        <v>6</v>
      </c>
      <c r="B6" s="8" t="s">
        <v>7</v>
      </c>
      <c r="C6" s="7" t="s">
        <v>158</v>
      </c>
      <c r="D6" s="7" t="s">
        <v>491</v>
      </c>
      <c r="E6" s="7" t="s">
        <v>157</v>
      </c>
      <c r="F6" s="9" t="s">
        <v>507</v>
      </c>
      <c r="G6" s="10" t="s">
        <v>504</v>
      </c>
      <c r="H6" s="9" t="s">
        <v>511</v>
      </c>
      <c r="I6" s="9" t="s">
        <v>502</v>
      </c>
      <c r="J6" s="10" t="s">
        <v>177</v>
      </c>
      <c r="K6" s="9" t="s">
        <v>509</v>
      </c>
      <c r="L6" s="11" t="s">
        <v>227</v>
      </c>
      <c r="M6" s="7" t="s">
        <v>498</v>
      </c>
      <c r="N6" s="7" t="s">
        <v>198</v>
      </c>
      <c r="O6" s="7" t="s">
        <v>173</v>
      </c>
      <c r="P6" s="7" t="s">
        <v>174</v>
      </c>
      <c r="Q6" s="7" t="s">
        <v>175</v>
      </c>
      <c r="R6" s="7" t="s">
        <v>176</v>
      </c>
      <c r="S6" s="7" t="s">
        <v>9</v>
      </c>
      <c r="T6" s="7" t="s">
        <v>11</v>
      </c>
      <c r="U6" s="7" t="s">
        <v>13</v>
      </c>
      <c r="V6" s="7" t="s">
        <v>12</v>
      </c>
      <c r="W6" s="7" t="s">
        <v>14</v>
      </c>
      <c r="X6" s="7" t="s">
        <v>0</v>
      </c>
      <c r="Y6" s="12" t="s">
        <v>2</v>
      </c>
      <c r="Z6" s="12" t="s">
        <v>4</v>
      </c>
      <c r="AA6" s="12" t="s">
        <v>3</v>
      </c>
      <c r="AB6" s="12" t="s">
        <v>5</v>
      </c>
      <c r="AC6" s="13" t="s">
        <v>1</v>
      </c>
      <c r="AD6" s="13" t="s">
        <v>159</v>
      </c>
      <c r="AE6" s="13" t="s">
        <v>497</v>
      </c>
      <c r="AF6" s="13" t="s">
        <v>155</v>
      </c>
      <c r="AG6" s="14" t="s">
        <v>17</v>
      </c>
      <c r="AH6" s="14" t="s">
        <v>18</v>
      </c>
      <c r="AI6" s="13" t="s">
        <v>15</v>
      </c>
      <c r="AJ6" s="13" t="s">
        <v>16</v>
      </c>
      <c r="AK6" s="13" t="s">
        <v>19</v>
      </c>
      <c r="AL6" s="13" t="s">
        <v>20</v>
      </c>
      <c r="AM6" s="13" t="s">
        <v>21</v>
      </c>
      <c r="AN6" s="13" t="s">
        <v>22</v>
      </c>
      <c r="AO6" s="13" t="s">
        <v>23</v>
      </c>
      <c r="AP6" s="13" t="s">
        <v>24</v>
      </c>
      <c r="AQ6" s="13" t="s">
        <v>25</v>
      </c>
      <c r="AR6" s="13" t="s">
        <v>26</v>
      </c>
      <c r="AS6" s="13" t="s">
        <v>27</v>
      </c>
      <c r="AT6" s="13" t="s">
        <v>28</v>
      </c>
      <c r="AU6" s="13" t="s">
        <v>29</v>
      </c>
      <c r="AV6" s="13" t="s">
        <v>30</v>
      </c>
      <c r="AW6" s="13" t="s">
        <v>31</v>
      </c>
      <c r="AX6" s="13" t="s">
        <v>32</v>
      </c>
      <c r="AY6" s="13" t="s">
        <v>33</v>
      </c>
      <c r="AZ6" s="13" t="s">
        <v>34</v>
      </c>
      <c r="BA6" s="13" t="s">
        <v>35</v>
      </c>
      <c r="BB6" s="13" t="s">
        <v>36</v>
      </c>
      <c r="BC6" s="13" t="s">
        <v>37</v>
      </c>
      <c r="BD6" s="13" t="s">
        <v>38</v>
      </c>
      <c r="BE6" s="13" t="s">
        <v>39</v>
      </c>
      <c r="BF6" s="13" t="s">
        <v>40</v>
      </c>
      <c r="BG6" s="13" t="s">
        <v>41</v>
      </c>
      <c r="BH6" s="13" t="s">
        <v>42</v>
      </c>
      <c r="BI6" s="13" t="s">
        <v>43</v>
      </c>
      <c r="BJ6" s="13" t="s">
        <v>44</v>
      </c>
      <c r="BK6" s="13" t="s">
        <v>45</v>
      </c>
      <c r="BL6" s="13" t="s">
        <v>46</v>
      </c>
      <c r="BM6" s="13" t="s">
        <v>47</v>
      </c>
      <c r="BN6" s="13" t="s">
        <v>48</v>
      </c>
      <c r="BO6" s="13" t="s">
        <v>49</v>
      </c>
      <c r="BP6" s="13" t="s">
        <v>50</v>
      </c>
      <c r="BQ6" s="13" t="s">
        <v>51</v>
      </c>
      <c r="BR6" s="13" t="s">
        <v>52</v>
      </c>
      <c r="BS6" s="13" t="s">
        <v>53</v>
      </c>
      <c r="BT6" s="13" t="s">
        <v>54</v>
      </c>
      <c r="BU6" s="13" t="s">
        <v>55</v>
      </c>
      <c r="BV6" s="13" t="s">
        <v>56</v>
      </c>
      <c r="BW6" s="13" t="s">
        <v>57</v>
      </c>
      <c r="BX6" s="13" t="s">
        <v>58</v>
      </c>
      <c r="BY6" s="13" t="s">
        <v>59</v>
      </c>
      <c r="BZ6" s="13" t="s">
        <v>60</v>
      </c>
      <c r="CA6" s="13" t="s">
        <v>61</v>
      </c>
      <c r="CB6" s="13" t="s">
        <v>62</v>
      </c>
      <c r="CC6" s="13" t="s">
        <v>63</v>
      </c>
      <c r="CD6" s="13" t="s">
        <v>64</v>
      </c>
      <c r="CE6" s="13" t="s">
        <v>65</v>
      </c>
      <c r="CF6" s="13" t="s">
        <v>66</v>
      </c>
      <c r="CG6" s="13" t="s">
        <v>67</v>
      </c>
      <c r="CH6" s="13" t="s">
        <v>68</v>
      </c>
      <c r="CI6" s="13" t="s">
        <v>69</v>
      </c>
      <c r="CJ6" s="13" t="s">
        <v>70</v>
      </c>
      <c r="CK6" s="13" t="s">
        <v>71</v>
      </c>
      <c r="CL6" s="13" t="s">
        <v>72</v>
      </c>
      <c r="CM6" s="13" t="s">
        <v>73</v>
      </c>
      <c r="CN6" s="13" t="s">
        <v>74</v>
      </c>
      <c r="CO6" s="13" t="s">
        <v>75</v>
      </c>
      <c r="CP6" s="13" t="s">
        <v>76</v>
      </c>
      <c r="CQ6" s="13" t="s">
        <v>77</v>
      </c>
      <c r="CR6" s="13" t="s">
        <v>78</v>
      </c>
      <c r="CS6" s="13" t="s">
        <v>79</v>
      </c>
      <c r="CT6" s="13" t="s">
        <v>80</v>
      </c>
      <c r="CU6" s="13" t="s">
        <v>81</v>
      </c>
      <c r="CV6" s="13" t="s">
        <v>82</v>
      </c>
      <c r="CW6" s="13" t="s">
        <v>83</v>
      </c>
      <c r="CX6" s="13" t="s">
        <v>84</v>
      </c>
      <c r="CY6" s="13" t="s">
        <v>85</v>
      </c>
      <c r="CZ6" s="13" t="s">
        <v>86</v>
      </c>
      <c r="DA6" s="13" t="s">
        <v>87</v>
      </c>
      <c r="DB6" s="13" t="s">
        <v>88</v>
      </c>
      <c r="DC6" s="13" t="s">
        <v>89</v>
      </c>
      <c r="DD6" s="13" t="s">
        <v>90</v>
      </c>
      <c r="DE6" s="13" t="s">
        <v>91</v>
      </c>
      <c r="DF6" s="13" t="s">
        <v>92</v>
      </c>
      <c r="DG6" s="13" t="s">
        <v>93</v>
      </c>
      <c r="DH6" s="13" t="s">
        <v>94</v>
      </c>
      <c r="DI6" s="13" t="s">
        <v>95</v>
      </c>
      <c r="DJ6" s="13" t="s">
        <v>96</v>
      </c>
      <c r="DK6" s="13" t="s">
        <v>97</v>
      </c>
      <c r="DL6" s="13" t="s">
        <v>98</v>
      </c>
      <c r="DM6" s="13" t="s">
        <v>99</v>
      </c>
      <c r="DN6" s="13" t="s">
        <v>100</v>
      </c>
      <c r="DO6" s="13" t="s">
        <v>101</v>
      </c>
      <c r="DP6" s="13" t="s">
        <v>102</v>
      </c>
      <c r="DQ6" s="13" t="s">
        <v>103</v>
      </c>
      <c r="DR6" s="13" t="s">
        <v>104</v>
      </c>
      <c r="DS6" s="13" t="s">
        <v>105</v>
      </c>
      <c r="DT6" s="13" t="s">
        <v>106</v>
      </c>
      <c r="DU6" s="13" t="s">
        <v>107</v>
      </c>
      <c r="DV6" s="13" t="s">
        <v>108</v>
      </c>
      <c r="DW6" s="13" t="s">
        <v>109</v>
      </c>
      <c r="DX6" s="13" t="s">
        <v>110</v>
      </c>
      <c r="DY6" s="13" t="s">
        <v>111</v>
      </c>
      <c r="DZ6" s="13" t="s">
        <v>112</v>
      </c>
      <c r="EA6" s="13" t="s">
        <v>113</v>
      </c>
      <c r="EB6" s="13" t="s">
        <v>114</v>
      </c>
      <c r="EC6" s="13" t="s">
        <v>115</v>
      </c>
      <c r="ED6" s="13" t="s">
        <v>116</v>
      </c>
      <c r="EE6" s="13" t="s">
        <v>117</v>
      </c>
      <c r="EF6" s="13" t="s">
        <v>118</v>
      </c>
      <c r="EG6" s="13" t="s">
        <v>119</v>
      </c>
      <c r="EH6" s="13" t="s">
        <v>120</v>
      </c>
      <c r="EI6" s="13" t="s">
        <v>121</v>
      </c>
      <c r="EJ6" s="13" t="s">
        <v>122</v>
      </c>
      <c r="EK6" s="13" t="s">
        <v>123</v>
      </c>
      <c r="EL6" s="13" t="s">
        <v>124</v>
      </c>
      <c r="EM6" s="13" t="s">
        <v>125</v>
      </c>
      <c r="EN6" s="13" t="s">
        <v>126</v>
      </c>
      <c r="EO6" s="13" t="s">
        <v>127</v>
      </c>
      <c r="EP6" s="13" t="s">
        <v>128</v>
      </c>
      <c r="EQ6" s="13" t="s">
        <v>129</v>
      </c>
      <c r="ER6" s="13" t="s">
        <v>130</v>
      </c>
      <c r="ES6" s="13" t="s">
        <v>131</v>
      </c>
      <c r="ET6" s="13" t="s">
        <v>132</v>
      </c>
      <c r="EU6" s="13" t="s">
        <v>133</v>
      </c>
      <c r="EV6" s="13" t="s">
        <v>134</v>
      </c>
      <c r="EW6" s="13" t="s">
        <v>135</v>
      </c>
      <c r="EX6" s="13" t="s">
        <v>136</v>
      </c>
      <c r="EY6" s="13" t="s">
        <v>137</v>
      </c>
      <c r="EZ6" s="13" t="s">
        <v>138</v>
      </c>
      <c r="FA6" s="13" t="s">
        <v>139</v>
      </c>
      <c r="FB6" s="13" t="s">
        <v>140</v>
      </c>
      <c r="FC6" s="13" t="s">
        <v>141</v>
      </c>
      <c r="FD6" s="13" t="s">
        <v>142</v>
      </c>
      <c r="FE6" s="13" t="s">
        <v>143</v>
      </c>
      <c r="FF6" s="13" t="s">
        <v>144</v>
      </c>
      <c r="FG6" s="13" t="s">
        <v>145</v>
      </c>
      <c r="FH6" s="13" t="s">
        <v>146</v>
      </c>
      <c r="FI6" s="13" t="s">
        <v>147</v>
      </c>
      <c r="FJ6" s="13" t="s">
        <v>148</v>
      </c>
      <c r="FK6" s="13" t="s">
        <v>149</v>
      </c>
      <c r="FL6" s="13" t="s">
        <v>150</v>
      </c>
      <c r="FM6" s="13" t="s">
        <v>151</v>
      </c>
      <c r="FN6" s="13" t="s">
        <v>152</v>
      </c>
      <c r="FO6" s="13" t="s">
        <v>153</v>
      </c>
      <c r="FP6" s="13" t="s">
        <v>154</v>
      </c>
      <c r="FQ6" s="7" t="s">
        <v>210</v>
      </c>
      <c r="FR6" s="7" t="s">
        <v>213</v>
      </c>
      <c r="FS6" s="7" t="s">
        <v>515</v>
      </c>
      <c r="FT6" s="7" t="s">
        <v>219</v>
      </c>
      <c r="FU6" s="7" t="s">
        <v>220</v>
      </c>
      <c r="FV6" s="7" t="s">
        <v>221</v>
      </c>
      <c r="FW6" s="7" t="s">
        <v>516</v>
      </c>
      <c r="FX6" s="7" t="s">
        <v>517</v>
      </c>
      <c r="FY6" s="7" t="s">
        <v>518</v>
      </c>
      <c r="FZ6" s="7" t="s">
        <v>519</v>
      </c>
      <c r="GA6" s="7" t="s">
        <v>520</v>
      </c>
      <c r="GB6" s="7" t="s">
        <v>521</v>
      </c>
      <c r="GC6" s="7" t="s">
        <v>522</v>
      </c>
      <c r="GD6" s="7" t="s">
        <v>523</v>
      </c>
      <c r="GE6" s="7" t="s">
        <v>524</v>
      </c>
      <c r="GF6" s="7" t="s">
        <v>525</v>
      </c>
      <c r="GG6" s="7" t="s">
        <v>526</v>
      </c>
      <c r="GH6" s="7" t="s">
        <v>527</v>
      </c>
      <c r="GI6" s="7" t="s">
        <v>528</v>
      </c>
      <c r="GJ6" s="7" t="s">
        <v>529</v>
      </c>
      <c r="GK6" s="7" t="s">
        <v>530</v>
      </c>
      <c r="GL6" s="7" t="s">
        <v>531</v>
      </c>
      <c r="GM6" s="7" t="s">
        <v>532</v>
      </c>
      <c r="GN6" s="7" t="s">
        <v>533</v>
      </c>
      <c r="GO6" s="7" t="s">
        <v>534</v>
      </c>
      <c r="GP6" s="7" t="s">
        <v>535</v>
      </c>
      <c r="GQ6" s="7" t="s">
        <v>536</v>
      </c>
      <c r="GR6" s="7" t="s">
        <v>537</v>
      </c>
      <c r="GS6" s="7" t="s">
        <v>538</v>
      </c>
      <c r="GT6" s="7" t="s">
        <v>539</v>
      </c>
      <c r="GU6" s="7" t="s">
        <v>540</v>
      </c>
      <c r="GV6" s="7" t="s">
        <v>541</v>
      </c>
      <c r="GW6" s="7" t="s">
        <v>542</v>
      </c>
      <c r="GX6" s="7" t="s">
        <v>543</v>
      </c>
      <c r="GY6" s="7" t="s">
        <v>544</v>
      </c>
      <c r="GZ6" s="7" t="s">
        <v>545</v>
      </c>
      <c r="HA6" s="7" t="s">
        <v>546</v>
      </c>
      <c r="HB6" s="7" t="s">
        <v>547</v>
      </c>
      <c r="HC6" s="7" t="s">
        <v>548</v>
      </c>
      <c r="HD6" s="7" t="s">
        <v>549</v>
      </c>
      <c r="HE6" s="7" t="s">
        <v>550</v>
      </c>
      <c r="HF6" s="7" t="s">
        <v>551</v>
      </c>
      <c r="HG6" s="7" t="s">
        <v>552</v>
      </c>
      <c r="HH6" s="7" t="s">
        <v>553</v>
      </c>
      <c r="HI6" s="7" t="s">
        <v>554</v>
      </c>
      <c r="HJ6" s="7" t="s">
        <v>555</v>
      </c>
      <c r="HK6" s="7" t="s">
        <v>556</v>
      </c>
      <c r="HL6" s="7" t="s">
        <v>557</v>
      </c>
      <c r="HM6" s="7" t="s">
        <v>558</v>
      </c>
      <c r="HN6" s="7" t="s">
        <v>559</v>
      </c>
      <c r="HO6" s="7" t="s">
        <v>560</v>
      </c>
      <c r="HP6" s="7" t="s">
        <v>561</v>
      </c>
      <c r="HQ6" s="7" t="s">
        <v>562</v>
      </c>
      <c r="HR6" s="7" t="s">
        <v>563</v>
      </c>
      <c r="HS6" s="7" t="s">
        <v>564</v>
      </c>
      <c r="HT6" s="7" t="s">
        <v>565</v>
      </c>
      <c r="HU6" s="7" t="s">
        <v>566</v>
      </c>
      <c r="HV6" s="7" t="s">
        <v>567</v>
      </c>
      <c r="HW6" s="7" t="s">
        <v>568</v>
      </c>
      <c r="HX6" s="7" t="s">
        <v>569</v>
      </c>
      <c r="HY6" s="7" t="s">
        <v>570</v>
      </c>
      <c r="HZ6" s="7" t="s">
        <v>571</v>
      </c>
      <c r="IA6" s="7" t="s">
        <v>572</v>
      </c>
      <c r="IB6" s="7" t="s">
        <v>573</v>
      </c>
      <c r="IC6" s="7" t="s">
        <v>574</v>
      </c>
      <c r="ID6" s="7" t="s">
        <v>575</v>
      </c>
      <c r="IE6" s="7" t="s">
        <v>576</v>
      </c>
      <c r="IF6" s="7" t="s">
        <v>577</v>
      </c>
      <c r="IG6" s="7" t="s">
        <v>578</v>
      </c>
      <c r="IH6" s="7" t="s">
        <v>579</v>
      </c>
      <c r="II6" s="7" t="s">
        <v>580</v>
      </c>
      <c r="IJ6" s="7" t="s">
        <v>581</v>
      </c>
      <c r="IK6" s="7" t="s">
        <v>582</v>
      </c>
      <c r="IL6" s="7" t="s">
        <v>583</v>
      </c>
      <c r="IM6" s="7" t="s">
        <v>584</v>
      </c>
      <c r="IN6" s="7" t="s">
        <v>585</v>
      </c>
      <c r="IO6" s="7" t="s">
        <v>586</v>
      </c>
      <c r="IP6" s="7" t="s">
        <v>587</v>
      </c>
      <c r="IQ6" s="7" t="s">
        <v>588</v>
      </c>
      <c r="IR6" s="7" t="s">
        <v>589</v>
      </c>
      <c r="IS6" s="7" t="s">
        <v>590</v>
      </c>
      <c r="IT6" s="7" t="s">
        <v>591</v>
      </c>
      <c r="IU6" s="7" t="s">
        <v>592</v>
      </c>
      <c r="IV6" s="7" t="s">
        <v>593</v>
      </c>
      <c r="IW6" s="7" t="s">
        <v>594</v>
      </c>
      <c r="IX6" s="7" t="s">
        <v>595</v>
      </c>
      <c r="IY6" s="7" t="s">
        <v>596</v>
      </c>
      <c r="IZ6" s="7" t="s">
        <v>597</v>
      </c>
      <c r="JA6" s="7" t="s">
        <v>598</v>
      </c>
      <c r="JB6" s="7" t="s">
        <v>599</v>
      </c>
      <c r="JC6" s="7" t="s">
        <v>600</v>
      </c>
      <c r="JD6" s="7" t="s">
        <v>601</v>
      </c>
      <c r="JE6" s="7" t="s">
        <v>602</v>
      </c>
      <c r="JF6" s="7" t="s">
        <v>603</v>
      </c>
      <c r="JG6" s="7" t="s">
        <v>604</v>
      </c>
      <c r="JH6" s="7" t="s">
        <v>605</v>
      </c>
      <c r="JI6" s="7" t="s">
        <v>606</v>
      </c>
      <c r="JJ6" s="7" t="s">
        <v>607</v>
      </c>
      <c r="JK6" s="7" t="s">
        <v>608</v>
      </c>
      <c r="JL6" s="7" t="s">
        <v>609</v>
      </c>
      <c r="JM6" s="7" t="s">
        <v>610</v>
      </c>
      <c r="JN6" s="7" t="s">
        <v>611</v>
      </c>
      <c r="JO6" s="7" t="s">
        <v>612</v>
      </c>
      <c r="JP6" s="7" t="s">
        <v>613</v>
      </c>
      <c r="JQ6" s="7" t="s">
        <v>614</v>
      </c>
      <c r="JR6" s="7" t="s">
        <v>615</v>
      </c>
      <c r="JS6" s="7" t="s">
        <v>616</v>
      </c>
      <c r="JT6" s="7" t="s">
        <v>617</v>
      </c>
      <c r="JU6" s="7" t="s">
        <v>618</v>
      </c>
      <c r="JV6" s="7" t="s">
        <v>619</v>
      </c>
      <c r="JW6" s="7" t="s">
        <v>620</v>
      </c>
      <c r="JX6" s="7" t="s">
        <v>621</v>
      </c>
      <c r="JY6" s="7" t="s">
        <v>622</v>
      </c>
      <c r="JZ6" s="7" t="s">
        <v>623</v>
      </c>
      <c r="KA6" s="7" t="s">
        <v>624</v>
      </c>
      <c r="KB6" s="7" t="s">
        <v>625</v>
      </c>
      <c r="KC6" s="7" t="s">
        <v>626</v>
      </c>
      <c r="KD6" s="7" t="s">
        <v>627</v>
      </c>
      <c r="KE6" s="7" t="s">
        <v>628</v>
      </c>
      <c r="KF6" s="7" t="s">
        <v>629</v>
      </c>
      <c r="KG6" s="7" t="s">
        <v>630</v>
      </c>
      <c r="KH6" s="7" t="s">
        <v>631</v>
      </c>
      <c r="KI6" s="7" t="s">
        <v>632</v>
      </c>
      <c r="KJ6" s="7" t="s">
        <v>633</v>
      </c>
      <c r="KK6" s="7" t="s">
        <v>634</v>
      </c>
      <c r="KL6" s="7" t="s">
        <v>635</v>
      </c>
      <c r="KM6" s="7" t="s">
        <v>636</v>
      </c>
      <c r="KN6" s="7" t="s">
        <v>637</v>
      </c>
      <c r="KO6" s="7" t="s">
        <v>638</v>
      </c>
      <c r="KP6" s="7" t="s">
        <v>639</v>
      </c>
      <c r="KQ6" s="7" t="s">
        <v>640</v>
      </c>
      <c r="KR6" s="7" t="s">
        <v>641</v>
      </c>
      <c r="KS6" s="7" t="s">
        <v>642</v>
      </c>
      <c r="KT6" s="7" t="s">
        <v>643</v>
      </c>
      <c r="KU6" s="7" t="s">
        <v>644</v>
      </c>
      <c r="KV6" s="7" t="s">
        <v>645</v>
      </c>
      <c r="KW6" s="7" t="s">
        <v>646</v>
      </c>
      <c r="KX6" s="7" t="s">
        <v>647</v>
      </c>
      <c r="KY6" s="7" t="s">
        <v>648</v>
      </c>
      <c r="KZ6" s="7" t="s">
        <v>649</v>
      </c>
      <c r="LA6" s="7" t="s">
        <v>650</v>
      </c>
      <c r="LB6" s="7" t="s">
        <v>651</v>
      </c>
      <c r="LC6" s="7" t="s">
        <v>652</v>
      </c>
      <c r="LD6" s="7" t="s">
        <v>653</v>
      </c>
    </row>
    <row r="7" spans="1:316" x14ac:dyDescent="0.2">
      <c r="A7">
        <v>1</v>
      </c>
      <c r="B7" t="s">
        <v>683</v>
      </c>
      <c r="C7" t="s">
        <v>228</v>
      </c>
      <c r="D7" t="s">
        <v>229</v>
      </c>
      <c r="E7" t="s">
        <v>228</v>
      </c>
      <c r="F7" t="s">
        <v>178</v>
      </c>
      <c r="G7" t="s">
        <v>162</v>
      </c>
      <c r="H7">
        <v>-1</v>
      </c>
      <c r="I7">
        <v>12.01</v>
      </c>
      <c r="J7">
        <v>15.060837744666664</v>
      </c>
      <c r="K7" t="s">
        <v>188</v>
      </c>
      <c r="L7">
        <v>0</v>
      </c>
      <c r="M7">
        <v>1</v>
      </c>
      <c r="N7" t="s">
        <v>228</v>
      </c>
      <c r="O7">
        <v>0</v>
      </c>
      <c r="P7">
        <v>0</v>
      </c>
      <c r="Q7">
        <v>0</v>
      </c>
      <c r="R7">
        <v>0</v>
      </c>
      <c r="S7">
        <v>0</v>
      </c>
      <c r="T7">
        <v>20</v>
      </c>
      <c r="U7">
        <v>0</v>
      </c>
      <c r="V7">
        <v>20</v>
      </c>
      <c r="W7">
        <v>0</v>
      </c>
      <c r="X7" t="s">
        <v>228</v>
      </c>
      <c r="Y7">
        <v>372.36054669239996</v>
      </c>
      <c r="Z7">
        <v>354.34998669239997</v>
      </c>
      <c r="AA7">
        <v>372.36054669239996</v>
      </c>
      <c r="AB7">
        <v>354.34998669239997</v>
      </c>
      <c r="AC7">
        <v>653.68116669239998</v>
      </c>
      <c r="AD7">
        <v>373.36816540439997</v>
      </c>
      <c r="AE7">
        <v>355.3576007204</v>
      </c>
      <c r="AF7">
        <v>0</v>
      </c>
      <c r="AG7" t="s">
        <v>684</v>
      </c>
      <c r="AH7">
        <v>75.044604464599999</v>
      </c>
      <c r="AI7">
        <v>281.32082128799999</v>
      </c>
      <c r="AJ7">
        <v>281.32082128799999</v>
      </c>
      <c r="AK7">
        <v>55.0547752254</v>
      </c>
      <c r="AL7">
        <v>57.070425289800006</v>
      </c>
      <c r="AM7">
        <v>69.070425289799999</v>
      </c>
      <c r="AN7">
        <v>71.086075354200005</v>
      </c>
      <c r="AO7">
        <v>83.086075354200005</v>
      </c>
      <c r="AP7">
        <v>85.101725418599997</v>
      </c>
      <c r="AQ7">
        <v>97.101725418599997</v>
      </c>
      <c r="AR7">
        <v>99.117375483000004</v>
      </c>
      <c r="AS7">
        <v>111.117375483</v>
      </c>
      <c r="AT7">
        <v>113.13302554740001</v>
      </c>
      <c r="AU7">
        <v>125.13302554740001</v>
      </c>
      <c r="AV7">
        <v>127.1486756118</v>
      </c>
      <c r="AW7">
        <v>139.1486756118</v>
      </c>
      <c r="AX7">
        <v>141.16432567620001</v>
      </c>
      <c r="AY7">
        <v>153.16432567620001</v>
      </c>
      <c r="AZ7">
        <v>155.17997574060001</v>
      </c>
      <c r="BA7">
        <v>167.17997574060001</v>
      </c>
      <c r="BB7">
        <v>169.19562580499999</v>
      </c>
      <c r="BC7">
        <v>181.19562580499999</v>
      </c>
      <c r="BD7">
        <v>183.2112758694</v>
      </c>
      <c r="BE7">
        <v>197.2269259338</v>
      </c>
      <c r="BF7">
        <v>211.24257599820001</v>
      </c>
      <c r="BG7">
        <v>225.25822606260002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55.0547752254</v>
      </c>
      <c r="DB7">
        <v>57.070425289800006</v>
      </c>
      <c r="DC7">
        <v>69.070425289799999</v>
      </c>
      <c r="DD7">
        <v>71.086075354200005</v>
      </c>
      <c r="DE7">
        <v>83.086075354200005</v>
      </c>
      <c r="DF7">
        <v>85.101725418599997</v>
      </c>
      <c r="DG7">
        <v>97.101725418599997</v>
      </c>
      <c r="DH7">
        <v>99.117375483000004</v>
      </c>
      <c r="DI7">
        <v>111.117375483</v>
      </c>
      <c r="DJ7">
        <v>113.13302554740001</v>
      </c>
      <c r="DK7">
        <v>125.13302554740001</v>
      </c>
      <c r="DL7">
        <v>127.1486756118</v>
      </c>
      <c r="DM7">
        <v>139.1486756118</v>
      </c>
      <c r="DN7">
        <v>141.16432567620001</v>
      </c>
      <c r="DO7">
        <v>153.16432567620001</v>
      </c>
      <c r="DP7">
        <v>155.17997574060001</v>
      </c>
      <c r="DQ7">
        <v>167.17997574060001</v>
      </c>
      <c r="DR7">
        <v>169.19562580499999</v>
      </c>
      <c r="DS7">
        <v>181.19562580499999</v>
      </c>
      <c r="DT7">
        <v>183.2112758694</v>
      </c>
      <c r="DU7">
        <v>197.2269259338</v>
      </c>
      <c r="DV7">
        <v>211.24257599820001</v>
      </c>
      <c r="DW7">
        <v>225.25822606260002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5</v>
      </c>
      <c r="FR7">
        <v>10</v>
      </c>
      <c r="FS7">
        <v>5</v>
      </c>
      <c r="FT7">
        <v>0</v>
      </c>
      <c r="FU7">
        <v>10</v>
      </c>
      <c r="FV7">
        <v>5</v>
      </c>
      <c r="FW7">
        <v>1</v>
      </c>
      <c r="FX7">
        <v>1</v>
      </c>
      <c r="FY7">
        <v>1</v>
      </c>
      <c r="FZ7">
        <v>26</v>
      </c>
      <c r="GA7">
        <v>1.0338291173353296</v>
      </c>
      <c r="GB7">
        <v>51.049562682215743</v>
      </c>
      <c r="GC7">
        <v>1.5412658773652741</v>
      </c>
      <c r="GD7">
        <v>91.396501457725947</v>
      </c>
      <c r="GE7">
        <v>3.7401585041617</v>
      </c>
      <c r="GF7">
        <v>2.3381924198250732</v>
      </c>
      <c r="GG7">
        <v>9.6602540378443855</v>
      </c>
      <c r="GH7">
        <v>4.1720116618075798</v>
      </c>
      <c r="GI7">
        <v>7.0823732062775377</v>
      </c>
      <c r="GJ7">
        <v>10.311044327573251</v>
      </c>
      <c r="GK7">
        <v>5.0747148627992109</v>
      </c>
      <c r="GL7">
        <v>13.772351615326819</v>
      </c>
      <c r="GM7">
        <v>3.5660011963983362</v>
      </c>
      <c r="GN7">
        <v>18</v>
      </c>
      <c r="GO7">
        <v>2.4849543960638525</v>
      </c>
      <c r="GP7">
        <v>13.772351615326819</v>
      </c>
      <c r="GQ7">
        <v>1.7602966507846922</v>
      </c>
      <c r="GR7">
        <v>10.311044327573251</v>
      </c>
      <c r="GS7">
        <v>7.5394440270473329</v>
      </c>
      <c r="GT7">
        <v>5.3809166040570995</v>
      </c>
      <c r="GU7">
        <v>3.7588279489105929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1</v>
      </c>
      <c r="IP7">
        <v>26</v>
      </c>
      <c r="IQ7">
        <v>1.0338291173353296</v>
      </c>
      <c r="IR7">
        <v>51.049562682215743</v>
      </c>
      <c r="IS7">
        <v>1.5412658773652741</v>
      </c>
      <c r="IT7">
        <v>91.396501457725947</v>
      </c>
      <c r="IU7">
        <v>3.7401585041617</v>
      </c>
      <c r="IV7">
        <v>2.3381924198250732</v>
      </c>
      <c r="IW7">
        <v>9.6602540378443855</v>
      </c>
      <c r="IX7">
        <v>4.1720116618075798</v>
      </c>
      <c r="IY7">
        <v>7.0823732062775377</v>
      </c>
      <c r="IZ7">
        <v>10.311044327573251</v>
      </c>
      <c r="JA7">
        <v>5.0747148627992109</v>
      </c>
      <c r="JB7">
        <v>13.772351615326819</v>
      </c>
      <c r="JC7">
        <v>3.5660011963983362</v>
      </c>
      <c r="JD7">
        <v>18</v>
      </c>
      <c r="JE7">
        <v>2.4849543960638525</v>
      </c>
      <c r="JF7">
        <v>13.772351615326819</v>
      </c>
      <c r="JG7">
        <v>1.7602966507846922</v>
      </c>
      <c r="JH7">
        <v>10.311044327573251</v>
      </c>
      <c r="JI7">
        <v>7.5394440270473329</v>
      </c>
      <c r="JJ7">
        <v>5.3809166040570995</v>
      </c>
      <c r="JK7">
        <v>3.7588279489105929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0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</row>
    <row r="8" spans="1:316" x14ac:dyDescent="0.2">
      <c r="A8">
        <v>2</v>
      </c>
      <c r="B8" t="s">
        <v>685</v>
      </c>
      <c r="C8" t="s">
        <v>230</v>
      </c>
      <c r="D8" t="s">
        <v>231</v>
      </c>
      <c r="E8" t="s">
        <v>230</v>
      </c>
      <c r="F8" t="s">
        <v>179</v>
      </c>
      <c r="G8" t="s">
        <v>164</v>
      </c>
      <c r="H8">
        <v>-1</v>
      </c>
      <c r="I8">
        <v>9.59</v>
      </c>
      <c r="J8">
        <v>14.811165723333334</v>
      </c>
      <c r="K8" t="s">
        <v>189</v>
      </c>
      <c r="L8">
        <v>0</v>
      </c>
      <c r="M8">
        <v>2</v>
      </c>
      <c r="N8" t="s">
        <v>230</v>
      </c>
      <c r="O8">
        <v>0</v>
      </c>
      <c r="P8">
        <v>0</v>
      </c>
      <c r="Q8">
        <v>0</v>
      </c>
      <c r="R8">
        <v>0</v>
      </c>
      <c r="S8">
        <v>0</v>
      </c>
      <c r="T8">
        <v>20</v>
      </c>
      <c r="U8">
        <v>0</v>
      </c>
      <c r="V8">
        <v>20</v>
      </c>
      <c r="W8">
        <v>1</v>
      </c>
      <c r="X8" t="s">
        <v>230</v>
      </c>
      <c r="Y8">
        <v>370.34489662800007</v>
      </c>
      <c r="Z8">
        <v>352.33433662800007</v>
      </c>
      <c r="AA8">
        <v>372.36053662800003</v>
      </c>
      <c r="AB8">
        <v>354.34997662800004</v>
      </c>
      <c r="AC8">
        <v>651.66551662800009</v>
      </c>
      <c r="AD8">
        <v>373.36816540439997</v>
      </c>
      <c r="AE8">
        <v>355.3576007204</v>
      </c>
      <c r="AF8">
        <v>0</v>
      </c>
      <c r="AG8" t="s">
        <v>684</v>
      </c>
      <c r="AH8">
        <v>75.044604464599999</v>
      </c>
      <c r="AI8">
        <v>281.32082128799999</v>
      </c>
      <c r="AJ8">
        <v>279.30517122359998</v>
      </c>
      <c r="AK8">
        <v>55.0547752254</v>
      </c>
      <c r="AL8">
        <v>57.070425289800006</v>
      </c>
      <c r="AM8">
        <v>69.070425289799999</v>
      </c>
      <c r="AN8">
        <v>71.086075354200005</v>
      </c>
      <c r="AO8">
        <v>83.086075354200005</v>
      </c>
      <c r="AP8">
        <v>85.101725418599997</v>
      </c>
      <c r="AQ8">
        <v>97.101725418599997</v>
      </c>
      <c r="AR8">
        <v>99.117375483000004</v>
      </c>
      <c r="AS8">
        <v>111.117375483</v>
      </c>
      <c r="AT8">
        <v>113.13302554740001</v>
      </c>
      <c r="AU8">
        <v>125.13302554740001</v>
      </c>
      <c r="AV8">
        <v>127.1486756118</v>
      </c>
      <c r="AW8">
        <v>139.1486756118</v>
      </c>
      <c r="AX8">
        <v>141.16432567620001</v>
      </c>
      <c r="AY8">
        <v>153.16432567620001</v>
      </c>
      <c r="AZ8">
        <v>155.17997574060001</v>
      </c>
      <c r="BA8">
        <v>167.17997574060001</v>
      </c>
      <c r="BB8">
        <v>169.19562580499999</v>
      </c>
      <c r="BC8">
        <v>181.19562580499999</v>
      </c>
      <c r="BD8">
        <v>183.2112758694</v>
      </c>
      <c r="BE8">
        <v>197.2269259338</v>
      </c>
      <c r="BF8">
        <v>211.24257599820001</v>
      </c>
      <c r="BG8">
        <v>225.25822606260002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55.0547752254</v>
      </c>
      <c r="DB8">
        <v>57.070425289800006</v>
      </c>
      <c r="DC8">
        <v>69.070425289799999</v>
      </c>
      <c r="DD8">
        <v>71.086075354200005</v>
      </c>
      <c r="DE8">
        <v>81.070425289799999</v>
      </c>
      <c r="DF8">
        <v>83.086075354200005</v>
      </c>
      <c r="DG8">
        <v>85.101725418599997</v>
      </c>
      <c r="DH8">
        <v>95.086075354200005</v>
      </c>
      <c r="DI8">
        <v>97.101725418599997</v>
      </c>
      <c r="DJ8">
        <v>99.117375483000004</v>
      </c>
      <c r="DK8">
        <v>109.1017254186</v>
      </c>
      <c r="DL8">
        <v>111.117375483</v>
      </c>
      <c r="DM8">
        <v>113.13302554740001</v>
      </c>
      <c r="DN8">
        <v>123.117375483</v>
      </c>
      <c r="DO8">
        <v>125.13302554740001</v>
      </c>
      <c r="DP8">
        <v>127.1486756118</v>
      </c>
      <c r="DQ8">
        <v>137.1330255474</v>
      </c>
      <c r="DR8">
        <v>139.1486756118</v>
      </c>
      <c r="DS8">
        <v>141.16432567620001</v>
      </c>
      <c r="DT8">
        <v>151.1486756118</v>
      </c>
      <c r="DU8">
        <v>153.16432567620001</v>
      </c>
      <c r="DV8">
        <v>155.17997574060001</v>
      </c>
      <c r="DW8">
        <v>165.16432567620001</v>
      </c>
      <c r="DX8">
        <v>167.17997574060001</v>
      </c>
      <c r="DY8">
        <v>169.19562580499999</v>
      </c>
      <c r="DZ8">
        <v>179.17997574060001</v>
      </c>
      <c r="EA8">
        <v>181.19562580499999</v>
      </c>
      <c r="EB8">
        <v>183.2112758694</v>
      </c>
      <c r="EC8">
        <v>195.2112758694</v>
      </c>
      <c r="ED8">
        <v>197.2269259338</v>
      </c>
      <c r="EE8">
        <v>209.2269259338</v>
      </c>
      <c r="EF8">
        <v>211.24257599820001</v>
      </c>
      <c r="EG8">
        <v>223.24257599820001</v>
      </c>
      <c r="EH8">
        <v>225.25822606260002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3.5</v>
      </c>
      <c r="FR8">
        <v>7.0710678118654755</v>
      </c>
      <c r="FS8">
        <v>2.8284271247461903</v>
      </c>
      <c r="FT8">
        <v>0</v>
      </c>
      <c r="FU8">
        <v>10</v>
      </c>
      <c r="FV8">
        <v>5</v>
      </c>
      <c r="FW8">
        <v>1.3</v>
      </c>
      <c r="FX8">
        <v>2.2999999999999998</v>
      </c>
      <c r="FY8">
        <v>1</v>
      </c>
      <c r="FZ8">
        <v>26</v>
      </c>
      <c r="GA8">
        <v>1.0338291173353296</v>
      </c>
      <c r="GB8">
        <v>51.049562682215743</v>
      </c>
      <c r="GC8">
        <v>1.5412658773652741</v>
      </c>
      <c r="GD8">
        <v>91.396501457725947</v>
      </c>
      <c r="GE8">
        <v>3.7401585041617</v>
      </c>
      <c r="GF8">
        <v>2.3381924198250732</v>
      </c>
      <c r="GG8">
        <v>9.6602540378443855</v>
      </c>
      <c r="GH8">
        <v>4.1720116618075798</v>
      </c>
      <c r="GI8">
        <v>7.0823732062775377</v>
      </c>
      <c r="GJ8">
        <v>10.311044327573251</v>
      </c>
      <c r="GK8">
        <v>5.0747148627992109</v>
      </c>
      <c r="GL8">
        <v>13.772351615326819</v>
      </c>
      <c r="GM8">
        <v>3.5660011963983362</v>
      </c>
      <c r="GN8">
        <v>18</v>
      </c>
      <c r="GO8">
        <v>2.4849543960638525</v>
      </c>
      <c r="GP8">
        <v>13.772351615326819</v>
      </c>
      <c r="GQ8">
        <v>1.7602966507846922</v>
      </c>
      <c r="GR8">
        <v>10.311044327573251</v>
      </c>
      <c r="GS8">
        <v>7.5394440270473329</v>
      </c>
      <c r="GT8">
        <v>5.3809166040570995</v>
      </c>
      <c r="GU8">
        <v>3.7588279489105929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1</v>
      </c>
      <c r="IP8">
        <v>4.125</v>
      </c>
      <c r="IQ8">
        <v>1.095683193077468</v>
      </c>
      <c r="IR8">
        <v>7.2623906705539358</v>
      </c>
      <c r="IS8">
        <v>1.1728000000000001</v>
      </c>
      <c r="IT8">
        <v>2.5309310892394863</v>
      </c>
      <c r="IU8">
        <v>12.349125364431487</v>
      </c>
      <c r="IV8">
        <v>1.7281777777777778</v>
      </c>
      <c r="IW8">
        <v>13.164746412555075</v>
      </c>
      <c r="IX8">
        <v>1.3345481049562684</v>
      </c>
      <c r="IY8">
        <v>9.8888888888888893</v>
      </c>
      <c r="IZ8">
        <v>18.320508075688771</v>
      </c>
      <c r="JA8">
        <v>2.6348610067618332</v>
      </c>
      <c r="JB8">
        <v>6.5492895730664351</v>
      </c>
      <c r="JC8">
        <v>13.164746412555075</v>
      </c>
      <c r="JD8">
        <v>3.3277610818933128</v>
      </c>
      <c r="JE8">
        <v>4.2528916662432898</v>
      </c>
      <c r="JF8">
        <v>9.1494297255984218</v>
      </c>
      <c r="JG8">
        <v>4.1930879038317048</v>
      </c>
      <c r="JH8">
        <v>2.7558299039780527</v>
      </c>
      <c r="JI8">
        <v>6.1320023927966725</v>
      </c>
      <c r="JJ8">
        <v>5.25</v>
      </c>
      <c r="JK8">
        <v>1.8467543904215145</v>
      </c>
      <c r="JL8">
        <v>3.969908792127705</v>
      </c>
      <c r="JM8">
        <v>4.1930879038317048</v>
      </c>
      <c r="JN8">
        <v>1.3468305983166522</v>
      </c>
      <c r="JO8">
        <v>2.5205933015693844</v>
      </c>
      <c r="JP8">
        <v>3.3277610818933128</v>
      </c>
      <c r="JQ8">
        <v>1.6415002990995839</v>
      </c>
      <c r="JR8">
        <v>2.6348610067618332</v>
      </c>
      <c r="JS8">
        <v>1.1900741626961731</v>
      </c>
      <c r="JT8">
        <v>2.0952291510142746</v>
      </c>
      <c r="JU8">
        <v>1.0237592703370215</v>
      </c>
      <c r="JV8">
        <v>1.6897069872276482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0</v>
      </c>
      <c r="KM8">
        <v>0</v>
      </c>
      <c r="KN8">
        <v>0</v>
      </c>
      <c r="KO8">
        <v>0</v>
      </c>
      <c r="KP8">
        <v>0</v>
      </c>
      <c r="KQ8">
        <v>0</v>
      </c>
      <c r="KR8">
        <v>0</v>
      </c>
      <c r="KS8">
        <v>0</v>
      </c>
      <c r="KT8">
        <v>0</v>
      </c>
      <c r="KU8">
        <v>0</v>
      </c>
      <c r="KV8">
        <v>0</v>
      </c>
      <c r="KW8">
        <v>0</v>
      </c>
      <c r="KX8">
        <v>0</v>
      </c>
      <c r="KY8">
        <v>0</v>
      </c>
      <c r="KZ8">
        <v>0</v>
      </c>
      <c r="LA8">
        <v>0</v>
      </c>
      <c r="LB8">
        <v>0</v>
      </c>
      <c r="LC8">
        <v>0</v>
      </c>
      <c r="LD8">
        <v>0</v>
      </c>
    </row>
    <row r="9" spans="1:316" x14ac:dyDescent="0.2">
      <c r="A9">
        <v>3</v>
      </c>
      <c r="B9" t="s">
        <v>686</v>
      </c>
      <c r="C9" t="s">
        <v>232</v>
      </c>
      <c r="D9" t="s">
        <v>233</v>
      </c>
      <c r="E9" t="s">
        <v>232</v>
      </c>
      <c r="F9" t="s">
        <v>180</v>
      </c>
      <c r="G9" t="s">
        <v>165</v>
      </c>
      <c r="H9">
        <v>-1</v>
      </c>
      <c r="I9">
        <v>8.85</v>
      </c>
      <c r="J9">
        <v>14.405586241999998</v>
      </c>
      <c r="K9" t="s">
        <v>190</v>
      </c>
      <c r="L9">
        <v>0</v>
      </c>
      <c r="M9">
        <v>2</v>
      </c>
      <c r="N9" t="s">
        <v>232</v>
      </c>
      <c r="O9">
        <v>0</v>
      </c>
      <c r="P9">
        <v>0</v>
      </c>
      <c r="Q9">
        <v>0</v>
      </c>
      <c r="R9">
        <v>0</v>
      </c>
      <c r="S9">
        <v>0</v>
      </c>
      <c r="T9">
        <v>20</v>
      </c>
      <c r="U9">
        <v>0</v>
      </c>
      <c r="V9">
        <v>20</v>
      </c>
      <c r="W9">
        <v>2</v>
      </c>
      <c r="X9" t="s">
        <v>232</v>
      </c>
      <c r="Y9">
        <v>368.32924656360007</v>
      </c>
      <c r="Z9">
        <v>350.31868656360007</v>
      </c>
      <c r="AA9">
        <v>372.36052656360005</v>
      </c>
      <c r="AB9">
        <v>354.34996656360005</v>
      </c>
      <c r="AC9">
        <v>649.64986656360009</v>
      </c>
      <c r="AD9">
        <v>373.36816540439997</v>
      </c>
      <c r="AE9">
        <v>355.3576007204</v>
      </c>
      <c r="AF9">
        <v>0</v>
      </c>
      <c r="AG9" t="s">
        <v>684</v>
      </c>
      <c r="AH9">
        <v>75.044604464599999</v>
      </c>
      <c r="AI9">
        <v>281.32082128799999</v>
      </c>
      <c r="AJ9">
        <v>277.28952115919998</v>
      </c>
      <c r="AK9">
        <v>55.0547752254</v>
      </c>
      <c r="AL9">
        <v>57.070425289800006</v>
      </c>
      <c r="AM9">
        <v>69.070425289799999</v>
      </c>
      <c r="AN9">
        <v>71.086075354200005</v>
      </c>
      <c r="AO9">
        <v>83.086075354200005</v>
      </c>
      <c r="AP9">
        <v>85.101725418599997</v>
      </c>
      <c r="AQ9">
        <v>97.101725418599997</v>
      </c>
      <c r="AR9">
        <v>99.117375483000004</v>
      </c>
      <c r="AS9">
        <v>111.117375483</v>
      </c>
      <c r="AT9">
        <v>113.13302554740001</v>
      </c>
      <c r="AU9">
        <v>125.13302554740001</v>
      </c>
      <c r="AV9">
        <v>127.1486756118</v>
      </c>
      <c r="AW9">
        <v>139.1486756118</v>
      </c>
      <c r="AX9">
        <v>141.16432567620001</v>
      </c>
      <c r="AY9">
        <v>153.16432567620001</v>
      </c>
      <c r="AZ9">
        <v>155.17997574060001</v>
      </c>
      <c r="BA9">
        <v>167.17997574060001</v>
      </c>
      <c r="BB9">
        <v>169.19562580499999</v>
      </c>
      <c r="BC9">
        <v>181.19562580499999</v>
      </c>
      <c r="BD9">
        <v>183.2112758694</v>
      </c>
      <c r="BE9">
        <v>197.2269259338</v>
      </c>
      <c r="BF9">
        <v>211.24257599820001</v>
      </c>
      <c r="BG9">
        <v>225.25822606260002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55.0547752254</v>
      </c>
      <c r="DB9">
        <v>57.070425289800006</v>
      </c>
      <c r="DC9">
        <v>69.070425289799999</v>
      </c>
      <c r="DD9">
        <v>71.086075354200005</v>
      </c>
      <c r="DE9">
        <v>81.070425289799999</v>
      </c>
      <c r="DF9">
        <v>83.086075354200005</v>
      </c>
      <c r="DG9">
        <v>85.101725418599997</v>
      </c>
      <c r="DH9">
        <v>95.086075354200005</v>
      </c>
      <c r="DI9">
        <v>97.101725418599997</v>
      </c>
      <c r="DJ9">
        <v>99.117375483000004</v>
      </c>
      <c r="DK9">
        <v>109.1017254186</v>
      </c>
      <c r="DL9">
        <v>111.117375483</v>
      </c>
      <c r="DM9">
        <v>113.13302554740001</v>
      </c>
      <c r="DN9">
        <v>123.117375483</v>
      </c>
      <c r="DO9">
        <v>125.13302554740001</v>
      </c>
      <c r="DP9">
        <v>127.1486756118</v>
      </c>
      <c r="DQ9">
        <v>137.1330255474</v>
      </c>
      <c r="DR9">
        <v>139.1486756118</v>
      </c>
      <c r="DS9">
        <v>141.16432567620001</v>
      </c>
      <c r="DT9">
        <v>149.1330255474</v>
      </c>
      <c r="DU9">
        <v>151.1486756118</v>
      </c>
      <c r="DV9">
        <v>153.16432567620001</v>
      </c>
      <c r="DW9">
        <v>155.17997574060001</v>
      </c>
      <c r="DX9">
        <v>163.1486756118</v>
      </c>
      <c r="DY9">
        <v>165.16432567620001</v>
      </c>
      <c r="DZ9">
        <v>167.17997574060001</v>
      </c>
      <c r="EA9">
        <v>169.19562580499999</v>
      </c>
      <c r="EB9">
        <v>177.16432567620001</v>
      </c>
      <c r="EC9">
        <v>179.17997574060001</v>
      </c>
      <c r="ED9">
        <v>181.19562580499999</v>
      </c>
      <c r="EE9">
        <v>183.2112758694</v>
      </c>
      <c r="EF9">
        <v>193.19562580499999</v>
      </c>
      <c r="EG9">
        <v>195.2112758694</v>
      </c>
      <c r="EH9">
        <v>207.2112758694</v>
      </c>
      <c r="EI9">
        <v>209.2269259338</v>
      </c>
      <c r="EJ9">
        <v>221.2269259338</v>
      </c>
      <c r="EK9">
        <v>223.24257599820001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2.4499999999999997</v>
      </c>
      <c r="FR9">
        <v>5</v>
      </c>
      <c r="FS9">
        <v>1.6000000000000003</v>
      </c>
      <c r="FT9">
        <v>0</v>
      </c>
      <c r="FU9">
        <v>10</v>
      </c>
      <c r="FV9">
        <v>5</v>
      </c>
      <c r="FW9">
        <v>1.6900000000000002</v>
      </c>
      <c r="FX9">
        <v>5.2899999999999991</v>
      </c>
      <c r="FY9">
        <v>1</v>
      </c>
      <c r="FZ9">
        <v>26</v>
      </c>
      <c r="GA9">
        <v>1.0338291173353296</v>
      </c>
      <c r="GB9">
        <v>51.049562682215743</v>
      </c>
      <c r="GC9">
        <v>1.5412658773652741</v>
      </c>
      <c r="GD9">
        <v>91.396501457725947</v>
      </c>
      <c r="GE9">
        <v>3.7401585041617</v>
      </c>
      <c r="GF9">
        <v>2.3381924198250732</v>
      </c>
      <c r="GG9">
        <v>9.6602540378443855</v>
      </c>
      <c r="GH9">
        <v>4.1720116618075798</v>
      </c>
      <c r="GI9">
        <v>7.0823732062775377</v>
      </c>
      <c r="GJ9">
        <v>10.311044327573251</v>
      </c>
      <c r="GK9">
        <v>5.0747148627992109</v>
      </c>
      <c r="GL9">
        <v>13.772351615326819</v>
      </c>
      <c r="GM9">
        <v>3.5660011963983362</v>
      </c>
      <c r="GN9">
        <v>18</v>
      </c>
      <c r="GO9">
        <v>2.4849543960638525</v>
      </c>
      <c r="GP9">
        <v>13.772351615326819</v>
      </c>
      <c r="GQ9">
        <v>1.7602966507846922</v>
      </c>
      <c r="GR9">
        <v>10.311044327573251</v>
      </c>
      <c r="GS9">
        <v>7.5394440270473329</v>
      </c>
      <c r="GT9">
        <v>5.3809166040570995</v>
      </c>
      <c r="GU9">
        <v>3.7588279489105929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  <c r="IL9">
        <v>0</v>
      </c>
      <c r="IM9">
        <v>0</v>
      </c>
      <c r="IN9">
        <v>0</v>
      </c>
      <c r="IO9">
        <v>1</v>
      </c>
      <c r="IP9">
        <v>1.925925925925926</v>
      </c>
      <c r="IQ9">
        <v>1.17578125</v>
      </c>
      <c r="IR9">
        <v>2.8573588165424901</v>
      </c>
      <c r="IS9">
        <v>1.6911999999999998</v>
      </c>
      <c r="IT9">
        <v>3.8125</v>
      </c>
      <c r="IU9">
        <v>4.3773890508584383</v>
      </c>
      <c r="IV9">
        <v>3.9127111111111117</v>
      </c>
      <c r="IW9">
        <v>19.247119618832613</v>
      </c>
      <c r="IX9">
        <v>1.1486880466472305</v>
      </c>
      <c r="IY9">
        <v>21</v>
      </c>
      <c r="IZ9">
        <v>26.98076211353316</v>
      </c>
      <c r="JA9">
        <v>1.7266048918941481</v>
      </c>
      <c r="JB9">
        <v>13.48590153939948</v>
      </c>
      <c r="JC9">
        <v>19.247119618832613</v>
      </c>
      <c r="JD9">
        <v>2.0345604808414723</v>
      </c>
      <c r="JE9">
        <v>8.3190062490474013</v>
      </c>
      <c r="JF9">
        <v>13.224144588397632</v>
      </c>
      <c r="JG9">
        <v>2.4191501794807575</v>
      </c>
      <c r="JH9">
        <v>5.5460041660316008</v>
      </c>
      <c r="JI9">
        <v>4.9506172839506188</v>
      </c>
      <c r="JJ9">
        <v>8.6980035891950074</v>
      </c>
      <c r="JK9">
        <v>2.8888888888888888</v>
      </c>
      <c r="JL9">
        <v>3.300411522633746</v>
      </c>
      <c r="JM9">
        <v>2.9051973784484075</v>
      </c>
      <c r="JN9">
        <v>5.4548631881915579</v>
      </c>
      <c r="JO9">
        <v>2.4191501794807575</v>
      </c>
      <c r="JP9">
        <v>1.9367982522989384</v>
      </c>
      <c r="JQ9">
        <v>1.7803688462124674</v>
      </c>
      <c r="JR9">
        <v>3.2808899523540767</v>
      </c>
      <c r="JS9">
        <v>2.0345604808414723</v>
      </c>
      <c r="JT9">
        <v>1.2469135802469138</v>
      </c>
      <c r="JU9">
        <v>1.9622504486493759</v>
      </c>
      <c r="JV9">
        <v>1.0487730528882793</v>
      </c>
      <c r="JW9">
        <v>1.2851112440442596</v>
      </c>
      <c r="JX9">
        <v>1.0030483158055175</v>
      </c>
      <c r="JY9">
        <v>1.0356389055055324</v>
      </c>
      <c r="JZ9">
        <v>0</v>
      </c>
      <c r="KA9">
        <v>0</v>
      </c>
      <c r="KB9">
        <v>0</v>
      </c>
      <c r="KC9">
        <v>0</v>
      </c>
      <c r="KD9">
        <v>0</v>
      </c>
      <c r="KE9">
        <v>0</v>
      </c>
      <c r="KF9">
        <v>0</v>
      </c>
      <c r="KG9">
        <v>0</v>
      </c>
      <c r="KH9">
        <v>0</v>
      </c>
      <c r="KI9">
        <v>0</v>
      </c>
      <c r="KJ9">
        <v>0</v>
      </c>
      <c r="KK9">
        <v>0</v>
      </c>
      <c r="KL9">
        <v>0</v>
      </c>
      <c r="KM9">
        <v>0</v>
      </c>
      <c r="KN9">
        <v>0</v>
      </c>
      <c r="KO9">
        <v>0</v>
      </c>
      <c r="KP9">
        <v>0</v>
      </c>
      <c r="KQ9">
        <v>0</v>
      </c>
      <c r="KR9">
        <v>0</v>
      </c>
      <c r="KS9">
        <v>0</v>
      </c>
      <c r="KT9">
        <v>0</v>
      </c>
      <c r="KU9">
        <v>0</v>
      </c>
      <c r="KV9">
        <v>0</v>
      </c>
      <c r="KW9">
        <v>0</v>
      </c>
      <c r="KX9">
        <v>0</v>
      </c>
      <c r="KY9">
        <v>0</v>
      </c>
      <c r="KZ9">
        <v>0</v>
      </c>
      <c r="LA9">
        <v>0</v>
      </c>
      <c r="LB9">
        <v>0</v>
      </c>
      <c r="LC9">
        <v>0</v>
      </c>
      <c r="LD9">
        <v>0</v>
      </c>
    </row>
    <row r="10" spans="1:316" x14ac:dyDescent="0.2">
      <c r="A10">
        <v>4</v>
      </c>
      <c r="B10" t="s">
        <v>687</v>
      </c>
      <c r="C10" t="s">
        <v>234</v>
      </c>
      <c r="D10" t="s">
        <v>235</v>
      </c>
      <c r="E10" t="s">
        <v>234</v>
      </c>
      <c r="F10" t="s">
        <v>181</v>
      </c>
      <c r="G10" t="s">
        <v>166</v>
      </c>
      <c r="H10">
        <v>-1</v>
      </c>
      <c r="I10">
        <v>8.15</v>
      </c>
      <c r="J10">
        <v>14.000006760666665</v>
      </c>
      <c r="K10" t="s">
        <v>191</v>
      </c>
      <c r="L10">
        <v>0</v>
      </c>
      <c r="M10">
        <v>2</v>
      </c>
      <c r="N10" t="s">
        <v>234</v>
      </c>
      <c r="O10">
        <v>0</v>
      </c>
      <c r="P10">
        <v>0</v>
      </c>
      <c r="Q10">
        <v>0</v>
      </c>
      <c r="R10">
        <v>0</v>
      </c>
      <c r="S10">
        <v>0</v>
      </c>
      <c r="T10">
        <v>20</v>
      </c>
      <c r="U10">
        <v>0</v>
      </c>
      <c r="V10">
        <v>20</v>
      </c>
      <c r="W10">
        <v>3</v>
      </c>
      <c r="X10" t="s">
        <v>234</v>
      </c>
      <c r="Y10">
        <v>366.31359649920006</v>
      </c>
      <c r="Z10">
        <v>348.30303649920006</v>
      </c>
      <c r="AA10">
        <v>372.36051649920006</v>
      </c>
      <c r="AB10">
        <v>354.34995649920006</v>
      </c>
      <c r="AC10">
        <v>647.63421649920008</v>
      </c>
      <c r="AD10">
        <v>373.36816540439997</v>
      </c>
      <c r="AE10">
        <v>355.3576007204</v>
      </c>
      <c r="AF10">
        <v>555.58686738279994</v>
      </c>
      <c r="AG10" t="s">
        <v>684</v>
      </c>
      <c r="AH10">
        <v>75.044604464599999</v>
      </c>
      <c r="AI10">
        <v>281.32082128799999</v>
      </c>
      <c r="AJ10">
        <v>275.27387109479997</v>
      </c>
      <c r="AK10">
        <v>55.0547752254</v>
      </c>
      <c r="AL10">
        <v>57.070425289800006</v>
      </c>
      <c r="AM10">
        <v>69.070425289799999</v>
      </c>
      <c r="AN10">
        <v>71.086075354200005</v>
      </c>
      <c r="AO10">
        <v>83.086075354200005</v>
      </c>
      <c r="AP10">
        <v>85.101725418599997</v>
      </c>
      <c r="AQ10">
        <v>97.101725418599997</v>
      </c>
      <c r="AR10">
        <v>99.117375483000004</v>
      </c>
      <c r="AS10">
        <v>111.117375483</v>
      </c>
      <c r="AT10">
        <v>113.13302554740001</v>
      </c>
      <c r="AU10">
        <v>125.13302554740001</v>
      </c>
      <c r="AV10">
        <v>127.1486756118</v>
      </c>
      <c r="AW10">
        <v>139.1486756118</v>
      </c>
      <c r="AX10">
        <v>141.16432567620001</v>
      </c>
      <c r="AY10">
        <v>153.16432567620001</v>
      </c>
      <c r="AZ10">
        <v>155.17997574060001</v>
      </c>
      <c r="BA10">
        <v>167.17997574060001</v>
      </c>
      <c r="BB10">
        <v>169.19562580499999</v>
      </c>
      <c r="BC10">
        <v>181.19562580499999</v>
      </c>
      <c r="BD10">
        <v>183.2112758694</v>
      </c>
      <c r="BE10">
        <v>197.2269259338</v>
      </c>
      <c r="BF10">
        <v>211.24257599820001</v>
      </c>
      <c r="BG10">
        <v>225.25822606260002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55.0547752254</v>
      </c>
      <c r="DB10">
        <v>57.070425289800006</v>
      </c>
      <c r="DC10">
        <v>69.070425289799999</v>
      </c>
      <c r="DD10">
        <v>71.086075354200005</v>
      </c>
      <c r="DE10">
        <v>81.070425289799999</v>
      </c>
      <c r="DF10">
        <v>83.086075354200005</v>
      </c>
      <c r="DG10">
        <v>85.101725418599997</v>
      </c>
      <c r="DH10">
        <v>95.086075354200005</v>
      </c>
      <c r="DI10">
        <v>97.101725418599997</v>
      </c>
      <c r="DJ10">
        <v>99.117375483000004</v>
      </c>
      <c r="DK10">
        <v>109.1017254186</v>
      </c>
      <c r="DL10">
        <v>111.117375483</v>
      </c>
      <c r="DM10">
        <v>113.13302554740001</v>
      </c>
      <c r="DN10">
        <v>123.117375483</v>
      </c>
      <c r="DO10">
        <v>125.13302554740001</v>
      </c>
      <c r="DP10">
        <v>137.1330255474</v>
      </c>
      <c r="DQ10">
        <v>139.1486756118</v>
      </c>
      <c r="DR10">
        <v>149.1330255474</v>
      </c>
      <c r="DS10">
        <v>151.1486756118</v>
      </c>
      <c r="DT10">
        <v>153.16432567620001</v>
      </c>
      <c r="DU10">
        <v>163.1486756118</v>
      </c>
      <c r="DV10">
        <v>165.16432567620001</v>
      </c>
      <c r="DW10">
        <v>167.17997574060001</v>
      </c>
      <c r="DX10">
        <v>177.16432567620001</v>
      </c>
      <c r="DY10">
        <v>179.17997574060001</v>
      </c>
      <c r="DZ10">
        <v>181.19562580499999</v>
      </c>
      <c r="EA10">
        <v>191.17997574060001</v>
      </c>
      <c r="EB10">
        <v>193.19562580499999</v>
      </c>
      <c r="EC10">
        <v>205.19562580499999</v>
      </c>
      <c r="ED10">
        <v>207.2112758694</v>
      </c>
      <c r="EE10">
        <v>219.2112758694</v>
      </c>
      <c r="EF10">
        <v>221.2269259338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1.7149999999999996</v>
      </c>
      <c r="FR10">
        <v>3.5355339059327378</v>
      </c>
      <c r="FS10">
        <v>0.90509667991878107</v>
      </c>
      <c r="FT10">
        <v>2</v>
      </c>
      <c r="FU10">
        <v>10</v>
      </c>
      <c r="FV10">
        <v>5</v>
      </c>
      <c r="FW10">
        <v>2.1970000000000005</v>
      </c>
      <c r="FX10">
        <v>12.166999999999996</v>
      </c>
      <c r="FY10">
        <v>1</v>
      </c>
      <c r="FZ10">
        <v>26</v>
      </c>
      <c r="GA10">
        <v>1.0338291173353296</v>
      </c>
      <c r="GB10">
        <v>51.049562682215743</v>
      </c>
      <c r="GC10">
        <v>1.5412658773652741</v>
      </c>
      <c r="GD10">
        <v>91.396501457725947</v>
      </c>
      <c r="GE10">
        <v>3.7401585041617</v>
      </c>
      <c r="GF10">
        <v>2.3381924198250732</v>
      </c>
      <c r="GG10">
        <v>9.6602540378443855</v>
      </c>
      <c r="GH10">
        <v>4.1720116618075798</v>
      </c>
      <c r="GI10">
        <v>7.0823732062775377</v>
      </c>
      <c r="GJ10">
        <v>10.311044327573251</v>
      </c>
      <c r="GK10">
        <v>5.0747148627992109</v>
      </c>
      <c r="GL10">
        <v>13.772351615326819</v>
      </c>
      <c r="GM10">
        <v>3.5660011963983362</v>
      </c>
      <c r="GN10">
        <v>18</v>
      </c>
      <c r="GO10">
        <v>2.4849543960638525</v>
      </c>
      <c r="GP10">
        <v>13.772351615326819</v>
      </c>
      <c r="GQ10">
        <v>1.7602966507846922</v>
      </c>
      <c r="GR10">
        <v>10.311044327573251</v>
      </c>
      <c r="GS10">
        <v>7.5394440270473329</v>
      </c>
      <c r="GT10">
        <v>5.3809166040570995</v>
      </c>
      <c r="GU10">
        <v>3.7588279489105929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0</v>
      </c>
      <c r="IK10">
        <v>0</v>
      </c>
      <c r="IL10">
        <v>0</v>
      </c>
      <c r="IM10">
        <v>0</v>
      </c>
      <c r="IN10">
        <v>0</v>
      </c>
      <c r="IO10">
        <v>1</v>
      </c>
      <c r="IP10">
        <v>1.390625</v>
      </c>
      <c r="IQ10">
        <v>1.095683193077468</v>
      </c>
      <c r="IR10">
        <v>1.784347667638484</v>
      </c>
      <c r="IS10">
        <v>2.5551999999999997</v>
      </c>
      <c r="IT10">
        <v>2.5309310892394863</v>
      </c>
      <c r="IU10">
        <v>2.4310313411078717</v>
      </c>
      <c r="IV10">
        <v>7.5536000000000012</v>
      </c>
      <c r="IW10">
        <v>13.164746412555075</v>
      </c>
      <c r="IX10">
        <v>1.0836370262390671</v>
      </c>
      <c r="IY10">
        <v>36.555555555555557</v>
      </c>
      <c r="IZ10">
        <v>18.320508075688771</v>
      </c>
      <c r="JA10">
        <v>1.4087152516904582</v>
      </c>
      <c r="JB10">
        <v>23.19715829226574</v>
      </c>
      <c r="JC10">
        <v>13.164746412555075</v>
      </c>
      <c r="JD10">
        <v>14.011566664973158</v>
      </c>
      <c r="JE10">
        <v>9.1494297255984218</v>
      </c>
      <c r="JF10">
        <v>8.7764976083700503</v>
      </c>
      <c r="JG10">
        <v>8.0233196159122109</v>
      </c>
      <c r="JH10">
        <v>6.1320023927966725</v>
      </c>
      <c r="JI10">
        <v>5.8509984055800333</v>
      </c>
      <c r="JJ10">
        <v>4.3870175616860578</v>
      </c>
      <c r="JK10">
        <v>3.969908792127705</v>
      </c>
      <c r="JL10">
        <v>3.900665603720022</v>
      </c>
      <c r="JM10">
        <v>2.3873223932666088</v>
      </c>
      <c r="JN10">
        <v>2.5205933015693844</v>
      </c>
      <c r="JO10">
        <v>2.6004437358133479</v>
      </c>
      <c r="JP10">
        <v>1.4389574759945132</v>
      </c>
      <c r="JQ10">
        <v>1.6803955343795896</v>
      </c>
      <c r="JR10">
        <v>1.086707649579163</v>
      </c>
      <c r="JS10">
        <v>0.95930498399634212</v>
      </c>
      <c r="JT10">
        <v>1.0054192280986978</v>
      </c>
      <c r="JU10">
        <v>0</v>
      </c>
      <c r="JV10">
        <v>0</v>
      </c>
      <c r="JW10">
        <v>0</v>
      </c>
      <c r="JX10">
        <v>0</v>
      </c>
      <c r="JY10">
        <v>0</v>
      </c>
      <c r="JZ10">
        <v>0</v>
      </c>
      <c r="KA10">
        <v>0</v>
      </c>
      <c r="KB10">
        <v>0</v>
      </c>
      <c r="KC10">
        <v>0</v>
      </c>
      <c r="KD10">
        <v>0</v>
      </c>
      <c r="KE10">
        <v>0</v>
      </c>
      <c r="KF10">
        <v>0</v>
      </c>
      <c r="KG10">
        <v>0</v>
      </c>
      <c r="KH10">
        <v>0</v>
      </c>
      <c r="KI10">
        <v>0</v>
      </c>
      <c r="KJ10">
        <v>0</v>
      </c>
      <c r="KK10">
        <v>0</v>
      </c>
      <c r="KL10">
        <v>0</v>
      </c>
      <c r="KM10">
        <v>0</v>
      </c>
      <c r="KN10">
        <v>0</v>
      </c>
      <c r="KO10">
        <v>0</v>
      </c>
      <c r="KP10">
        <v>0</v>
      </c>
      <c r="KQ10">
        <v>0</v>
      </c>
      <c r="KR10">
        <v>0</v>
      </c>
      <c r="KS10">
        <v>0</v>
      </c>
      <c r="KT10">
        <v>0</v>
      </c>
      <c r="KU10">
        <v>0</v>
      </c>
      <c r="KV10">
        <v>0</v>
      </c>
      <c r="KW10">
        <v>0</v>
      </c>
      <c r="KX10">
        <v>0</v>
      </c>
      <c r="KY10">
        <v>0</v>
      </c>
      <c r="KZ10">
        <v>0</v>
      </c>
      <c r="LA10">
        <v>0</v>
      </c>
      <c r="LB10">
        <v>0</v>
      </c>
      <c r="LC10">
        <v>0</v>
      </c>
      <c r="LD10">
        <v>0</v>
      </c>
    </row>
    <row r="11" spans="1:316" x14ac:dyDescent="0.2">
      <c r="A11">
        <v>5</v>
      </c>
      <c r="B11" t="s">
        <v>688</v>
      </c>
      <c r="C11" t="s">
        <v>236</v>
      </c>
      <c r="D11" t="s">
        <v>237</v>
      </c>
      <c r="E11" t="s">
        <v>236</v>
      </c>
      <c r="F11" t="s">
        <v>182</v>
      </c>
      <c r="G11" t="s">
        <v>167</v>
      </c>
      <c r="H11">
        <v>-1</v>
      </c>
      <c r="I11">
        <v>7.44</v>
      </c>
      <c r="J11">
        <v>13.594427279333331</v>
      </c>
      <c r="K11" t="s">
        <v>192</v>
      </c>
      <c r="L11">
        <v>0</v>
      </c>
      <c r="M11">
        <v>2</v>
      </c>
      <c r="N11" t="s">
        <v>236</v>
      </c>
      <c r="O11">
        <v>0</v>
      </c>
      <c r="P11">
        <v>0</v>
      </c>
      <c r="Q11">
        <v>0</v>
      </c>
      <c r="R11">
        <v>0</v>
      </c>
      <c r="S11">
        <v>0</v>
      </c>
      <c r="T11">
        <v>20</v>
      </c>
      <c r="U11">
        <v>0</v>
      </c>
      <c r="V11">
        <v>20</v>
      </c>
      <c r="W11">
        <v>4</v>
      </c>
      <c r="X11" t="s">
        <v>236</v>
      </c>
      <c r="Y11">
        <v>364.29794643480005</v>
      </c>
      <c r="Z11">
        <v>346.28738643480006</v>
      </c>
      <c r="AA11">
        <v>372.36050643480002</v>
      </c>
      <c r="AB11">
        <v>354.34994643480002</v>
      </c>
      <c r="AC11">
        <v>645.61856643480007</v>
      </c>
      <c r="AD11">
        <v>373.36816540439997</v>
      </c>
      <c r="AE11">
        <v>355.3576007204</v>
      </c>
      <c r="AF11">
        <v>553.57121731839993</v>
      </c>
      <c r="AG11" t="s">
        <v>684</v>
      </c>
      <c r="AH11">
        <v>75.044604464599999</v>
      </c>
      <c r="AI11">
        <v>281.32082128799999</v>
      </c>
      <c r="AJ11">
        <v>273.25822103039997</v>
      </c>
      <c r="AK11">
        <v>55.0547752254</v>
      </c>
      <c r="AL11">
        <v>57.070425289800006</v>
      </c>
      <c r="AM11">
        <v>69.070425289799999</v>
      </c>
      <c r="AN11">
        <v>71.086075354200005</v>
      </c>
      <c r="AO11">
        <v>83.086075354200005</v>
      </c>
      <c r="AP11">
        <v>85.101725418599997</v>
      </c>
      <c r="AQ11">
        <v>97.101725418599997</v>
      </c>
      <c r="AR11">
        <v>99.117375483000004</v>
      </c>
      <c r="AS11">
        <v>111.117375483</v>
      </c>
      <c r="AT11">
        <v>113.13302554740001</v>
      </c>
      <c r="AU11">
        <v>125.13302554740001</v>
      </c>
      <c r="AV11">
        <v>127.1486756118</v>
      </c>
      <c r="AW11">
        <v>139.1486756118</v>
      </c>
      <c r="AX11">
        <v>141.16432567620001</v>
      </c>
      <c r="AY11">
        <v>153.16432567620001</v>
      </c>
      <c r="AZ11">
        <v>155.17997574060001</v>
      </c>
      <c r="BA11">
        <v>167.17997574060001</v>
      </c>
      <c r="BB11">
        <v>169.19562580499999</v>
      </c>
      <c r="BC11">
        <v>181.19562580499999</v>
      </c>
      <c r="BD11">
        <v>183.2112758694</v>
      </c>
      <c r="BE11">
        <v>197.2269259338</v>
      </c>
      <c r="BF11">
        <v>211.24257599820001</v>
      </c>
      <c r="BG11">
        <v>225.25822606260002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55.0547752254</v>
      </c>
      <c r="DB11">
        <v>69.070425289799999</v>
      </c>
      <c r="DC11">
        <v>81.070425289799999</v>
      </c>
      <c r="DD11">
        <v>83.086075354200005</v>
      </c>
      <c r="DE11">
        <v>95.086075354200005</v>
      </c>
      <c r="DF11">
        <v>97.101725418599997</v>
      </c>
      <c r="DG11">
        <v>109.1017254186</v>
      </c>
      <c r="DH11">
        <v>111.117375483</v>
      </c>
      <c r="DI11">
        <v>123.117375483</v>
      </c>
      <c r="DJ11">
        <v>137.1330255474</v>
      </c>
      <c r="DK11">
        <v>149.1330255474</v>
      </c>
      <c r="DL11">
        <v>151.1486756118</v>
      </c>
      <c r="DM11">
        <v>163.1486756118</v>
      </c>
      <c r="DN11">
        <v>165.16432567620001</v>
      </c>
      <c r="DO11">
        <v>177.16432567620001</v>
      </c>
      <c r="DP11">
        <v>179.17997574060001</v>
      </c>
      <c r="DQ11">
        <v>191.17997574060001</v>
      </c>
      <c r="DR11">
        <v>205.19562580499999</v>
      </c>
      <c r="DS11">
        <v>217.19562580499999</v>
      </c>
      <c r="DT11">
        <v>219.2112758694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1.2004999999999997</v>
      </c>
      <c r="FR11">
        <v>2.5</v>
      </c>
      <c r="FS11">
        <v>0.51200000000000023</v>
      </c>
      <c r="FT11">
        <v>8</v>
      </c>
      <c r="FU11">
        <v>10</v>
      </c>
      <c r="FV11">
        <v>5</v>
      </c>
      <c r="FW11">
        <v>2.8561000000000005</v>
      </c>
      <c r="FX11">
        <v>27.984099999999991</v>
      </c>
      <c r="FY11">
        <v>1</v>
      </c>
      <c r="FZ11">
        <v>26</v>
      </c>
      <c r="GA11">
        <v>1.0338291173353296</v>
      </c>
      <c r="GB11">
        <v>51.049562682215743</v>
      </c>
      <c r="GC11">
        <v>1.5412658773652741</v>
      </c>
      <c r="GD11">
        <v>91.396501457725947</v>
      </c>
      <c r="GE11">
        <v>3.7401585041617</v>
      </c>
      <c r="GF11">
        <v>2.3381924198250732</v>
      </c>
      <c r="GG11">
        <v>9.6602540378443855</v>
      </c>
      <c r="GH11">
        <v>4.1720116618075798</v>
      </c>
      <c r="GI11">
        <v>7.0823732062775377</v>
      </c>
      <c r="GJ11">
        <v>10.311044327573251</v>
      </c>
      <c r="GK11">
        <v>5.0747148627992109</v>
      </c>
      <c r="GL11">
        <v>13.772351615326819</v>
      </c>
      <c r="GM11">
        <v>3.5660011963983362</v>
      </c>
      <c r="GN11">
        <v>18</v>
      </c>
      <c r="GO11">
        <v>2.4849543960638525</v>
      </c>
      <c r="GP11">
        <v>13.772351615326819</v>
      </c>
      <c r="GQ11">
        <v>1.7602966507846922</v>
      </c>
      <c r="GR11">
        <v>10.311044327573251</v>
      </c>
      <c r="GS11">
        <v>7.5394440270473329</v>
      </c>
      <c r="GT11">
        <v>5.3809166040570995</v>
      </c>
      <c r="GU11">
        <v>3.7588279489105929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0</v>
      </c>
      <c r="IK11">
        <v>0</v>
      </c>
      <c r="IL11">
        <v>0</v>
      </c>
      <c r="IM11">
        <v>0</v>
      </c>
      <c r="IN11">
        <v>0</v>
      </c>
      <c r="IO11">
        <v>1</v>
      </c>
      <c r="IP11">
        <v>1.0338291173353296</v>
      </c>
      <c r="IQ11">
        <v>1.6911999999999998</v>
      </c>
      <c r="IR11">
        <v>1.5412658773652741</v>
      </c>
      <c r="IS11">
        <v>3.9127111111111117</v>
      </c>
      <c r="IT11">
        <v>3.7401585041617</v>
      </c>
      <c r="IU11">
        <v>9.8888888888888893</v>
      </c>
      <c r="IV11">
        <v>9.6602540378443855</v>
      </c>
      <c r="IW11">
        <v>13.48590153939948</v>
      </c>
      <c r="IX11">
        <v>8.3190062490474013</v>
      </c>
      <c r="IY11">
        <v>6.4401693585629234</v>
      </c>
      <c r="IZ11">
        <v>4.9506172839506188</v>
      </c>
      <c r="JA11">
        <v>5.5460041660316008</v>
      </c>
      <c r="JB11">
        <v>2.9051973784484075</v>
      </c>
      <c r="JC11">
        <v>3.300411522633746</v>
      </c>
      <c r="JD11">
        <v>1.7803688462124674</v>
      </c>
      <c r="JE11">
        <v>1.9367982522989384</v>
      </c>
      <c r="JF11">
        <v>2.2002743484224974</v>
      </c>
      <c r="JG11">
        <v>1.1869125641416449</v>
      </c>
      <c r="JH11">
        <v>1.2911988348659589</v>
      </c>
      <c r="JI11">
        <v>0</v>
      </c>
      <c r="JJ11">
        <v>0</v>
      </c>
      <c r="JK11">
        <v>0</v>
      </c>
      <c r="JL11">
        <v>0</v>
      </c>
      <c r="JM11">
        <v>0</v>
      </c>
      <c r="JN11">
        <v>0</v>
      </c>
      <c r="JO11">
        <v>0</v>
      </c>
      <c r="JP11">
        <v>0</v>
      </c>
      <c r="JQ11">
        <v>0</v>
      </c>
      <c r="JR11">
        <v>0</v>
      </c>
      <c r="JS11">
        <v>0</v>
      </c>
      <c r="JT11">
        <v>0</v>
      </c>
      <c r="JU11">
        <v>0</v>
      </c>
      <c r="JV11">
        <v>0</v>
      </c>
      <c r="JW11">
        <v>0</v>
      </c>
      <c r="JX11">
        <v>0</v>
      </c>
      <c r="JY11">
        <v>0</v>
      </c>
      <c r="JZ11">
        <v>0</v>
      </c>
      <c r="KA11">
        <v>0</v>
      </c>
      <c r="KB11">
        <v>0</v>
      </c>
      <c r="KC11">
        <v>0</v>
      </c>
      <c r="KD11">
        <v>0</v>
      </c>
      <c r="KE11">
        <v>0</v>
      </c>
      <c r="KF11">
        <v>0</v>
      </c>
      <c r="KG11">
        <v>0</v>
      </c>
      <c r="KH11">
        <v>0</v>
      </c>
      <c r="KI11">
        <v>0</v>
      </c>
      <c r="KJ11">
        <v>0</v>
      </c>
      <c r="KK11">
        <v>0</v>
      </c>
      <c r="KL11">
        <v>0</v>
      </c>
      <c r="KM11">
        <v>0</v>
      </c>
      <c r="KN11">
        <v>0</v>
      </c>
      <c r="KO11">
        <v>0</v>
      </c>
      <c r="KP11">
        <v>0</v>
      </c>
      <c r="KQ11">
        <v>0</v>
      </c>
      <c r="KR11">
        <v>0</v>
      </c>
      <c r="KS11">
        <v>0</v>
      </c>
      <c r="KT11">
        <v>0</v>
      </c>
      <c r="KU11">
        <v>0</v>
      </c>
      <c r="KV11">
        <v>0</v>
      </c>
      <c r="KW11">
        <v>0</v>
      </c>
      <c r="KX11">
        <v>0</v>
      </c>
      <c r="KY11">
        <v>0</v>
      </c>
      <c r="KZ11">
        <v>0</v>
      </c>
      <c r="LA11">
        <v>0</v>
      </c>
      <c r="LB11">
        <v>0</v>
      </c>
      <c r="LC11">
        <v>0</v>
      </c>
      <c r="LD11">
        <v>0</v>
      </c>
    </row>
    <row r="12" spans="1:316" x14ac:dyDescent="0.2">
      <c r="A12">
        <v>6</v>
      </c>
      <c r="B12" t="s">
        <v>686</v>
      </c>
      <c r="C12" t="s">
        <v>238</v>
      </c>
      <c r="D12" t="s">
        <v>233</v>
      </c>
      <c r="E12" t="s">
        <v>238</v>
      </c>
      <c r="F12" t="s">
        <v>239</v>
      </c>
      <c r="G12" t="s">
        <v>240</v>
      </c>
      <c r="H12">
        <v>-1</v>
      </c>
      <c r="I12">
        <v>8.77</v>
      </c>
      <c r="J12">
        <v>14.561493702</v>
      </c>
      <c r="K12" t="s">
        <v>241</v>
      </c>
      <c r="L12">
        <v>0</v>
      </c>
      <c r="M12">
        <v>2</v>
      </c>
      <c r="N12" t="s">
        <v>238</v>
      </c>
      <c r="O12">
        <v>0</v>
      </c>
      <c r="P12">
        <v>0</v>
      </c>
      <c r="Q12">
        <v>0</v>
      </c>
      <c r="R12">
        <v>0</v>
      </c>
      <c r="S12">
        <v>0</v>
      </c>
      <c r="T12">
        <v>20</v>
      </c>
      <c r="U12">
        <v>1</v>
      </c>
      <c r="V12">
        <v>20</v>
      </c>
      <c r="W12">
        <v>1</v>
      </c>
      <c r="X12" t="s">
        <v>238</v>
      </c>
      <c r="Y12">
        <v>370.34488656360003</v>
      </c>
      <c r="Z12">
        <v>352.33432656360003</v>
      </c>
      <c r="AA12">
        <v>370.34488656360003</v>
      </c>
      <c r="AB12">
        <v>352.33432656360003</v>
      </c>
      <c r="AC12">
        <v>649.64986656360009</v>
      </c>
      <c r="AD12">
        <v>371.35251533999997</v>
      </c>
      <c r="AE12">
        <v>353.34195065599999</v>
      </c>
      <c r="AF12">
        <v>0</v>
      </c>
      <c r="AG12" t="s">
        <v>684</v>
      </c>
      <c r="AH12">
        <v>75.044604464599999</v>
      </c>
      <c r="AI12">
        <v>279.30517122359998</v>
      </c>
      <c r="AJ12">
        <v>279.30517122359998</v>
      </c>
      <c r="AK12">
        <v>55.0547752254</v>
      </c>
      <c r="AL12">
        <v>57.070425289800006</v>
      </c>
      <c r="AM12">
        <v>69.070425289799999</v>
      </c>
      <c r="AN12">
        <v>71.086075354200005</v>
      </c>
      <c r="AO12">
        <v>81.070425289799999</v>
      </c>
      <c r="AP12">
        <v>83.086075354200005</v>
      </c>
      <c r="AQ12">
        <v>85.101725418599997</v>
      </c>
      <c r="AR12">
        <v>95.086075354200005</v>
      </c>
      <c r="AS12">
        <v>97.101725418599997</v>
      </c>
      <c r="AT12">
        <v>99.117375483000004</v>
      </c>
      <c r="AU12">
        <v>109.1017254186</v>
      </c>
      <c r="AV12">
        <v>111.117375483</v>
      </c>
      <c r="AW12">
        <v>113.13302554740001</v>
      </c>
      <c r="AX12">
        <v>123.117375483</v>
      </c>
      <c r="AY12">
        <v>125.13302554740001</v>
      </c>
      <c r="AZ12">
        <v>127.1486756118</v>
      </c>
      <c r="BA12">
        <v>137.1330255474</v>
      </c>
      <c r="BB12">
        <v>139.1486756118</v>
      </c>
      <c r="BC12">
        <v>141.16432567620001</v>
      </c>
      <c r="BD12">
        <v>151.1486756118</v>
      </c>
      <c r="BE12">
        <v>153.16432567620001</v>
      </c>
      <c r="BF12">
        <v>155.17997574060001</v>
      </c>
      <c r="BG12">
        <v>165.16432567620001</v>
      </c>
      <c r="BH12">
        <v>167.17997574060001</v>
      </c>
      <c r="BI12">
        <v>169.19562580499999</v>
      </c>
      <c r="BJ12">
        <v>179.17997574060001</v>
      </c>
      <c r="BK12">
        <v>181.19562580499999</v>
      </c>
      <c r="BL12">
        <v>183.2112758694</v>
      </c>
      <c r="BM12">
        <v>195.2112758694</v>
      </c>
      <c r="BN12">
        <v>197.2269259338</v>
      </c>
      <c r="BO12">
        <v>209.2269259338</v>
      </c>
      <c r="BP12">
        <v>211.24257599820001</v>
      </c>
      <c r="BQ12">
        <v>223.24257599820001</v>
      </c>
      <c r="BR12">
        <v>225.25822606260002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55.0547752254</v>
      </c>
      <c r="DB12">
        <v>57.070425289800006</v>
      </c>
      <c r="DC12">
        <v>69.070425289799999</v>
      </c>
      <c r="DD12">
        <v>71.086075354200005</v>
      </c>
      <c r="DE12">
        <v>81.070425289799999</v>
      </c>
      <c r="DF12">
        <v>83.086075354200005</v>
      </c>
      <c r="DG12">
        <v>85.101725418599997</v>
      </c>
      <c r="DH12">
        <v>95.086075354200005</v>
      </c>
      <c r="DI12">
        <v>97.101725418599997</v>
      </c>
      <c r="DJ12">
        <v>99.117375483000004</v>
      </c>
      <c r="DK12">
        <v>109.1017254186</v>
      </c>
      <c r="DL12">
        <v>111.117375483</v>
      </c>
      <c r="DM12">
        <v>113.13302554740001</v>
      </c>
      <c r="DN12">
        <v>123.117375483</v>
      </c>
      <c r="DO12">
        <v>125.13302554740001</v>
      </c>
      <c r="DP12">
        <v>127.1486756118</v>
      </c>
      <c r="DQ12">
        <v>137.1330255474</v>
      </c>
      <c r="DR12">
        <v>139.1486756118</v>
      </c>
      <c r="DS12">
        <v>141.16432567620001</v>
      </c>
      <c r="DT12">
        <v>151.1486756118</v>
      </c>
      <c r="DU12">
        <v>153.16432567620001</v>
      </c>
      <c r="DV12">
        <v>155.17997574060001</v>
      </c>
      <c r="DW12">
        <v>165.16432567620001</v>
      </c>
      <c r="DX12">
        <v>167.17997574060001</v>
      </c>
      <c r="DY12">
        <v>169.19562580499999</v>
      </c>
      <c r="DZ12">
        <v>179.17997574060001</v>
      </c>
      <c r="EA12">
        <v>181.19562580499999</v>
      </c>
      <c r="EB12">
        <v>183.2112758694</v>
      </c>
      <c r="EC12">
        <v>195.2112758694</v>
      </c>
      <c r="ED12">
        <v>197.2269259338</v>
      </c>
      <c r="EE12">
        <v>209.2269259338</v>
      </c>
      <c r="EF12">
        <v>211.24257599820001</v>
      </c>
      <c r="EG12">
        <v>223.24257599820001</v>
      </c>
      <c r="EH12">
        <v>225.25822606260002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2.4499999999999997</v>
      </c>
      <c r="FR12">
        <v>5</v>
      </c>
      <c r="FS12">
        <v>1.6000000000000003</v>
      </c>
      <c r="FT12">
        <v>0</v>
      </c>
      <c r="FU12">
        <v>10</v>
      </c>
      <c r="FV12">
        <v>5</v>
      </c>
      <c r="FW12">
        <v>2.9899999999999998</v>
      </c>
      <c r="FX12">
        <v>2.9899999999999998</v>
      </c>
      <c r="FY12">
        <v>1</v>
      </c>
      <c r="FZ12">
        <v>4.125</v>
      </c>
      <c r="GA12">
        <v>1.095683193077468</v>
      </c>
      <c r="GB12">
        <v>7.2623906705539358</v>
      </c>
      <c r="GC12">
        <v>1.1728000000000001</v>
      </c>
      <c r="GD12">
        <v>2.5309310892394863</v>
      </c>
      <c r="GE12">
        <v>12.349125364431487</v>
      </c>
      <c r="GF12">
        <v>1.7281777777777778</v>
      </c>
      <c r="GG12">
        <v>13.164746412555075</v>
      </c>
      <c r="GH12">
        <v>1.3345481049562684</v>
      </c>
      <c r="GI12">
        <v>9.8888888888888893</v>
      </c>
      <c r="GJ12">
        <v>18.320508075688771</v>
      </c>
      <c r="GK12">
        <v>2.6348610067618332</v>
      </c>
      <c r="GL12">
        <v>6.5492895730664351</v>
      </c>
      <c r="GM12">
        <v>13.164746412555075</v>
      </c>
      <c r="GN12">
        <v>3.3277610818933128</v>
      </c>
      <c r="GO12">
        <v>4.2528916662432898</v>
      </c>
      <c r="GP12">
        <v>9.1494297255984218</v>
      </c>
      <c r="GQ12">
        <v>4.1930879038317048</v>
      </c>
      <c r="GR12">
        <v>2.7558299039780527</v>
      </c>
      <c r="GS12">
        <v>6.1320023927966725</v>
      </c>
      <c r="GT12">
        <v>5.25</v>
      </c>
      <c r="GU12">
        <v>1.8467543904215145</v>
      </c>
      <c r="GV12">
        <v>3.969908792127705</v>
      </c>
      <c r="GW12">
        <v>4.1930879038317048</v>
      </c>
      <c r="GX12">
        <v>1.3468305983166522</v>
      </c>
      <c r="GY12">
        <v>2.5205933015693844</v>
      </c>
      <c r="GZ12">
        <v>3.3277610818933128</v>
      </c>
      <c r="HA12">
        <v>1.6415002990995839</v>
      </c>
      <c r="HB12">
        <v>2.6348610067618332</v>
      </c>
      <c r="HC12">
        <v>1.1900741626961731</v>
      </c>
      <c r="HD12">
        <v>2.0952291510142746</v>
      </c>
      <c r="HE12">
        <v>1.0237592703370215</v>
      </c>
      <c r="HF12">
        <v>1.6897069872276482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0</v>
      </c>
      <c r="IK12">
        <v>0</v>
      </c>
      <c r="IL12">
        <v>0</v>
      </c>
      <c r="IM12">
        <v>0</v>
      </c>
      <c r="IN12">
        <v>0</v>
      </c>
      <c r="IO12">
        <v>1</v>
      </c>
      <c r="IP12">
        <v>4.125</v>
      </c>
      <c r="IQ12">
        <v>1.095683193077468</v>
      </c>
      <c r="IR12">
        <v>7.2623906705539358</v>
      </c>
      <c r="IS12">
        <v>1.1728000000000001</v>
      </c>
      <c r="IT12">
        <v>2.5309310892394863</v>
      </c>
      <c r="IU12">
        <v>12.349125364431487</v>
      </c>
      <c r="IV12">
        <v>1.7281777777777778</v>
      </c>
      <c r="IW12">
        <v>13.164746412555075</v>
      </c>
      <c r="IX12">
        <v>1.3345481049562684</v>
      </c>
      <c r="IY12">
        <v>9.8888888888888893</v>
      </c>
      <c r="IZ12">
        <v>18.320508075688771</v>
      </c>
      <c r="JA12">
        <v>2.6348610067618332</v>
      </c>
      <c r="JB12">
        <v>6.5492895730664351</v>
      </c>
      <c r="JC12">
        <v>13.164746412555075</v>
      </c>
      <c r="JD12">
        <v>3.3277610818933128</v>
      </c>
      <c r="JE12">
        <v>4.2528916662432898</v>
      </c>
      <c r="JF12">
        <v>9.1494297255984218</v>
      </c>
      <c r="JG12">
        <v>4.1930879038317048</v>
      </c>
      <c r="JH12">
        <v>2.7558299039780527</v>
      </c>
      <c r="JI12">
        <v>6.1320023927966725</v>
      </c>
      <c r="JJ12">
        <v>5.25</v>
      </c>
      <c r="JK12">
        <v>1.8467543904215145</v>
      </c>
      <c r="JL12">
        <v>3.969908792127705</v>
      </c>
      <c r="JM12">
        <v>4.1930879038317048</v>
      </c>
      <c r="JN12">
        <v>1.3468305983166522</v>
      </c>
      <c r="JO12">
        <v>2.5205933015693844</v>
      </c>
      <c r="JP12">
        <v>3.3277610818933128</v>
      </c>
      <c r="JQ12">
        <v>1.6415002990995839</v>
      </c>
      <c r="JR12">
        <v>2.6348610067618332</v>
      </c>
      <c r="JS12">
        <v>1.1900741626961731</v>
      </c>
      <c r="JT12">
        <v>2.0952291510142746</v>
      </c>
      <c r="JU12">
        <v>1.0237592703370215</v>
      </c>
      <c r="JV12">
        <v>1.6897069872276482</v>
      </c>
      <c r="JW12">
        <v>0</v>
      </c>
      <c r="JX12">
        <v>0</v>
      </c>
      <c r="JY12">
        <v>0</v>
      </c>
      <c r="JZ12">
        <v>0</v>
      </c>
      <c r="KA12">
        <v>0</v>
      </c>
      <c r="KB12">
        <v>0</v>
      </c>
      <c r="KC12">
        <v>0</v>
      </c>
      <c r="KD12">
        <v>0</v>
      </c>
      <c r="KE12">
        <v>0</v>
      </c>
      <c r="KF12">
        <v>0</v>
      </c>
      <c r="KG12">
        <v>0</v>
      </c>
      <c r="KH12">
        <v>0</v>
      </c>
      <c r="KI12">
        <v>0</v>
      </c>
      <c r="KJ12">
        <v>0</v>
      </c>
      <c r="KK12">
        <v>0</v>
      </c>
      <c r="KL12">
        <v>0</v>
      </c>
      <c r="KM12">
        <v>0</v>
      </c>
      <c r="KN12">
        <v>0</v>
      </c>
      <c r="KO12">
        <v>0</v>
      </c>
      <c r="KP12">
        <v>0</v>
      </c>
      <c r="KQ12">
        <v>0</v>
      </c>
      <c r="KR12">
        <v>0</v>
      </c>
      <c r="KS12">
        <v>0</v>
      </c>
      <c r="KT12">
        <v>0</v>
      </c>
      <c r="KU12">
        <v>0</v>
      </c>
      <c r="KV12">
        <v>0</v>
      </c>
      <c r="KW12">
        <v>0</v>
      </c>
      <c r="KX12">
        <v>0</v>
      </c>
      <c r="KY12">
        <v>0</v>
      </c>
      <c r="KZ12">
        <v>0</v>
      </c>
      <c r="LA12">
        <v>0</v>
      </c>
      <c r="LB12">
        <v>0</v>
      </c>
      <c r="LC12">
        <v>0</v>
      </c>
      <c r="LD12">
        <v>0</v>
      </c>
    </row>
    <row r="13" spans="1:316" x14ac:dyDescent="0.2">
      <c r="A13">
        <v>7</v>
      </c>
      <c r="B13" t="s">
        <v>687</v>
      </c>
      <c r="C13" t="s">
        <v>242</v>
      </c>
      <c r="D13" t="s">
        <v>235</v>
      </c>
      <c r="E13" t="s">
        <v>242</v>
      </c>
      <c r="F13" t="s">
        <v>243</v>
      </c>
      <c r="G13" t="s">
        <v>244</v>
      </c>
      <c r="H13">
        <v>-1</v>
      </c>
      <c r="I13">
        <v>8.06</v>
      </c>
      <c r="J13">
        <v>14.155914220666665</v>
      </c>
      <c r="K13" t="s">
        <v>245</v>
      </c>
      <c r="L13">
        <v>0</v>
      </c>
      <c r="M13">
        <v>2</v>
      </c>
      <c r="N13" t="s">
        <v>242</v>
      </c>
      <c r="O13">
        <v>0</v>
      </c>
      <c r="P13">
        <v>0</v>
      </c>
      <c r="Q13">
        <v>0</v>
      </c>
      <c r="R13">
        <v>0</v>
      </c>
      <c r="S13">
        <v>0</v>
      </c>
      <c r="T13">
        <v>20</v>
      </c>
      <c r="U13">
        <v>1</v>
      </c>
      <c r="V13">
        <v>20</v>
      </c>
      <c r="W13">
        <v>2</v>
      </c>
      <c r="X13" t="s">
        <v>242</v>
      </c>
      <c r="Y13">
        <v>368.32923649920002</v>
      </c>
      <c r="Z13">
        <v>350.31867649920002</v>
      </c>
      <c r="AA13">
        <v>370.34487649920004</v>
      </c>
      <c r="AB13">
        <v>352.33431649920004</v>
      </c>
      <c r="AC13">
        <v>647.63421649920008</v>
      </c>
      <c r="AD13">
        <v>371.35251533999997</v>
      </c>
      <c r="AE13">
        <v>353.34195065599999</v>
      </c>
      <c r="AF13">
        <v>555.58686738279994</v>
      </c>
      <c r="AG13" t="s">
        <v>684</v>
      </c>
      <c r="AH13">
        <v>75.044604464599999</v>
      </c>
      <c r="AI13">
        <v>279.30517122359998</v>
      </c>
      <c r="AJ13">
        <v>277.28952115919998</v>
      </c>
      <c r="AK13">
        <v>55.0547752254</v>
      </c>
      <c r="AL13">
        <v>57.070425289800006</v>
      </c>
      <c r="AM13">
        <v>69.070425289799999</v>
      </c>
      <c r="AN13">
        <v>71.086075354200005</v>
      </c>
      <c r="AO13">
        <v>81.070425289799999</v>
      </c>
      <c r="AP13">
        <v>83.086075354200005</v>
      </c>
      <c r="AQ13">
        <v>85.101725418599997</v>
      </c>
      <c r="AR13">
        <v>95.086075354200005</v>
      </c>
      <c r="AS13">
        <v>97.101725418599997</v>
      </c>
      <c r="AT13">
        <v>99.117375483000004</v>
      </c>
      <c r="AU13">
        <v>109.1017254186</v>
      </c>
      <c r="AV13">
        <v>111.117375483</v>
      </c>
      <c r="AW13">
        <v>113.13302554740001</v>
      </c>
      <c r="AX13">
        <v>123.117375483</v>
      </c>
      <c r="AY13">
        <v>125.13302554740001</v>
      </c>
      <c r="AZ13">
        <v>127.1486756118</v>
      </c>
      <c r="BA13">
        <v>137.1330255474</v>
      </c>
      <c r="BB13">
        <v>139.1486756118</v>
      </c>
      <c r="BC13">
        <v>141.16432567620001</v>
      </c>
      <c r="BD13">
        <v>151.1486756118</v>
      </c>
      <c r="BE13">
        <v>153.16432567620001</v>
      </c>
      <c r="BF13">
        <v>155.17997574060001</v>
      </c>
      <c r="BG13">
        <v>165.16432567620001</v>
      </c>
      <c r="BH13">
        <v>167.17997574060001</v>
      </c>
      <c r="BI13">
        <v>169.19562580499999</v>
      </c>
      <c r="BJ13">
        <v>179.17997574060001</v>
      </c>
      <c r="BK13">
        <v>181.19562580499999</v>
      </c>
      <c r="BL13">
        <v>183.2112758694</v>
      </c>
      <c r="BM13">
        <v>195.2112758694</v>
      </c>
      <c r="BN13">
        <v>197.2269259338</v>
      </c>
      <c r="BO13">
        <v>209.2269259338</v>
      </c>
      <c r="BP13">
        <v>211.24257599820001</v>
      </c>
      <c r="BQ13">
        <v>223.24257599820001</v>
      </c>
      <c r="BR13">
        <v>225.25822606260002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55.0547752254</v>
      </c>
      <c r="DB13">
        <v>57.070425289800006</v>
      </c>
      <c r="DC13">
        <v>69.070425289799999</v>
      </c>
      <c r="DD13">
        <v>71.086075354200005</v>
      </c>
      <c r="DE13">
        <v>81.070425289799999</v>
      </c>
      <c r="DF13">
        <v>83.086075354200005</v>
      </c>
      <c r="DG13">
        <v>85.101725418599997</v>
      </c>
      <c r="DH13">
        <v>95.086075354200005</v>
      </c>
      <c r="DI13">
        <v>97.101725418599997</v>
      </c>
      <c r="DJ13">
        <v>99.117375483000004</v>
      </c>
      <c r="DK13">
        <v>109.1017254186</v>
      </c>
      <c r="DL13">
        <v>111.117375483</v>
      </c>
      <c r="DM13">
        <v>113.13302554740001</v>
      </c>
      <c r="DN13">
        <v>123.117375483</v>
      </c>
      <c r="DO13">
        <v>125.13302554740001</v>
      </c>
      <c r="DP13">
        <v>127.1486756118</v>
      </c>
      <c r="DQ13">
        <v>137.1330255474</v>
      </c>
      <c r="DR13">
        <v>139.1486756118</v>
      </c>
      <c r="DS13">
        <v>141.16432567620001</v>
      </c>
      <c r="DT13">
        <v>149.1330255474</v>
      </c>
      <c r="DU13">
        <v>151.1486756118</v>
      </c>
      <c r="DV13">
        <v>153.16432567620001</v>
      </c>
      <c r="DW13">
        <v>155.17997574060001</v>
      </c>
      <c r="DX13">
        <v>163.1486756118</v>
      </c>
      <c r="DY13">
        <v>165.16432567620001</v>
      </c>
      <c r="DZ13">
        <v>167.17997574060001</v>
      </c>
      <c r="EA13">
        <v>169.19562580499999</v>
      </c>
      <c r="EB13">
        <v>177.16432567620001</v>
      </c>
      <c r="EC13">
        <v>179.17997574060001</v>
      </c>
      <c r="ED13">
        <v>181.19562580499999</v>
      </c>
      <c r="EE13">
        <v>183.2112758694</v>
      </c>
      <c r="EF13">
        <v>193.19562580499999</v>
      </c>
      <c r="EG13">
        <v>195.2112758694</v>
      </c>
      <c r="EH13">
        <v>207.2112758694</v>
      </c>
      <c r="EI13">
        <v>209.2269259338</v>
      </c>
      <c r="EJ13">
        <v>221.2269259338</v>
      </c>
      <c r="EK13">
        <v>223.24257599820001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1.7149999999999996</v>
      </c>
      <c r="FR13">
        <v>3.5355339059327378</v>
      </c>
      <c r="FS13">
        <v>0.90509667991878107</v>
      </c>
      <c r="FT13">
        <v>2</v>
      </c>
      <c r="FU13">
        <v>10</v>
      </c>
      <c r="FV13">
        <v>5</v>
      </c>
      <c r="FW13">
        <v>3.887</v>
      </c>
      <c r="FX13">
        <v>6.8769999999999989</v>
      </c>
      <c r="FY13">
        <v>1</v>
      </c>
      <c r="FZ13">
        <v>4.125</v>
      </c>
      <c r="GA13">
        <v>1.095683193077468</v>
      </c>
      <c r="GB13">
        <v>7.2623906705539358</v>
      </c>
      <c r="GC13">
        <v>1.1728000000000001</v>
      </c>
      <c r="GD13">
        <v>2.5309310892394863</v>
      </c>
      <c r="GE13">
        <v>12.349125364431487</v>
      </c>
      <c r="GF13">
        <v>1.7281777777777778</v>
      </c>
      <c r="GG13">
        <v>13.164746412555075</v>
      </c>
      <c r="GH13">
        <v>1.3345481049562684</v>
      </c>
      <c r="GI13">
        <v>9.8888888888888893</v>
      </c>
      <c r="GJ13">
        <v>18.320508075688771</v>
      </c>
      <c r="GK13">
        <v>2.6348610067618332</v>
      </c>
      <c r="GL13">
        <v>6.5492895730664351</v>
      </c>
      <c r="GM13">
        <v>13.164746412555075</v>
      </c>
      <c r="GN13">
        <v>3.3277610818933128</v>
      </c>
      <c r="GO13">
        <v>4.2528916662432898</v>
      </c>
      <c r="GP13">
        <v>9.1494297255984218</v>
      </c>
      <c r="GQ13">
        <v>4.1930879038317048</v>
      </c>
      <c r="GR13">
        <v>2.7558299039780527</v>
      </c>
      <c r="GS13">
        <v>6.1320023927966725</v>
      </c>
      <c r="GT13">
        <v>5.25</v>
      </c>
      <c r="GU13">
        <v>1.8467543904215145</v>
      </c>
      <c r="GV13">
        <v>3.969908792127705</v>
      </c>
      <c r="GW13">
        <v>4.1930879038317048</v>
      </c>
      <c r="GX13">
        <v>1.3468305983166522</v>
      </c>
      <c r="GY13">
        <v>2.5205933015693844</v>
      </c>
      <c r="GZ13">
        <v>3.3277610818933128</v>
      </c>
      <c r="HA13">
        <v>1.6415002990995839</v>
      </c>
      <c r="HB13">
        <v>2.6348610067618332</v>
      </c>
      <c r="HC13">
        <v>1.1900741626961731</v>
      </c>
      <c r="HD13">
        <v>2.0952291510142746</v>
      </c>
      <c r="HE13">
        <v>1.0237592703370215</v>
      </c>
      <c r="HF13">
        <v>1.6897069872276482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0</v>
      </c>
      <c r="IK13">
        <v>0</v>
      </c>
      <c r="IL13">
        <v>0</v>
      </c>
      <c r="IM13">
        <v>0</v>
      </c>
      <c r="IN13">
        <v>0</v>
      </c>
      <c r="IO13">
        <v>1</v>
      </c>
      <c r="IP13">
        <v>1.925925925925926</v>
      </c>
      <c r="IQ13">
        <v>1.17578125</v>
      </c>
      <c r="IR13">
        <v>2.8573588165424901</v>
      </c>
      <c r="IS13">
        <v>1.6911999999999998</v>
      </c>
      <c r="IT13">
        <v>3.8125</v>
      </c>
      <c r="IU13">
        <v>4.3773890508584383</v>
      </c>
      <c r="IV13">
        <v>3.9127111111111117</v>
      </c>
      <c r="IW13">
        <v>19.247119618832613</v>
      </c>
      <c r="IX13">
        <v>1.1486880466472305</v>
      </c>
      <c r="IY13">
        <v>21</v>
      </c>
      <c r="IZ13">
        <v>26.98076211353316</v>
      </c>
      <c r="JA13">
        <v>1.7266048918941481</v>
      </c>
      <c r="JB13">
        <v>13.48590153939948</v>
      </c>
      <c r="JC13">
        <v>19.247119618832613</v>
      </c>
      <c r="JD13">
        <v>2.0345604808414723</v>
      </c>
      <c r="JE13">
        <v>8.3190062490474013</v>
      </c>
      <c r="JF13">
        <v>13.224144588397632</v>
      </c>
      <c r="JG13">
        <v>2.4191501794807575</v>
      </c>
      <c r="JH13">
        <v>5.5460041660316008</v>
      </c>
      <c r="JI13">
        <v>4.9506172839506188</v>
      </c>
      <c r="JJ13">
        <v>8.6980035891950074</v>
      </c>
      <c r="JK13">
        <v>2.8888888888888888</v>
      </c>
      <c r="JL13">
        <v>3.300411522633746</v>
      </c>
      <c r="JM13">
        <v>2.9051973784484075</v>
      </c>
      <c r="JN13">
        <v>5.4548631881915579</v>
      </c>
      <c r="JO13">
        <v>2.4191501794807575</v>
      </c>
      <c r="JP13">
        <v>1.9367982522989384</v>
      </c>
      <c r="JQ13">
        <v>1.7803688462124674</v>
      </c>
      <c r="JR13">
        <v>3.2808899523540767</v>
      </c>
      <c r="JS13">
        <v>2.0345604808414723</v>
      </c>
      <c r="JT13">
        <v>1.2469135802469138</v>
      </c>
      <c r="JU13">
        <v>1.9622504486493759</v>
      </c>
      <c r="JV13">
        <v>1.0487730528882793</v>
      </c>
      <c r="JW13">
        <v>1.2851112440442596</v>
      </c>
      <c r="JX13">
        <v>1.0030483158055175</v>
      </c>
      <c r="JY13">
        <v>1.0356389055055324</v>
      </c>
      <c r="JZ13">
        <v>0</v>
      </c>
      <c r="KA13">
        <v>0</v>
      </c>
      <c r="KB13">
        <v>0</v>
      </c>
      <c r="KC13">
        <v>0</v>
      </c>
      <c r="KD13">
        <v>0</v>
      </c>
      <c r="KE13">
        <v>0</v>
      </c>
      <c r="KF13">
        <v>0</v>
      </c>
      <c r="KG13">
        <v>0</v>
      </c>
      <c r="KH13">
        <v>0</v>
      </c>
      <c r="KI13">
        <v>0</v>
      </c>
      <c r="KJ13">
        <v>0</v>
      </c>
      <c r="KK13">
        <v>0</v>
      </c>
      <c r="KL13">
        <v>0</v>
      </c>
      <c r="KM13">
        <v>0</v>
      </c>
      <c r="KN13">
        <v>0</v>
      </c>
      <c r="KO13">
        <v>0</v>
      </c>
      <c r="KP13">
        <v>0</v>
      </c>
      <c r="KQ13">
        <v>0</v>
      </c>
      <c r="KR13">
        <v>0</v>
      </c>
      <c r="KS13">
        <v>0</v>
      </c>
      <c r="KT13">
        <v>0</v>
      </c>
      <c r="KU13">
        <v>0</v>
      </c>
      <c r="KV13">
        <v>0</v>
      </c>
      <c r="KW13">
        <v>0</v>
      </c>
      <c r="KX13">
        <v>0</v>
      </c>
      <c r="KY13">
        <v>0</v>
      </c>
      <c r="KZ13">
        <v>0</v>
      </c>
      <c r="LA13">
        <v>0</v>
      </c>
      <c r="LB13">
        <v>0</v>
      </c>
      <c r="LC13">
        <v>0</v>
      </c>
      <c r="LD13">
        <v>0</v>
      </c>
    </row>
    <row r="14" spans="1:316" x14ac:dyDescent="0.2">
      <c r="A14">
        <v>8</v>
      </c>
      <c r="B14" t="s">
        <v>688</v>
      </c>
      <c r="C14" t="s">
        <v>246</v>
      </c>
      <c r="D14" t="s">
        <v>237</v>
      </c>
      <c r="E14" t="s">
        <v>246</v>
      </c>
      <c r="F14" t="s">
        <v>247</v>
      </c>
      <c r="G14" t="s">
        <v>248</v>
      </c>
      <c r="H14">
        <v>-1</v>
      </c>
      <c r="I14">
        <v>7.39</v>
      </c>
      <c r="J14">
        <v>13.750334739333328</v>
      </c>
      <c r="K14" t="s">
        <v>249</v>
      </c>
      <c r="L14">
        <v>0</v>
      </c>
      <c r="M14">
        <v>2</v>
      </c>
      <c r="N14" t="s">
        <v>246</v>
      </c>
      <c r="O14">
        <v>0</v>
      </c>
      <c r="P14">
        <v>0</v>
      </c>
      <c r="Q14">
        <v>0</v>
      </c>
      <c r="R14">
        <v>0</v>
      </c>
      <c r="S14">
        <v>0</v>
      </c>
      <c r="T14">
        <v>20</v>
      </c>
      <c r="U14">
        <v>1</v>
      </c>
      <c r="V14">
        <v>20</v>
      </c>
      <c r="W14">
        <v>3</v>
      </c>
      <c r="X14" t="s">
        <v>246</v>
      </c>
      <c r="Y14">
        <v>366.31358643480002</v>
      </c>
      <c r="Z14">
        <v>348.30302643480002</v>
      </c>
      <c r="AA14">
        <v>370.34486643480005</v>
      </c>
      <c r="AB14">
        <v>352.33430643480006</v>
      </c>
      <c r="AC14">
        <v>645.61856643480007</v>
      </c>
      <c r="AD14">
        <v>371.35251533999997</v>
      </c>
      <c r="AE14">
        <v>353.34195065599999</v>
      </c>
      <c r="AF14">
        <v>553.57121731839993</v>
      </c>
      <c r="AG14" t="s">
        <v>684</v>
      </c>
      <c r="AH14">
        <v>75.044604464599999</v>
      </c>
      <c r="AI14">
        <v>279.30517122359998</v>
      </c>
      <c r="AJ14">
        <v>275.27387109479997</v>
      </c>
      <c r="AK14">
        <v>55.0547752254</v>
      </c>
      <c r="AL14">
        <v>57.070425289800006</v>
      </c>
      <c r="AM14">
        <v>69.070425289799999</v>
      </c>
      <c r="AN14">
        <v>71.086075354200005</v>
      </c>
      <c r="AO14">
        <v>81.070425289799999</v>
      </c>
      <c r="AP14">
        <v>83.086075354200005</v>
      </c>
      <c r="AQ14">
        <v>85.101725418599997</v>
      </c>
      <c r="AR14">
        <v>95.086075354200005</v>
      </c>
      <c r="AS14">
        <v>97.101725418599997</v>
      </c>
      <c r="AT14">
        <v>99.117375483000004</v>
      </c>
      <c r="AU14">
        <v>109.1017254186</v>
      </c>
      <c r="AV14">
        <v>111.117375483</v>
      </c>
      <c r="AW14">
        <v>113.13302554740001</v>
      </c>
      <c r="AX14">
        <v>123.117375483</v>
      </c>
      <c r="AY14">
        <v>125.13302554740001</v>
      </c>
      <c r="AZ14">
        <v>127.1486756118</v>
      </c>
      <c r="BA14">
        <v>137.1330255474</v>
      </c>
      <c r="BB14">
        <v>139.1486756118</v>
      </c>
      <c r="BC14">
        <v>141.16432567620001</v>
      </c>
      <c r="BD14">
        <v>151.1486756118</v>
      </c>
      <c r="BE14">
        <v>153.16432567620001</v>
      </c>
      <c r="BF14">
        <v>155.17997574060001</v>
      </c>
      <c r="BG14">
        <v>165.16432567620001</v>
      </c>
      <c r="BH14">
        <v>167.17997574060001</v>
      </c>
      <c r="BI14">
        <v>169.19562580499999</v>
      </c>
      <c r="BJ14">
        <v>179.17997574060001</v>
      </c>
      <c r="BK14">
        <v>181.19562580499999</v>
      </c>
      <c r="BL14">
        <v>183.2112758694</v>
      </c>
      <c r="BM14">
        <v>195.2112758694</v>
      </c>
      <c r="BN14">
        <v>197.2269259338</v>
      </c>
      <c r="BO14">
        <v>209.2269259338</v>
      </c>
      <c r="BP14">
        <v>211.24257599820001</v>
      </c>
      <c r="BQ14">
        <v>223.24257599820001</v>
      </c>
      <c r="BR14">
        <v>225.25822606260002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55.0547752254</v>
      </c>
      <c r="DB14">
        <v>57.070425289800006</v>
      </c>
      <c r="DC14">
        <v>69.070425289799999</v>
      </c>
      <c r="DD14">
        <v>71.086075354200005</v>
      </c>
      <c r="DE14">
        <v>81.070425289799999</v>
      </c>
      <c r="DF14">
        <v>83.086075354200005</v>
      </c>
      <c r="DG14">
        <v>85.101725418599997</v>
      </c>
      <c r="DH14">
        <v>95.086075354200005</v>
      </c>
      <c r="DI14">
        <v>97.101725418599997</v>
      </c>
      <c r="DJ14">
        <v>99.117375483000004</v>
      </c>
      <c r="DK14">
        <v>109.1017254186</v>
      </c>
      <c r="DL14">
        <v>111.117375483</v>
      </c>
      <c r="DM14">
        <v>113.13302554740001</v>
      </c>
      <c r="DN14">
        <v>123.117375483</v>
      </c>
      <c r="DO14">
        <v>125.13302554740001</v>
      </c>
      <c r="DP14">
        <v>137.1330255474</v>
      </c>
      <c r="DQ14">
        <v>139.1486756118</v>
      </c>
      <c r="DR14">
        <v>149.1330255474</v>
      </c>
      <c r="DS14">
        <v>151.1486756118</v>
      </c>
      <c r="DT14">
        <v>153.16432567620001</v>
      </c>
      <c r="DU14">
        <v>163.1486756118</v>
      </c>
      <c r="DV14">
        <v>165.16432567620001</v>
      </c>
      <c r="DW14">
        <v>167.17997574060001</v>
      </c>
      <c r="DX14">
        <v>177.16432567620001</v>
      </c>
      <c r="DY14">
        <v>179.17997574060001</v>
      </c>
      <c r="DZ14">
        <v>181.19562580499999</v>
      </c>
      <c r="EA14">
        <v>191.17997574060001</v>
      </c>
      <c r="EB14">
        <v>193.19562580499999</v>
      </c>
      <c r="EC14">
        <v>205.19562580499999</v>
      </c>
      <c r="ED14">
        <v>207.2112758694</v>
      </c>
      <c r="EE14">
        <v>219.2112758694</v>
      </c>
      <c r="EF14">
        <v>221.2269259338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1.2004999999999997</v>
      </c>
      <c r="FR14">
        <v>2.5</v>
      </c>
      <c r="FS14">
        <v>0.51200000000000023</v>
      </c>
      <c r="FT14">
        <v>8</v>
      </c>
      <c r="FU14">
        <v>10</v>
      </c>
      <c r="FV14">
        <v>5</v>
      </c>
      <c r="FW14">
        <v>5.0531000000000006</v>
      </c>
      <c r="FX14">
        <v>15.817099999999996</v>
      </c>
      <c r="FY14">
        <v>1</v>
      </c>
      <c r="FZ14">
        <v>4.125</v>
      </c>
      <c r="GA14">
        <v>1.095683193077468</v>
      </c>
      <c r="GB14">
        <v>7.2623906705539358</v>
      </c>
      <c r="GC14">
        <v>1.1728000000000001</v>
      </c>
      <c r="GD14">
        <v>2.5309310892394863</v>
      </c>
      <c r="GE14">
        <v>12.349125364431487</v>
      </c>
      <c r="GF14">
        <v>1.7281777777777778</v>
      </c>
      <c r="GG14">
        <v>13.164746412555075</v>
      </c>
      <c r="GH14">
        <v>1.3345481049562684</v>
      </c>
      <c r="GI14">
        <v>9.8888888888888893</v>
      </c>
      <c r="GJ14">
        <v>18.320508075688771</v>
      </c>
      <c r="GK14">
        <v>2.6348610067618332</v>
      </c>
      <c r="GL14">
        <v>6.5492895730664351</v>
      </c>
      <c r="GM14">
        <v>13.164746412555075</v>
      </c>
      <c r="GN14">
        <v>3.3277610818933128</v>
      </c>
      <c r="GO14">
        <v>4.2528916662432898</v>
      </c>
      <c r="GP14">
        <v>9.1494297255984218</v>
      </c>
      <c r="GQ14">
        <v>4.1930879038317048</v>
      </c>
      <c r="GR14">
        <v>2.7558299039780527</v>
      </c>
      <c r="GS14">
        <v>6.1320023927966725</v>
      </c>
      <c r="GT14">
        <v>5.25</v>
      </c>
      <c r="GU14">
        <v>1.8467543904215145</v>
      </c>
      <c r="GV14">
        <v>3.969908792127705</v>
      </c>
      <c r="GW14">
        <v>4.1930879038317048</v>
      </c>
      <c r="GX14">
        <v>1.3468305983166522</v>
      </c>
      <c r="GY14">
        <v>2.5205933015693844</v>
      </c>
      <c r="GZ14">
        <v>3.3277610818933128</v>
      </c>
      <c r="HA14">
        <v>1.6415002990995839</v>
      </c>
      <c r="HB14">
        <v>2.6348610067618332</v>
      </c>
      <c r="HC14">
        <v>1.1900741626961731</v>
      </c>
      <c r="HD14">
        <v>2.0952291510142746</v>
      </c>
      <c r="HE14">
        <v>1.0237592703370215</v>
      </c>
      <c r="HF14">
        <v>1.6897069872276482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0</v>
      </c>
      <c r="IK14">
        <v>0</v>
      </c>
      <c r="IL14">
        <v>0</v>
      </c>
      <c r="IM14">
        <v>0</v>
      </c>
      <c r="IN14">
        <v>0</v>
      </c>
      <c r="IO14">
        <v>1</v>
      </c>
      <c r="IP14">
        <v>1.390625</v>
      </c>
      <c r="IQ14">
        <v>1.095683193077468</v>
      </c>
      <c r="IR14">
        <v>1.784347667638484</v>
      </c>
      <c r="IS14">
        <v>2.5551999999999997</v>
      </c>
      <c r="IT14">
        <v>2.5309310892394863</v>
      </c>
      <c r="IU14">
        <v>2.4310313411078717</v>
      </c>
      <c r="IV14">
        <v>7.5536000000000012</v>
      </c>
      <c r="IW14">
        <v>13.164746412555075</v>
      </c>
      <c r="IX14">
        <v>1.0836370262390671</v>
      </c>
      <c r="IY14">
        <v>36.555555555555557</v>
      </c>
      <c r="IZ14">
        <v>18.320508075688771</v>
      </c>
      <c r="JA14">
        <v>1.4087152516904582</v>
      </c>
      <c r="JB14">
        <v>23.19715829226574</v>
      </c>
      <c r="JC14">
        <v>13.164746412555075</v>
      </c>
      <c r="JD14">
        <v>14.011566664973158</v>
      </c>
      <c r="JE14">
        <v>9.1494297255984218</v>
      </c>
      <c r="JF14">
        <v>8.7764976083700503</v>
      </c>
      <c r="JG14">
        <v>8.0233196159122109</v>
      </c>
      <c r="JH14">
        <v>6.1320023927966725</v>
      </c>
      <c r="JI14">
        <v>5.8509984055800333</v>
      </c>
      <c r="JJ14">
        <v>4.3870175616860578</v>
      </c>
      <c r="JK14">
        <v>3.969908792127705</v>
      </c>
      <c r="JL14">
        <v>3.900665603720022</v>
      </c>
      <c r="JM14">
        <v>2.3873223932666088</v>
      </c>
      <c r="JN14">
        <v>2.5205933015693844</v>
      </c>
      <c r="JO14">
        <v>2.6004437358133479</v>
      </c>
      <c r="JP14">
        <v>1.4389574759945132</v>
      </c>
      <c r="JQ14">
        <v>1.6803955343795896</v>
      </c>
      <c r="JR14">
        <v>1.086707649579163</v>
      </c>
      <c r="JS14">
        <v>0.95930498399634212</v>
      </c>
      <c r="JT14">
        <v>1.0054192280986978</v>
      </c>
      <c r="JU14">
        <v>0</v>
      </c>
      <c r="JV14">
        <v>0</v>
      </c>
      <c r="JW14">
        <v>0</v>
      </c>
      <c r="JX14">
        <v>0</v>
      </c>
      <c r="JY14">
        <v>0</v>
      </c>
      <c r="JZ14">
        <v>0</v>
      </c>
      <c r="KA14">
        <v>0</v>
      </c>
      <c r="KB14">
        <v>0</v>
      </c>
      <c r="KC14">
        <v>0</v>
      </c>
      <c r="KD14">
        <v>0</v>
      </c>
      <c r="KE14">
        <v>0</v>
      </c>
      <c r="KF14">
        <v>0</v>
      </c>
      <c r="KG14">
        <v>0</v>
      </c>
      <c r="KH14">
        <v>0</v>
      </c>
      <c r="KI14">
        <v>0</v>
      </c>
      <c r="KJ14">
        <v>0</v>
      </c>
      <c r="KK14">
        <v>0</v>
      </c>
      <c r="KL14">
        <v>0</v>
      </c>
      <c r="KM14">
        <v>0</v>
      </c>
      <c r="KN14">
        <v>0</v>
      </c>
      <c r="KO14">
        <v>0</v>
      </c>
      <c r="KP14">
        <v>0</v>
      </c>
      <c r="KQ14">
        <v>0</v>
      </c>
      <c r="KR14">
        <v>0</v>
      </c>
      <c r="KS14">
        <v>0</v>
      </c>
      <c r="KT14">
        <v>0</v>
      </c>
      <c r="KU14">
        <v>0</v>
      </c>
      <c r="KV14">
        <v>0</v>
      </c>
      <c r="KW14">
        <v>0</v>
      </c>
      <c r="KX14">
        <v>0</v>
      </c>
      <c r="KY14">
        <v>0</v>
      </c>
      <c r="KZ14">
        <v>0</v>
      </c>
      <c r="LA14">
        <v>0</v>
      </c>
      <c r="LB14">
        <v>0</v>
      </c>
      <c r="LC14">
        <v>0</v>
      </c>
      <c r="LD14">
        <v>0</v>
      </c>
    </row>
    <row r="15" spans="1:316" x14ac:dyDescent="0.2">
      <c r="A15">
        <v>9</v>
      </c>
      <c r="B15" t="s">
        <v>689</v>
      </c>
      <c r="C15" t="s">
        <v>250</v>
      </c>
      <c r="D15" t="s">
        <v>251</v>
      </c>
      <c r="E15" t="s">
        <v>250</v>
      </c>
      <c r="F15" t="s">
        <v>252</v>
      </c>
      <c r="G15" t="s">
        <v>253</v>
      </c>
      <c r="H15">
        <v>-1</v>
      </c>
      <c r="I15">
        <v>6.72</v>
      </c>
      <c r="J15">
        <v>13.344755257999998</v>
      </c>
      <c r="K15" t="s">
        <v>254</v>
      </c>
      <c r="L15">
        <v>0</v>
      </c>
      <c r="M15">
        <v>2</v>
      </c>
      <c r="N15" t="s">
        <v>250</v>
      </c>
      <c r="O15">
        <v>0</v>
      </c>
      <c r="P15">
        <v>0</v>
      </c>
      <c r="Q15">
        <v>0</v>
      </c>
      <c r="R15">
        <v>0</v>
      </c>
      <c r="S15">
        <v>0</v>
      </c>
      <c r="T15">
        <v>20</v>
      </c>
      <c r="U15">
        <v>1</v>
      </c>
      <c r="V15">
        <v>20</v>
      </c>
      <c r="W15">
        <v>4</v>
      </c>
      <c r="X15" t="s">
        <v>250</v>
      </c>
      <c r="Y15">
        <v>364.29793637040001</v>
      </c>
      <c r="Z15">
        <v>346.28737637040001</v>
      </c>
      <c r="AA15">
        <v>370.34485637040001</v>
      </c>
      <c r="AB15">
        <v>352.33429637040001</v>
      </c>
      <c r="AC15">
        <v>643.60291637040007</v>
      </c>
      <c r="AD15">
        <v>371.35251533999997</v>
      </c>
      <c r="AE15">
        <v>353.34195065599999</v>
      </c>
      <c r="AF15">
        <v>551.55556725399993</v>
      </c>
      <c r="AG15" t="s">
        <v>684</v>
      </c>
      <c r="AH15">
        <v>75.044604464599999</v>
      </c>
      <c r="AI15">
        <v>279.30517122359998</v>
      </c>
      <c r="AJ15">
        <v>273.25822103039997</v>
      </c>
      <c r="AK15">
        <v>55.0547752254</v>
      </c>
      <c r="AL15">
        <v>57.070425289800006</v>
      </c>
      <c r="AM15">
        <v>69.070425289799999</v>
      </c>
      <c r="AN15">
        <v>71.086075354200005</v>
      </c>
      <c r="AO15">
        <v>81.070425289799999</v>
      </c>
      <c r="AP15">
        <v>83.086075354200005</v>
      </c>
      <c r="AQ15">
        <v>85.101725418599997</v>
      </c>
      <c r="AR15">
        <v>95.086075354200005</v>
      </c>
      <c r="AS15">
        <v>97.101725418599997</v>
      </c>
      <c r="AT15">
        <v>99.117375483000004</v>
      </c>
      <c r="AU15">
        <v>109.1017254186</v>
      </c>
      <c r="AV15">
        <v>111.117375483</v>
      </c>
      <c r="AW15">
        <v>113.13302554740001</v>
      </c>
      <c r="AX15">
        <v>123.117375483</v>
      </c>
      <c r="AY15">
        <v>125.13302554740001</v>
      </c>
      <c r="AZ15">
        <v>127.1486756118</v>
      </c>
      <c r="BA15">
        <v>137.1330255474</v>
      </c>
      <c r="BB15">
        <v>139.1486756118</v>
      </c>
      <c r="BC15">
        <v>141.16432567620001</v>
      </c>
      <c r="BD15">
        <v>151.1486756118</v>
      </c>
      <c r="BE15">
        <v>153.16432567620001</v>
      </c>
      <c r="BF15">
        <v>155.17997574060001</v>
      </c>
      <c r="BG15">
        <v>165.16432567620001</v>
      </c>
      <c r="BH15">
        <v>167.17997574060001</v>
      </c>
      <c r="BI15">
        <v>169.19562580499999</v>
      </c>
      <c r="BJ15">
        <v>179.17997574060001</v>
      </c>
      <c r="BK15">
        <v>181.19562580499999</v>
      </c>
      <c r="BL15">
        <v>183.2112758694</v>
      </c>
      <c r="BM15">
        <v>195.2112758694</v>
      </c>
      <c r="BN15">
        <v>197.2269259338</v>
      </c>
      <c r="BO15">
        <v>209.2269259338</v>
      </c>
      <c r="BP15">
        <v>211.24257599820001</v>
      </c>
      <c r="BQ15">
        <v>223.24257599820001</v>
      </c>
      <c r="BR15">
        <v>225.25822606260002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55.0547752254</v>
      </c>
      <c r="DB15">
        <v>69.070425289799999</v>
      </c>
      <c r="DC15">
        <v>81.070425289799999</v>
      </c>
      <c r="DD15">
        <v>83.086075354200005</v>
      </c>
      <c r="DE15">
        <v>95.086075354200005</v>
      </c>
      <c r="DF15">
        <v>97.101725418599997</v>
      </c>
      <c r="DG15">
        <v>109.1017254186</v>
      </c>
      <c r="DH15">
        <v>111.117375483</v>
      </c>
      <c r="DI15">
        <v>123.117375483</v>
      </c>
      <c r="DJ15">
        <v>137.1330255474</v>
      </c>
      <c r="DK15">
        <v>149.1330255474</v>
      </c>
      <c r="DL15">
        <v>151.1486756118</v>
      </c>
      <c r="DM15">
        <v>163.1486756118</v>
      </c>
      <c r="DN15">
        <v>165.16432567620001</v>
      </c>
      <c r="DO15">
        <v>177.16432567620001</v>
      </c>
      <c r="DP15">
        <v>179.17997574060001</v>
      </c>
      <c r="DQ15">
        <v>191.17997574060001</v>
      </c>
      <c r="DR15">
        <v>205.19562580499999</v>
      </c>
      <c r="DS15">
        <v>217.19562580499999</v>
      </c>
      <c r="DT15">
        <v>219.2112758694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0.84034999999999971</v>
      </c>
      <c r="FR15">
        <v>1.7677669529663689</v>
      </c>
      <c r="FS15">
        <v>0.28963093757401004</v>
      </c>
      <c r="FT15">
        <v>18</v>
      </c>
      <c r="FU15">
        <v>10</v>
      </c>
      <c r="FV15">
        <v>5</v>
      </c>
      <c r="FW15">
        <v>6.5690300000000006</v>
      </c>
      <c r="FX15">
        <v>36.379329999999989</v>
      </c>
      <c r="FY15">
        <v>1</v>
      </c>
      <c r="FZ15">
        <v>4.125</v>
      </c>
      <c r="GA15">
        <v>1.095683193077468</v>
      </c>
      <c r="GB15">
        <v>7.2623906705539358</v>
      </c>
      <c r="GC15">
        <v>1.1728000000000001</v>
      </c>
      <c r="GD15">
        <v>2.5309310892394863</v>
      </c>
      <c r="GE15">
        <v>12.349125364431487</v>
      </c>
      <c r="GF15">
        <v>1.7281777777777778</v>
      </c>
      <c r="GG15">
        <v>13.164746412555075</v>
      </c>
      <c r="GH15">
        <v>1.3345481049562684</v>
      </c>
      <c r="GI15">
        <v>9.8888888888888893</v>
      </c>
      <c r="GJ15">
        <v>18.320508075688771</v>
      </c>
      <c r="GK15">
        <v>2.6348610067618332</v>
      </c>
      <c r="GL15">
        <v>6.5492895730664351</v>
      </c>
      <c r="GM15">
        <v>13.164746412555075</v>
      </c>
      <c r="GN15">
        <v>3.3277610818933128</v>
      </c>
      <c r="GO15">
        <v>4.2528916662432898</v>
      </c>
      <c r="GP15">
        <v>9.1494297255984218</v>
      </c>
      <c r="GQ15">
        <v>4.1930879038317048</v>
      </c>
      <c r="GR15">
        <v>2.7558299039780527</v>
      </c>
      <c r="GS15">
        <v>6.1320023927966725</v>
      </c>
      <c r="GT15">
        <v>5.25</v>
      </c>
      <c r="GU15">
        <v>1.8467543904215145</v>
      </c>
      <c r="GV15">
        <v>3.969908792127705</v>
      </c>
      <c r="GW15">
        <v>4.1930879038317048</v>
      </c>
      <c r="GX15">
        <v>1.3468305983166522</v>
      </c>
      <c r="GY15">
        <v>2.5205933015693844</v>
      </c>
      <c r="GZ15">
        <v>3.3277610818933128</v>
      </c>
      <c r="HA15">
        <v>1.6415002990995839</v>
      </c>
      <c r="HB15">
        <v>2.6348610067618332</v>
      </c>
      <c r="HC15">
        <v>1.1900741626961731</v>
      </c>
      <c r="HD15">
        <v>2.0952291510142746</v>
      </c>
      <c r="HE15">
        <v>1.0237592703370215</v>
      </c>
      <c r="HF15">
        <v>1.6897069872276482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0</v>
      </c>
      <c r="IK15">
        <v>0</v>
      </c>
      <c r="IL15">
        <v>0</v>
      </c>
      <c r="IM15">
        <v>0</v>
      </c>
      <c r="IN15">
        <v>0</v>
      </c>
      <c r="IO15">
        <v>1</v>
      </c>
      <c r="IP15">
        <v>1.0338291173353296</v>
      </c>
      <c r="IQ15">
        <v>1.6911999999999998</v>
      </c>
      <c r="IR15">
        <v>1.5412658773652741</v>
      </c>
      <c r="IS15">
        <v>3.9127111111111117</v>
      </c>
      <c r="IT15">
        <v>3.7401585041617</v>
      </c>
      <c r="IU15">
        <v>9.8888888888888893</v>
      </c>
      <c r="IV15">
        <v>9.6602540378443855</v>
      </c>
      <c r="IW15">
        <v>13.48590153939948</v>
      </c>
      <c r="IX15">
        <v>8.3190062490474013</v>
      </c>
      <c r="IY15">
        <v>6.4401693585629234</v>
      </c>
      <c r="IZ15">
        <v>4.9506172839506188</v>
      </c>
      <c r="JA15">
        <v>5.5460041660316008</v>
      </c>
      <c r="JB15">
        <v>2.9051973784484075</v>
      </c>
      <c r="JC15">
        <v>3.300411522633746</v>
      </c>
      <c r="JD15">
        <v>1.7803688462124674</v>
      </c>
      <c r="JE15">
        <v>1.9367982522989384</v>
      </c>
      <c r="JF15">
        <v>2.2002743484224974</v>
      </c>
      <c r="JG15">
        <v>1.1869125641416449</v>
      </c>
      <c r="JH15">
        <v>1.2911988348659589</v>
      </c>
      <c r="JI15">
        <v>0</v>
      </c>
      <c r="JJ15">
        <v>0</v>
      </c>
      <c r="JK15">
        <v>0</v>
      </c>
      <c r="JL15">
        <v>0</v>
      </c>
      <c r="JM15">
        <v>0</v>
      </c>
      <c r="JN15">
        <v>0</v>
      </c>
      <c r="JO15">
        <v>0</v>
      </c>
      <c r="JP15">
        <v>0</v>
      </c>
      <c r="JQ15">
        <v>0</v>
      </c>
      <c r="JR15">
        <v>0</v>
      </c>
      <c r="JS15">
        <v>0</v>
      </c>
      <c r="JT15">
        <v>0</v>
      </c>
      <c r="JU15">
        <v>0</v>
      </c>
      <c r="JV15">
        <v>0</v>
      </c>
      <c r="JW15">
        <v>0</v>
      </c>
      <c r="JX15">
        <v>0</v>
      </c>
      <c r="JY15">
        <v>0</v>
      </c>
      <c r="JZ15">
        <v>0</v>
      </c>
      <c r="KA15">
        <v>0</v>
      </c>
      <c r="KB15">
        <v>0</v>
      </c>
      <c r="KC15">
        <v>0</v>
      </c>
      <c r="KD15">
        <v>0</v>
      </c>
      <c r="KE15">
        <v>0</v>
      </c>
      <c r="KF15">
        <v>0</v>
      </c>
      <c r="KG15">
        <v>0</v>
      </c>
      <c r="KH15">
        <v>0</v>
      </c>
      <c r="KI15">
        <v>0</v>
      </c>
      <c r="KJ15">
        <v>0</v>
      </c>
      <c r="KK15">
        <v>0</v>
      </c>
      <c r="KL15">
        <v>0</v>
      </c>
      <c r="KM15">
        <v>0</v>
      </c>
      <c r="KN15">
        <v>0</v>
      </c>
      <c r="KO15">
        <v>0</v>
      </c>
      <c r="KP15">
        <v>0</v>
      </c>
      <c r="KQ15">
        <v>0</v>
      </c>
      <c r="KR15">
        <v>0</v>
      </c>
      <c r="KS15">
        <v>0</v>
      </c>
      <c r="KT15">
        <v>0</v>
      </c>
      <c r="KU15">
        <v>0</v>
      </c>
      <c r="KV15">
        <v>0</v>
      </c>
      <c r="KW15">
        <v>0</v>
      </c>
      <c r="KX15">
        <v>0</v>
      </c>
      <c r="KY15">
        <v>0</v>
      </c>
      <c r="KZ15">
        <v>0</v>
      </c>
      <c r="LA15">
        <v>0</v>
      </c>
      <c r="LB15">
        <v>0</v>
      </c>
      <c r="LC15">
        <v>0</v>
      </c>
      <c r="LD15">
        <v>0</v>
      </c>
    </row>
    <row r="16" spans="1:316" x14ac:dyDescent="0.2">
      <c r="A16">
        <v>10</v>
      </c>
      <c r="B16" t="s">
        <v>688</v>
      </c>
      <c r="C16" t="s">
        <v>255</v>
      </c>
      <c r="D16" t="s">
        <v>237</v>
      </c>
      <c r="E16" t="s">
        <v>255</v>
      </c>
      <c r="F16" t="s">
        <v>256</v>
      </c>
      <c r="G16" t="s">
        <v>257</v>
      </c>
      <c r="H16">
        <v>-1</v>
      </c>
      <c r="I16">
        <v>7.4</v>
      </c>
      <c r="J16">
        <v>13.750334739333328</v>
      </c>
      <c r="K16" t="s">
        <v>258</v>
      </c>
      <c r="L16">
        <v>0</v>
      </c>
      <c r="M16">
        <v>2</v>
      </c>
      <c r="N16" t="s">
        <v>255</v>
      </c>
      <c r="O16">
        <v>0</v>
      </c>
      <c r="P16">
        <v>0</v>
      </c>
      <c r="Q16">
        <v>0</v>
      </c>
      <c r="R16">
        <v>0</v>
      </c>
      <c r="S16">
        <v>0</v>
      </c>
      <c r="T16">
        <v>20</v>
      </c>
      <c r="U16">
        <v>2</v>
      </c>
      <c r="V16">
        <v>20</v>
      </c>
      <c r="W16">
        <v>2</v>
      </c>
      <c r="X16" t="s">
        <v>255</v>
      </c>
      <c r="Y16">
        <v>368.32922643480003</v>
      </c>
      <c r="Z16">
        <v>350.31866643480004</v>
      </c>
      <c r="AA16">
        <v>368.32922643480003</v>
      </c>
      <c r="AB16">
        <v>350.31866643480004</v>
      </c>
      <c r="AC16">
        <v>645.61856643480007</v>
      </c>
      <c r="AD16">
        <v>369.33686527559996</v>
      </c>
      <c r="AE16">
        <v>351.32630059159999</v>
      </c>
      <c r="AF16">
        <v>553.57121731839993</v>
      </c>
      <c r="AG16" t="s">
        <v>684</v>
      </c>
      <c r="AH16">
        <v>75.044604464599999</v>
      </c>
      <c r="AI16">
        <v>277.28952115919998</v>
      </c>
      <c r="AJ16">
        <v>277.28952115919998</v>
      </c>
      <c r="AK16">
        <v>55.0547752254</v>
      </c>
      <c r="AL16">
        <v>57.070425289800006</v>
      </c>
      <c r="AM16">
        <v>69.070425289799999</v>
      </c>
      <c r="AN16">
        <v>71.086075354200005</v>
      </c>
      <c r="AO16">
        <v>81.070425289799999</v>
      </c>
      <c r="AP16">
        <v>83.086075354200005</v>
      </c>
      <c r="AQ16">
        <v>85.101725418599997</v>
      </c>
      <c r="AR16">
        <v>95.086075354200005</v>
      </c>
      <c r="AS16">
        <v>97.101725418599997</v>
      </c>
      <c r="AT16">
        <v>99.117375483000004</v>
      </c>
      <c r="AU16">
        <v>109.1017254186</v>
      </c>
      <c r="AV16">
        <v>111.117375483</v>
      </c>
      <c r="AW16">
        <v>113.13302554740001</v>
      </c>
      <c r="AX16">
        <v>123.117375483</v>
      </c>
      <c r="AY16">
        <v>125.13302554740001</v>
      </c>
      <c r="AZ16">
        <v>127.1486756118</v>
      </c>
      <c r="BA16">
        <v>137.1330255474</v>
      </c>
      <c r="BB16">
        <v>139.1486756118</v>
      </c>
      <c r="BC16">
        <v>141.16432567620001</v>
      </c>
      <c r="BD16">
        <v>149.1330255474</v>
      </c>
      <c r="BE16">
        <v>151.1486756118</v>
      </c>
      <c r="BF16">
        <v>153.16432567620001</v>
      </c>
      <c r="BG16">
        <v>155.17997574060001</v>
      </c>
      <c r="BH16">
        <v>163.1486756118</v>
      </c>
      <c r="BI16">
        <v>165.16432567620001</v>
      </c>
      <c r="BJ16">
        <v>167.17997574060001</v>
      </c>
      <c r="BK16">
        <v>169.19562580499999</v>
      </c>
      <c r="BL16">
        <v>177.16432567620001</v>
      </c>
      <c r="BM16">
        <v>179.17997574060001</v>
      </c>
      <c r="BN16">
        <v>181.19562580499999</v>
      </c>
      <c r="BO16">
        <v>183.2112758694</v>
      </c>
      <c r="BP16">
        <v>193.19562580499999</v>
      </c>
      <c r="BQ16">
        <v>195.2112758694</v>
      </c>
      <c r="BR16">
        <v>207.2112758694</v>
      </c>
      <c r="BS16">
        <v>209.2269259338</v>
      </c>
      <c r="BT16">
        <v>221.2269259338</v>
      </c>
      <c r="BU16">
        <v>223.24257599820001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55.0547752254</v>
      </c>
      <c r="DB16">
        <v>57.070425289800006</v>
      </c>
      <c r="DC16">
        <v>69.070425289799999</v>
      </c>
      <c r="DD16">
        <v>71.086075354200005</v>
      </c>
      <c r="DE16">
        <v>81.070425289799999</v>
      </c>
      <c r="DF16">
        <v>83.086075354200005</v>
      </c>
      <c r="DG16">
        <v>85.101725418599997</v>
      </c>
      <c r="DH16">
        <v>95.086075354200005</v>
      </c>
      <c r="DI16">
        <v>97.101725418599997</v>
      </c>
      <c r="DJ16">
        <v>99.117375483000004</v>
      </c>
      <c r="DK16">
        <v>109.1017254186</v>
      </c>
      <c r="DL16">
        <v>111.117375483</v>
      </c>
      <c r="DM16">
        <v>113.13302554740001</v>
      </c>
      <c r="DN16">
        <v>123.117375483</v>
      </c>
      <c r="DO16">
        <v>125.13302554740001</v>
      </c>
      <c r="DP16">
        <v>127.1486756118</v>
      </c>
      <c r="DQ16">
        <v>137.1330255474</v>
      </c>
      <c r="DR16">
        <v>139.1486756118</v>
      </c>
      <c r="DS16">
        <v>141.16432567620001</v>
      </c>
      <c r="DT16">
        <v>149.1330255474</v>
      </c>
      <c r="DU16">
        <v>151.1486756118</v>
      </c>
      <c r="DV16">
        <v>153.16432567620001</v>
      </c>
      <c r="DW16">
        <v>155.17997574060001</v>
      </c>
      <c r="DX16">
        <v>163.1486756118</v>
      </c>
      <c r="DY16">
        <v>165.16432567620001</v>
      </c>
      <c r="DZ16">
        <v>167.17997574060001</v>
      </c>
      <c r="EA16">
        <v>169.19562580499999</v>
      </c>
      <c r="EB16">
        <v>177.16432567620001</v>
      </c>
      <c r="EC16">
        <v>179.17997574060001</v>
      </c>
      <c r="ED16">
        <v>181.19562580499999</v>
      </c>
      <c r="EE16">
        <v>183.2112758694</v>
      </c>
      <c r="EF16">
        <v>193.19562580499999</v>
      </c>
      <c r="EG16">
        <v>195.2112758694</v>
      </c>
      <c r="EH16">
        <v>207.2112758694</v>
      </c>
      <c r="EI16">
        <v>209.2269259338</v>
      </c>
      <c r="EJ16">
        <v>221.2269259338</v>
      </c>
      <c r="EK16">
        <v>223.24257599820001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1.2004999999999997</v>
      </c>
      <c r="FR16">
        <v>2.5</v>
      </c>
      <c r="FS16">
        <v>0.51200000000000023</v>
      </c>
      <c r="FT16">
        <v>8</v>
      </c>
      <c r="FU16">
        <v>10</v>
      </c>
      <c r="FV16">
        <v>5</v>
      </c>
      <c r="FW16">
        <v>8.9400999999999993</v>
      </c>
      <c r="FX16">
        <v>8.9400999999999993</v>
      </c>
      <c r="FY16">
        <v>1</v>
      </c>
      <c r="FZ16">
        <v>1.925925925925926</v>
      </c>
      <c r="GA16">
        <v>1.17578125</v>
      </c>
      <c r="GB16">
        <v>2.8573588165424901</v>
      </c>
      <c r="GC16">
        <v>1.6911999999999998</v>
      </c>
      <c r="GD16">
        <v>3.8125</v>
      </c>
      <c r="GE16">
        <v>4.3773890508584383</v>
      </c>
      <c r="GF16">
        <v>3.9127111111111117</v>
      </c>
      <c r="GG16">
        <v>19.247119618832613</v>
      </c>
      <c r="GH16">
        <v>1.1486880466472305</v>
      </c>
      <c r="GI16">
        <v>21</v>
      </c>
      <c r="GJ16">
        <v>26.98076211353316</v>
      </c>
      <c r="GK16">
        <v>1.7266048918941481</v>
      </c>
      <c r="GL16">
        <v>13.48590153939948</v>
      </c>
      <c r="GM16">
        <v>19.247119618832613</v>
      </c>
      <c r="GN16">
        <v>2.0345604808414723</v>
      </c>
      <c r="GO16">
        <v>8.3190062490474013</v>
      </c>
      <c r="GP16">
        <v>13.224144588397632</v>
      </c>
      <c r="GQ16">
        <v>2.4191501794807575</v>
      </c>
      <c r="GR16">
        <v>5.5460041660316008</v>
      </c>
      <c r="GS16">
        <v>4.9506172839506188</v>
      </c>
      <c r="GT16">
        <v>8.6980035891950074</v>
      </c>
      <c r="GU16">
        <v>2.8888888888888888</v>
      </c>
      <c r="GV16">
        <v>3.300411522633746</v>
      </c>
      <c r="GW16">
        <v>2.9051973784484075</v>
      </c>
      <c r="GX16">
        <v>5.4548631881915579</v>
      </c>
      <c r="GY16">
        <v>2.4191501794807575</v>
      </c>
      <c r="GZ16">
        <v>1.9367982522989384</v>
      </c>
      <c r="HA16">
        <v>1.7803688462124674</v>
      </c>
      <c r="HB16">
        <v>3.2808899523540767</v>
      </c>
      <c r="HC16">
        <v>2.0345604808414723</v>
      </c>
      <c r="HD16">
        <v>1.2469135802469138</v>
      </c>
      <c r="HE16">
        <v>1.9622504486493759</v>
      </c>
      <c r="HF16">
        <v>1.0487730528882793</v>
      </c>
      <c r="HG16">
        <v>1.2851112440442596</v>
      </c>
      <c r="HH16">
        <v>1.0030483158055175</v>
      </c>
      <c r="HI16">
        <v>1.0356389055055324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0</v>
      </c>
      <c r="IK16">
        <v>0</v>
      </c>
      <c r="IL16">
        <v>0</v>
      </c>
      <c r="IM16">
        <v>0</v>
      </c>
      <c r="IN16">
        <v>0</v>
      </c>
      <c r="IO16">
        <v>1</v>
      </c>
      <c r="IP16">
        <v>1.925925925925926</v>
      </c>
      <c r="IQ16">
        <v>1.17578125</v>
      </c>
      <c r="IR16">
        <v>2.8573588165424901</v>
      </c>
      <c r="IS16">
        <v>1.6911999999999998</v>
      </c>
      <c r="IT16">
        <v>3.8125</v>
      </c>
      <c r="IU16">
        <v>4.3773890508584383</v>
      </c>
      <c r="IV16">
        <v>3.9127111111111117</v>
      </c>
      <c r="IW16">
        <v>19.247119618832613</v>
      </c>
      <c r="IX16">
        <v>1.1486880466472305</v>
      </c>
      <c r="IY16">
        <v>21</v>
      </c>
      <c r="IZ16">
        <v>26.98076211353316</v>
      </c>
      <c r="JA16">
        <v>1.7266048918941481</v>
      </c>
      <c r="JB16">
        <v>13.48590153939948</v>
      </c>
      <c r="JC16">
        <v>19.247119618832613</v>
      </c>
      <c r="JD16">
        <v>2.0345604808414723</v>
      </c>
      <c r="JE16">
        <v>8.3190062490474013</v>
      </c>
      <c r="JF16">
        <v>13.224144588397632</v>
      </c>
      <c r="JG16">
        <v>2.4191501794807575</v>
      </c>
      <c r="JH16">
        <v>5.5460041660316008</v>
      </c>
      <c r="JI16">
        <v>4.9506172839506188</v>
      </c>
      <c r="JJ16">
        <v>8.6980035891950074</v>
      </c>
      <c r="JK16">
        <v>2.8888888888888888</v>
      </c>
      <c r="JL16">
        <v>3.300411522633746</v>
      </c>
      <c r="JM16">
        <v>2.9051973784484075</v>
      </c>
      <c r="JN16">
        <v>5.4548631881915579</v>
      </c>
      <c r="JO16">
        <v>2.4191501794807575</v>
      </c>
      <c r="JP16">
        <v>1.9367982522989384</v>
      </c>
      <c r="JQ16">
        <v>1.7803688462124674</v>
      </c>
      <c r="JR16">
        <v>3.2808899523540767</v>
      </c>
      <c r="JS16">
        <v>2.0345604808414723</v>
      </c>
      <c r="JT16">
        <v>1.2469135802469138</v>
      </c>
      <c r="JU16">
        <v>1.9622504486493759</v>
      </c>
      <c r="JV16">
        <v>1.0487730528882793</v>
      </c>
      <c r="JW16">
        <v>1.2851112440442596</v>
      </c>
      <c r="JX16">
        <v>1.0030483158055175</v>
      </c>
      <c r="JY16">
        <v>1.0356389055055324</v>
      </c>
      <c r="JZ16">
        <v>0</v>
      </c>
      <c r="KA16">
        <v>0</v>
      </c>
      <c r="KB16">
        <v>0</v>
      </c>
      <c r="KC16">
        <v>0</v>
      </c>
      <c r="KD16">
        <v>0</v>
      </c>
      <c r="KE16">
        <v>0</v>
      </c>
      <c r="KF16">
        <v>0</v>
      </c>
      <c r="KG16">
        <v>0</v>
      </c>
      <c r="KH16">
        <v>0</v>
      </c>
      <c r="KI16">
        <v>0</v>
      </c>
      <c r="KJ16">
        <v>0</v>
      </c>
      <c r="KK16">
        <v>0</v>
      </c>
      <c r="KL16">
        <v>0</v>
      </c>
      <c r="KM16">
        <v>0</v>
      </c>
      <c r="KN16">
        <v>0</v>
      </c>
      <c r="KO16">
        <v>0</v>
      </c>
      <c r="KP16">
        <v>0</v>
      </c>
      <c r="KQ16">
        <v>0</v>
      </c>
      <c r="KR16">
        <v>0</v>
      </c>
      <c r="KS16">
        <v>0</v>
      </c>
      <c r="KT16">
        <v>0</v>
      </c>
      <c r="KU16">
        <v>0</v>
      </c>
      <c r="KV16">
        <v>0</v>
      </c>
      <c r="KW16">
        <v>0</v>
      </c>
      <c r="KX16">
        <v>0</v>
      </c>
      <c r="KY16">
        <v>0</v>
      </c>
      <c r="KZ16">
        <v>0</v>
      </c>
      <c r="LA16">
        <v>0</v>
      </c>
      <c r="LB16">
        <v>0</v>
      </c>
      <c r="LC16">
        <v>0</v>
      </c>
      <c r="LD16">
        <v>0</v>
      </c>
    </row>
    <row r="17" spans="1:316" x14ac:dyDescent="0.2">
      <c r="A17">
        <v>11</v>
      </c>
      <c r="B17" t="s">
        <v>689</v>
      </c>
      <c r="C17" t="s">
        <v>259</v>
      </c>
      <c r="D17" t="s">
        <v>251</v>
      </c>
      <c r="E17" t="s">
        <v>259</v>
      </c>
      <c r="F17" t="s">
        <v>260</v>
      </c>
      <c r="G17" t="s">
        <v>261</v>
      </c>
      <c r="H17">
        <v>-1</v>
      </c>
      <c r="I17">
        <v>6.78</v>
      </c>
      <c r="J17">
        <v>13.344755257999998</v>
      </c>
      <c r="K17" t="s">
        <v>262</v>
      </c>
      <c r="L17">
        <v>0</v>
      </c>
      <c r="M17">
        <v>2</v>
      </c>
      <c r="N17" t="s">
        <v>259</v>
      </c>
      <c r="O17">
        <v>0</v>
      </c>
      <c r="P17">
        <v>0</v>
      </c>
      <c r="Q17">
        <v>0</v>
      </c>
      <c r="R17">
        <v>0</v>
      </c>
      <c r="S17">
        <v>0</v>
      </c>
      <c r="T17">
        <v>20</v>
      </c>
      <c r="U17">
        <v>2</v>
      </c>
      <c r="V17">
        <v>20</v>
      </c>
      <c r="W17">
        <v>3</v>
      </c>
      <c r="X17" t="s">
        <v>259</v>
      </c>
      <c r="Y17">
        <v>366.31357637040003</v>
      </c>
      <c r="Z17">
        <v>348.30301637040003</v>
      </c>
      <c r="AA17">
        <v>368.32921637040005</v>
      </c>
      <c r="AB17">
        <v>350.31865637040005</v>
      </c>
      <c r="AC17">
        <v>643.60291637040007</v>
      </c>
      <c r="AD17">
        <v>369.33686527559996</v>
      </c>
      <c r="AE17">
        <v>351.32630059159999</v>
      </c>
      <c r="AF17">
        <v>551.55556725399993</v>
      </c>
      <c r="AG17" t="s">
        <v>684</v>
      </c>
      <c r="AH17">
        <v>75.044604464599999</v>
      </c>
      <c r="AI17">
        <v>277.28952115919998</v>
      </c>
      <c r="AJ17">
        <v>275.27387109479997</v>
      </c>
      <c r="AK17">
        <v>55.0547752254</v>
      </c>
      <c r="AL17">
        <v>57.070425289800006</v>
      </c>
      <c r="AM17">
        <v>69.070425289799999</v>
      </c>
      <c r="AN17">
        <v>71.086075354200005</v>
      </c>
      <c r="AO17">
        <v>81.070425289799999</v>
      </c>
      <c r="AP17">
        <v>83.086075354200005</v>
      </c>
      <c r="AQ17">
        <v>85.101725418599997</v>
      </c>
      <c r="AR17">
        <v>95.086075354200005</v>
      </c>
      <c r="AS17">
        <v>97.101725418599997</v>
      </c>
      <c r="AT17">
        <v>99.117375483000004</v>
      </c>
      <c r="AU17">
        <v>109.1017254186</v>
      </c>
      <c r="AV17">
        <v>111.117375483</v>
      </c>
      <c r="AW17">
        <v>113.13302554740001</v>
      </c>
      <c r="AX17">
        <v>123.117375483</v>
      </c>
      <c r="AY17">
        <v>125.13302554740001</v>
      </c>
      <c r="AZ17">
        <v>127.1486756118</v>
      </c>
      <c r="BA17">
        <v>137.1330255474</v>
      </c>
      <c r="BB17">
        <v>139.1486756118</v>
      </c>
      <c r="BC17">
        <v>141.16432567620001</v>
      </c>
      <c r="BD17">
        <v>149.1330255474</v>
      </c>
      <c r="BE17">
        <v>151.1486756118</v>
      </c>
      <c r="BF17">
        <v>153.16432567620001</v>
      </c>
      <c r="BG17">
        <v>155.17997574060001</v>
      </c>
      <c r="BH17">
        <v>163.1486756118</v>
      </c>
      <c r="BI17">
        <v>165.16432567620001</v>
      </c>
      <c r="BJ17">
        <v>167.17997574060001</v>
      </c>
      <c r="BK17">
        <v>169.19562580499999</v>
      </c>
      <c r="BL17">
        <v>177.16432567620001</v>
      </c>
      <c r="BM17">
        <v>179.17997574060001</v>
      </c>
      <c r="BN17">
        <v>181.19562580499999</v>
      </c>
      <c r="BO17">
        <v>183.2112758694</v>
      </c>
      <c r="BP17">
        <v>193.19562580499999</v>
      </c>
      <c r="BQ17">
        <v>195.2112758694</v>
      </c>
      <c r="BR17">
        <v>207.2112758694</v>
      </c>
      <c r="BS17">
        <v>209.2269259338</v>
      </c>
      <c r="BT17">
        <v>221.2269259338</v>
      </c>
      <c r="BU17">
        <v>223.24257599820001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55.0547752254</v>
      </c>
      <c r="DB17">
        <v>57.070425289800006</v>
      </c>
      <c r="DC17">
        <v>69.070425289799999</v>
      </c>
      <c r="DD17">
        <v>71.086075354200005</v>
      </c>
      <c r="DE17">
        <v>81.070425289799999</v>
      </c>
      <c r="DF17">
        <v>83.086075354200005</v>
      </c>
      <c r="DG17">
        <v>85.101725418599997</v>
      </c>
      <c r="DH17">
        <v>95.086075354200005</v>
      </c>
      <c r="DI17">
        <v>97.101725418599997</v>
      </c>
      <c r="DJ17">
        <v>99.117375483000004</v>
      </c>
      <c r="DK17">
        <v>109.1017254186</v>
      </c>
      <c r="DL17">
        <v>111.117375483</v>
      </c>
      <c r="DM17">
        <v>113.13302554740001</v>
      </c>
      <c r="DN17">
        <v>123.117375483</v>
      </c>
      <c r="DO17">
        <v>125.13302554740001</v>
      </c>
      <c r="DP17">
        <v>137.1330255474</v>
      </c>
      <c r="DQ17">
        <v>139.1486756118</v>
      </c>
      <c r="DR17">
        <v>149.1330255474</v>
      </c>
      <c r="DS17">
        <v>151.1486756118</v>
      </c>
      <c r="DT17">
        <v>153.16432567620001</v>
      </c>
      <c r="DU17">
        <v>163.1486756118</v>
      </c>
      <c r="DV17">
        <v>165.16432567620001</v>
      </c>
      <c r="DW17">
        <v>167.17997574060001</v>
      </c>
      <c r="DX17">
        <v>177.16432567620001</v>
      </c>
      <c r="DY17">
        <v>179.17997574060001</v>
      </c>
      <c r="DZ17">
        <v>181.19562580499999</v>
      </c>
      <c r="EA17">
        <v>191.17997574060001</v>
      </c>
      <c r="EB17">
        <v>193.19562580499999</v>
      </c>
      <c r="EC17">
        <v>205.19562580499999</v>
      </c>
      <c r="ED17">
        <v>207.2112758694</v>
      </c>
      <c r="EE17">
        <v>219.2112758694</v>
      </c>
      <c r="EF17">
        <v>221.2269259338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0.84034999999999971</v>
      </c>
      <c r="FR17">
        <v>1.7677669529663689</v>
      </c>
      <c r="FS17">
        <v>0.28963093757401004</v>
      </c>
      <c r="FT17">
        <v>18</v>
      </c>
      <c r="FU17">
        <v>10</v>
      </c>
      <c r="FV17">
        <v>5</v>
      </c>
      <c r="FW17">
        <v>11.62213</v>
      </c>
      <c r="FX17">
        <v>20.562229999999996</v>
      </c>
      <c r="FY17">
        <v>1</v>
      </c>
      <c r="FZ17">
        <v>1.925925925925926</v>
      </c>
      <c r="GA17">
        <v>1.17578125</v>
      </c>
      <c r="GB17">
        <v>2.8573588165424901</v>
      </c>
      <c r="GC17">
        <v>1.6911999999999998</v>
      </c>
      <c r="GD17">
        <v>3.8125</v>
      </c>
      <c r="GE17">
        <v>4.3773890508584383</v>
      </c>
      <c r="GF17">
        <v>3.9127111111111117</v>
      </c>
      <c r="GG17">
        <v>19.247119618832613</v>
      </c>
      <c r="GH17">
        <v>1.1486880466472305</v>
      </c>
      <c r="GI17">
        <v>21</v>
      </c>
      <c r="GJ17">
        <v>26.98076211353316</v>
      </c>
      <c r="GK17">
        <v>1.7266048918941481</v>
      </c>
      <c r="GL17">
        <v>13.48590153939948</v>
      </c>
      <c r="GM17">
        <v>19.247119618832613</v>
      </c>
      <c r="GN17">
        <v>2.0345604808414723</v>
      </c>
      <c r="GO17">
        <v>8.3190062490474013</v>
      </c>
      <c r="GP17">
        <v>13.224144588397632</v>
      </c>
      <c r="GQ17">
        <v>2.4191501794807575</v>
      </c>
      <c r="GR17">
        <v>5.5460041660316008</v>
      </c>
      <c r="GS17">
        <v>4.9506172839506188</v>
      </c>
      <c r="GT17">
        <v>8.6980035891950074</v>
      </c>
      <c r="GU17">
        <v>2.8888888888888888</v>
      </c>
      <c r="GV17">
        <v>3.300411522633746</v>
      </c>
      <c r="GW17">
        <v>2.9051973784484075</v>
      </c>
      <c r="GX17">
        <v>5.4548631881915579</v>
      </c>
      <c r="GY17">
        <v>2.4191501794807575</v>
      </c>
      <c r="GZ17">
        <v>1.9367982522989384</v>
      </c>
      <c r="HA17">
        <v>1.7803688462124674</v>
      </c>
      <c r="HB17">
        <v>3.2808899523540767</v>
      </c>
      <c r="HC17">
        <v>2.0345604808414723</v>
      </c>
      <c r="HD17">
        <v>1.2469135802469138</v>
      </c>
      <c r="HE17">
        <v>1.9622504486493759</v>
      </c>
      <c r="HF17">
        <v>1.0487730528882793</v>
      </c>
      <c r="HG17">
        <v>1.2851112440442596</v>
      </c>
      <c r="HH17">
        <v>1.0030483158055175</v>
      </c>
      <c r="HI17">
        <v>1.0356389055055324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0</v>
      </c>
      <c r="IK17">
        <v>0</v>
      </c>
      <c r="IL17">
        <v>0</v>
      </c>
      <c r="IM17">
        <v>0</v>
      </c>
      <c r="IN17">
        <v>0</v>
      </c>
      <c r="IO17">
        <v>1</v>
      </c>
      <c r="IP17">
        <v>1.390625</v>
      </c>
      <c r="IQ17">
        <v>1.095683193077468</v>
      </c>
      <c r="IR17">
        <v>1.784347667638484</v>
      </c>
      <c r="IS17">
        <v>2.5551999999999997</v>
      </c>
      <c r="IT17">
        <v>2.5309310892394863</v>
      </c>
      <c r="IU17">
        <v>2.4310313411078717</v>
      </c>
      <c r="IV17">
        <v>7.5536000000000012</v>
      </c>
      <c r="IW17">
        <v>13.164746412555075</v>
      </c>
      <c r="IX17">
        <v>1.0836370262390671</v>
      </c>
      <c r="IY17">
        <v>36.555555555555557</v>
      </c>
      <c r="IZ17">
        <v>18.320508075688771</v>
      </c>
      <c r="JA17">
        <v>1.4087152516904582</v>
      </c>
      <c r="JB17">
        <v>23.19715829226574</v>
      </c>
      <c r="JC17">
        <v>13.164746412555075</v>
      </c>
      <c r="JD17">
        <v>14.011566664973158</v>
      </c>
      <c r="JE17">
        <v>9.1494297255984218</v>
      </c>
      <c r="JF17">
        <v>8.7764976083700503</v>
      </c>
      <c r="JG17">
        <v>8.0233196159122109</v>
      </c>
      <c r="JH17">
        <v>6.1320023927966725</v>
      </c>
      <c r="JI17">
        <v>5.8509984055800333</v>
      </c>
      <c r="JJ17">
        <v>4.3870175616860578</v>
      </c>
      <c r="JK17">
        <v>3.969908792127705</v>
      </c>
      <c r="JL17">
        <v>3.900665603720022</v>
      </c>
      <c r="JM17">
        <v>2.3873223932666088</v>
      </c>
      <c r="JN17">
        <v>2.5205933015693844</v>
      </c>
      <c r="JO17">
        <v>2.6004437358133479</v>
      </c>
      <c r="JP17">
        <v>1.4389574759945132</v>
      </c>
      <c r="JQ17">
        <v>1.6803955343795896</v>
      </c>
      <c r="JR17">
        <v>1.086707649579163</v>
      </c>
      <c r="JS17">
        <v>0.95930498399634212</v>
      </c>
      <c r="JT17">
        <v>1.0054192280986978</v>
      </c>
      <c r="JU17">
        <v>0</v>
      </c>
      <c r="JV17">
        <v>0</v>
      </c>
      <c r="JW17">
        <v>0</v>
      </c>
      <c r="JX17">
        <v>0</v>
      </c>
      <c r="JY17">
        <v>0</v>
      </c>
      <c r="JZ17">
        <v>0</v>
      </c>
      <c r="KA17">
        <v>0</v>
      </c>
      <c r="KB17">
        <v>0</v>
      </c>
      <c r="KC17">
        <v>0</v>
      </c>
      <c r="KD17">
        <v>0</v>
      </c>
      <c r="KE17">
        <v>0</v>
      </c>
      <c r="KF17">
        <v>0</v>
      </c>
      <c r="KG17">
        <v>0</v>
      </c>
      <c r="KH17">
        <v>0</v>
      </c>
      <c r="KI17">
        <v>0</v>
      </c>
      <c r="KJ17">
        <v>0</v>
      </c>
      <c r="KK17">
        <v>0</v>
      </c>
      <c r="KL17">
        <v>0</v>
      </c>
      <c r="KM17">
        <v>0</v>
      </c>
      <c r="KN17">
        <v>0</v>
      </c>
      <c r="KO17">
        <v>0</v>
      </c>
      <c r="KP17">
        <v>0</v>
      </c>
      <c r="KQ17">
        <v>0</v>
      </c>
      <c r="KR17">
        <v>0</v>
      </c>
      <c r="KS17">
        <v>0</v>
      </c>
      <c r="KT17">
        <v>0</v>
      </c>
      <c r="KU17">
        <v>0</v>
      </c>
      <c r="KV17">
        <v>0</v>
      </c>
      <c r="KW17">
        <v>0</v>
      </c>
      <c r="KX17">
        <v>0</v>
      </c>
      <c r="KY17">
        <v>0</v>
      </c>
      <c r="KZ17">
        <v>0</v>
      </c>
      <c r="LA17">
        <v>0</v>
      </c>
      <c r="LB17">
        <v>0</v>
      </c>
      <c r="LC17">
        <v>0</v>
      </c>
      <c r="LD17">
        <v>0</v>
      </c>
    </row>
    <row r="18" spans="1:316" x14ac:dyDescent="0.2">
      <c r="A18">
        <v>12</v>
      </c>
      <c r="B18" t="s">
        <v>690</v>
      </c>
      <c r="C18" t="s">
        <v>263</v>
      </c>
      <c r="D18" t="s">
        <v>264</v>
      </c>
      <c r="E18" t="s">
        <v>263</v>
      </c>
      <c r="F18" t="s">
        <v>265</v>
      </c>
      <c r="G18" t="s">
        <v>266</v>
      </c>
      <c r="H18">
        <v>-1</v>
      </c>
      <c r="I18">
        <v>6.16</v>
      </c>
      <c r="J18">
        <v>12.939175776666664</v>
      </c>
      <c r="K18" t="s">
        <v>267</v>
      </c>
      <c r="L18">
        <v>0</v>
      </c>
      <c r="M18">
        <v>2</v>
      </c>
      <c r="N18" t="s">
        <v>263</v>
      </c>
      <c r="O18">
        <v>0</v>
      </c>
      <c r="P18">
        <v>0</v>
      </c>
      <c r="Q18">
        <v>0</v>
      </c>
      <c r="R18">
        <v>0</v>
      </c>
      <c r="S18">
        <v>0</v>
      </c>
      <c r="T18">
        <v>20</v>
      </c>
      <c r="U18">
        <v>2</v>
      </c>
      <c r="V18">
        <v>20</v>
      </c>
      <c r="W18">
        <v>4</v>
      </c>
      <c r="X18" t="s">
        <v>263</v>
      </c>
      <c r="Y18">
        <v>364.29792630600002</v>
      </c>
      <c r="Z18">
        <v>346.28736630600002</v>
      </c>
      <c r="AA18">
        <v>368.329206306</v>
      </c>
      <c r="AB18">
        <v>350.31864630600001</v>
      </c>
      <c r="AC18">
        <v>641.58726630600006</v>
      </c>
      <c r="AD18">
        <v>369.33686527559996</v>
      </c>
      <c r="AE18">
        <v>351.32630059159999</v>
      </c>
      <c r="AF18">
        <v>549.53991718959992</v>
      </c>
      <c r="AG18" t="s">
        <v>684</v>
      </c>
      <c r="AH18">
        <v>75.044604464599999</v>
      </c>
      <c r="AI18">
        <v>277.28952115919998</v>
      </c>
      <c r="AJ18">
        <v>273.25822103039997</v>
      </c>
      <c r="AK18">
        <v>55.0547752254</v>
      </c>
      <c r="AL18">
        <v>57.070425289800006</v>
      </c>
      <c r="AM18">
        <v>69.070425289799999</v>
      </c>
      <c r="AN18">
        <v>71.086075354200005</v>
      </c>
      <c r="AO18">
        <v>81.070425289799999</v>
      </c>
      <c r="AP18">
        <v>83.086075354200005</v>
      </c>
      <c r="AQ18">
        <v>85.101725418599997</v>
      </c>
      <c r="AR18">
        <v>95.086075354200005</v>
      </c>
      <c r="AS18">
        <v>97.101725418599997</v>
      </c>
      <c r="AT18">
        <v>99.117375483000004</v>
      </c>
      <c r="AU18">
        <v>109.1017254186</v>
      </c>
      <c r="AV18">
        <v>111.117375483</v>
      </c>
      <c r="AW18">
        <v>113.13302554740001</v>
      </c>
      <c r="AX18">
        <v>123.117375483</v>
      </c>
      <c r="AY18">
        <v>125.13302554740001</v>
      </c>
      <c r="AZ18">
        <v>127.1486756118</v>
      </c>
      <c r="BA18">
        <v>137.1330255474</v>
      </c>
      <c r="BB18">
        <v>139.1486756118</v>
      </c>
      <c r="BC18">
        <v>141.16432567620001</v>
      </c>
      <c r="BD18">
        <v>149.1330255474</v>
      </c>
      <c r="BE18">
        <v>151.1486756118</v>
      </c>
      <c r="BF18">
        <v>153.16432567620001</v>
      </c>
      <c r="BG18">
        <v>155.17997574060001</v>
      </c>
      <c r="BH18">
        <v>163.1486756118</v>
      </c>
      <c r="BI18">
        <v>165.16432567620001</v>
      </c>
      <c r="BJ18">
        <v>167.17997574060001</v>
      </c>
      <c r="BK18">
        <v>169.19562580499999</v>
      </c>
      <c r="BL18">
        <v>177.16432567620001</v>
      </c>
      <c r="BM18">
        <v>179.17997574060001</v>
      </c>
      <c r="BN18">
        <v>181.19562580499999</v>
      </c>
      <c r="BO18">
        <v>183.2112758694</v>
      </c>
      <c r="BP18">
        <v>193.19562580499999</v>
      </c>
      <c r="BQ18">
        <v>195.2112758694</v>
      </c>
      <c r="BR18">
        <v>207.2112758694</v>
      </c>
      <c r="BS18">
        <v>209.2269259338</v>
      </c>
      <c r="BT18">
        <v>221.2269259338</v>
      </c>
      <c r="BU18">
        <v>223.24257599820001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55.0547752254</v>
      </c>
      <c r="DB18">
        <v>69.070425289799999</v>
      </c>
      <c r="DC18">
        <v>81.070425289799999</v>
      </c>
      <c r="DD18">
        <v>83.086075354200005</v>
      </c>
      <c r="DE18">
        <v>95.086075354200005</v>
      </c>
      <c r="DF18">
        <v>97.101725418599997</v>
      </c>
      <c r="DG18">
        <v>109.1017254186</v>
      </c>
      <c r="DH18">
        <v>111.117375483</v>
      </c>
      <c r="DI18">
        <v>123.117375483</v>
      </c>
      <c r="DJ18">
        <v>137.1330255474</v>
      </c>
      <c r="DK18">
        <v>149.1330255474</v>
      </c>
      <c r="DL18">
        <v>151.1486756118</v>
      </c>
      <c r="DM18">
        <v>163.1486756118</v>
      </c>
      <c r="DN18">
        <v>165.16432567620001</v>
      </c>
      <c r="DO18">
        <v>177.16432567620001</v>
      </c>
      <c r="DP18">
        <v>179.17997574060001</v>
      </c>
      <c r="DQ18">
        <v>191.17997574060001</v>
      </c>
      <c r="DR18">
        <v>205.19562580499999</v>
      </c>
      <c r="DS18">
        <v>217.19562580499999</v>
      </c>
      <c r="DT18">
        <v>219.2112758694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0.58824499999999968</v>
      </c>
      <c r="FR18">
        <v>1.25</v>
      </c>
      <c r="FS18">
        <v>0.1638400000000001</v>
      </c>
      <c r="FT18">
        <v>32</v>
      </c>
      <c r="FU18">
        <v>10</v>
      </c>
      <c r="FV18">
        <v>5</v>
      </c>
      <c r="FW18">
        <v>15.108769000000001</v>
      </c>
      <c r="FX18">
        <v>47.293128999999986</v>
      </c>
      <c r="FY18">
        <v>1</v>
      </c>
      <c r="FZ18">
        <v>1.925925925925926</v>
      </c>
      <c r="GA18">
        <v>1.17578125</v>
      </c>
      <c r="GB18">
        <v>2.8573588165424901</v>
      </c>
      <c r="GC18">
        <v>1.6911999999999998</v>
      </c>
      <c r="GD18">
        <v>3.8125</v>
      </c>
      <c r="GE18">
        <v>4.3773890508584383</v>
      </c>
      <c r="GF18">
        <v>3.9127111111111117</v>
      </c>
      <c r="GG18">
        <v>19.247119618832613</v>
      </c>
      <c r="GH18">
        <v>1.1486880466472305</v>
      </c>
      <c r="GI18">
        <v>21</v>
      </c>
      <c r="GJ18">
        <v>26.98076211353316</v>
      </c>
      <c r="GK18">
        <v>1.7266048918941481</v>
      </c>
      <c r="GL18">
        <v>13.48590153939948</v>
      </c>
      <c r="GM18">
        <v>19.247119618832613</v>
      </c>
      <c r="GN18">
        <v>2.0345604808414723</v>
      </c>
      <c r="GO18">
        <v>8.3190062490474013</v>
      </c>
      <c r="GP18">
        <v>13.224144588397632</v>
      </c>
      <c r="GQ18">
        <v>2.4191501794807575</v>
      </c>
      <c r="GR18">
        <v>5.5460041660316008</v>
      </c>
      <c r="GS18">
        <v>4.9506172839506188</v>
      </c>
      <c r="GT18">
        <v>8.6980035891950074</v>
      </c>
      <c r="GU18">
        <v>2.8888888888888888</v>
      </c>
      <c r="GV18">
        <v>3.300411522633746</v>
      </c>
      <c r="GW18">
        <v>2.9051973784484075</v>
      </c>
      <c r="GX18">
        <v>5.4548631881915579</v>
      </c>
      <c r="GY18">
        <v>2.4191501794807575</v>
      </c>
      <c r="GZ18">
        <v>1.9367982522989384</v>
      </c>
      <c r="HA18">
        <v>1.7803688462124674</v>
      </c>
      <c r="HB18">
        <v>3.2808899523540767</v>
      </c>
      <c r="HC18">
        <v>2.0345604808414723</v>
      </c>
      <c r="HD18">
        <v>1.2469135802469138</v>
      </c>
      <c r="HE18">
        <v>1.9622504486493759</v>
      </c>
      <c r="HF18">
        <v>1.0487730528882793</v>
      </c>
      <c r="HG18">
        <v>1.2851112440442596</v>
      </c>
      <c r="HH18">
        <v>1.0030483158055175</v>
      </c>
      <c r="HI18">
        <v>1.0356389055055324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0</v>
      </c>
      <c r="IK18">
        <v>0</v>
      </c>
      <c r="IL18">
        <v>0</v>
      </c>
      <c r="IM18">
        <v>0</v>
      </c>
      <c r="IN18">
        <v>0</v>
      </c>
      <c r="IO18">
        <v>1</v>
      </c>
      <c r="IP18">
        <v>1.0338291173353296</v>
      </c>
      <c r="IQ18">
        <v>1.6911999999999998</v>
      </c>
      <c r="IR18">
        <v>1.5412658773652741</v>
      </c>
      <c r="IS18">
        <v>3.9127111111111117</v>
      </c>
      <c r="IT18">
        <v>3.7401585041617</v>
      </c>
      <c r="IU18">
        <v>9.8888888888888893</v>
      </c>
      <c r="IV18">
        <v>9.6602540378443855</v>
      </c>
      <c r="IW18">
        <v>13.48590153939948</v>
      </c>
      <c r="IX18">
        <v>8.3190062490474013</v>
      </c>
      <c r="IY18">
        <v>6.4401693585629234</v>
      </c>
      <c r="IZ18">
        <v>4.9506172839506188</v>
      </c>
      <c r="JA18">
        <v>5.5460041660316008</v>
      </c>
      <c r="JB18">
        <v>2.9051973784484075</v>
      </c>
      <c r="JC18">
        <v>3.300411522633746</v>
      </c>
      <c r="JD18">
        <v>1.7803688462124674</v>
      </c>
      <c r="JE18">
        <v>1.9367982522989384</v>
      </c>
      <c r="JF18">
        <v>2.2002743484224974</v>
      </c>
      <c r="JG18">
        <v>1.1869125641416449</v>
      </c>
      <c r="JH18">
        <v>1.2911988348659589</v>
      </c>
      <c r="JI18">
        <v>0</v>
      </c>
      <c r="JJ18">
        <v>0</v>
      </c>
      <c r="JK18">
        <v>0</v>
      </c>
      <c r="JL18">
        <v>0</v>
      </c>
      <c r="JM18">
        <v>0</v>
      </c>
      <c r="JN18">
        <v>0</v>
      </c>
      <c r="JO18">
        <v>0</v>
      </c>
      <c r="JP18">
        <v>0</v>
      </c>
      <c r="JQ18">
        <v>0</v>
      </c>
      <c r="JR18">
        <v>0</v>
      </c>
      <c r="JS18">
        <v>0</v>
      </c>
      <c r="JT18">
        <v>0</v>
      </c>
      <c r="JU18">
        <v>0</v>
      </c>
      <c r="JV18">
        <v>0</v>
      </c>
      <c r="JW18">
        <v>0</v>
      </c>
      <c r="JX18">
        <v>0</v>
      </c>
      <c r="JY18">
        <v>0</v>
      </c>
      <c r="JZ18">
        <v>0</v>
      </c>
      <c r="KA18">
        <v>0</v>
      </c>
      <c r="KB18">
        <v>0</v>
      </c>
      <c r="KC18">
        <v>0</v>
      </c>
      <c r="KD18">
        <v>0</v>
      </c>
      <c r="KE18">
        <v>0</v>
      </c>
      <c r="KF18">
        <v>0</v>
      </c>
      <c r="KG18">
        <v>0</v>
      </c>
      <c r="KH18">
        <v>0</v>
      </c>
      <c r="KI18">
        <v>0</v>
      </c>
      <c r="KJ18">
        <v>0</v>
      </c>
      <c r="KK18">
        <v>0</v>
      </c>
      <c r="KL18">
        <v>0</v>
      </c>
      <c r="KM18">
        <v>0</v>
      </c>
      <c r="KN18">
        <v>0</v>
      </c>
      <c r="KO18">
        <v>0</v>
      </c>
      <c r="KP18">
        <v>0</v>
      </c>
      <c r="KQ18">
        <v>0</v>
      </c>
      <c r="KR18">
        <v>0</v>
      </c>
      <c r="KS18">
        <v>0</v>
      </c>
      <c r="KT18">
        <v>0</v>
      </c>
      <c r="KU18">
        <v>0</v>
      </c>
      <c r="KV18">
        <v>0</v>
      </c>
      <c r="KW18">
        <v>0</v>
      </c>
      <c r="KX18">
        <v>0</v>
      </c>
      <c r="KY18">
        <v>0</v>
      </c>
      <c r="KZ18">
        <v>0</v>
      </c>
      <c r="LA18">
        <v>0</v>
      </c>
      <c r="LB18">
        <v>0</v>
      </c>
      <c r="LC18">
        <v>0</v>
      </c>
      <c r="LD18">
        <v>0</v>
      </c>
    </row>
    <row r="19" spans="1:316" x14ac:dyDescent="0.2">
      <c r="A19">
        <v>13</v>
      </c>
      <c r="B19" t="s">
        <v>690</v>
      </c>
      <c r="C19" t="s">
        <v>268</v>
      </c>
      <c r="D19" t="s">
        <v>264</v>
      </c>
      <c r="E19" t="s">
        <v>268</v>
      </c>
      <c r="F19" t="s">
        <v>269</v>
      </c>
      <c r="G19" t="s">
        <v>270</v>
      </c>
      <c r="H19">
        <v>-1</v>
      </c>
      <c r="I19">
        <v>6.2</v>
      </c>
      <c r="J19">
        <v>12.939175776666664</v>
      </c>
      <c r="K19" t="s">
        <v>271</v>
      </c>
      <c r="L19">
        <v>0</v>
      </c>
      <c r="M19">
        <v>2</v>
      </c>
      <c r="N19" t="s">
        <v>268</v>
      </c>
      <c r="O19">
        <v>0</v>
      </c>
      <c r="P19">
        <v>0</v>
      </c>
      <c r="Q19">
        <v>0</v>
      </c>
      <c r="R19">
        <v>0</v>
      </c>
      <c r="S19">
        <v>0</v>
      </c>
      <c r="T19">
        <v>20</v>
      </c>
      <c r="U19">
        <v>3</v>
      </c>
      <c r="V19">
        <v>20</v>
      </c>
      <c r="W19">
        <v>3</v>
      </c>
      <c r="X19" t="s">
        <v>268</v>
      </c>
      <c r="Y19">
        <v>366.31356630600004</v>
      </c>
      <c r="Z19">
        <v>348.30300630600004</v>
      </c>
      <c r="AA19">
        <v>366.31356630600004</v>
      </c>
      <c r="AB19">
        <v>348.30300630600004</v>
      </c>
      <c r="AC19">
        <v>641.58726630600006</v>
      </c>
      <c r="AD19">
        <v>367.32121521119996</v>
      </c>
      <c r="AE19">
        <v>349.31065052719998</v>
      </c>
      <c r="AF19">
        <v>549.53991718959992</v>
      </c>
      <c r="AG19" t="s">
        <v>684</v>
      </c>
      <c r="AH19">
        <v>75.044604464599999</v>
      </c>
      <c r="AI19">
        <v>275.27387109479997</v>
      </c>
      <c r="AJ19">
        <v>275.27387109479997</v>
      </c>
      <c r="AK19">
        <v>55.0547752254</v>
      </c>
      <c r="AL19">
        <v>57.070425289800006</v>
      </c>
      <c r="AM19">
        <v>69.070425289799999</v>
      </c>
      <c r="AN19">
        <v>71.086075354200005</v>
      </c>
      <c r="AO19">
        <v>81.070425289799999</v>
      </c>
      <c r="AP19">
        <v>83.086075354200005</v>
      </c>
      <c r="AQ19">
        <v>85.101725418599997</v>
      </c>
      <c r="AR19">
        <v>95.086075354200005</v>
      </c>
      <c r="AS19">
        <v>97.101725418599997</v>
      </c>
      <c r="AT19">
        <v>99.117375483000004</v>
      </c>
      <c r="AU19">
        <v>109.1017254186</v>
      </c>
      <c r="AV19">
        <v>111.117375483</v>
      </c>
      <c r="AW19">
        <v>113.13302554740001</v>
      </c>
      <c r="AX19">
        <v>123.117375483</v>
      </c>
      <c r="AY19">
        <v>125.13302554740001</v>
      </c>
      <c r="AZ19">
        <v>137.1330255474</v>
      </c>
      <c r="BA19">
        <v>139.1486756118</v>
      </c>
      <c r="BB19">
        <v>149.1330255474</v>
      </c>
      <c r="BC19">
        <v>151.1486756118</v>
      </c>
      <c r="BD19">
        <v>153.16432567620001</v>
      </c>
      <c r="BE19">
        <v>163.1486756118</v>
      </c>
      <c r="BF19">
        <v>165.16432567620001</v>
      </c>
      <c r="BG19">
        <v>167.17997574060001</v>
      </c>
      <c r="BH19">
        <v>177.16432567620001</v>
      </c>
      <c r="BI19">
        <v>179.17997574060001</v>
      </c>
      <c r="BJ19">
        <v>181.19562580499999</v>
      </c>
      <c r="BK19">
        <v>191.17997574060001</v>
      </c>
      <c r="BL19">
        <v>193.19562580499999</v>
      </c>
      <c r="BM19">
        <v>205.19562580499999</v>
      </c>
      <c r="BN19">
        <v>207.2112758694</v>
      </c>
      <c r="BO19">
        <v>219.2112758694</v>
      </c>
      <c r="BP19">
        <v>221.2269259338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55.0547752254</v>
      </c>
      <c r="DB19">
        <v>57.070425289800006</v>
      </c>
      <c r="DC19">
        <v>69.070425289799999</v>
      </c>
      <c r="DD19">
        <v>71.086075354200005</v>
      </c>
      <c r="DE19">
        <v>81.070425289799999</v>
      </c>
      <c r="DF19">
        <v>83.086075354200005</v>
      </c>
      <c r="DG19">
        <v>85.101725418599997</v>
      </c>
      <c r="DH19">
        <v>95.086075354200005</v>
      </c>
      <c r="DI19">
        <v>97.101725418599997</v>
      </c>
      <c r="DJ19">
        <v>99.117375483000004</v>
      </c>
      <c r="DK19">
        <v>109.1017254186</v>
      </c>
      <c r="DL19">
        <v>111.117375483</v>
      </c>
      <c r="DM19">
        <v>113.13302554740001</v>
      </c>
      <c r="DN19">
        <v>123.117375483</v>
      </c>
      <c r="DO19">
        <v>125.13302554740001</v>
      </c>
      <c r="DP19">
        <v>137.1330255474</v>
      </c>
      <c r="DQ19">
        <v>139.1486756118</v>
      </c>
      <c r="DR19">
        <v>149.1330255474</v>
      </c>
      <c r="DS19">
        <v>151.1486756118</v>
      </c>
      <c r="DT19">
        <v>153.16432567620001</v>
      </c>
      <c r="DU19">
        <v>163.1486756118</v>
      </c>
      <c r="DV19">
        <v>165.16432567620001</v>
      </c>
      <c r="DW19">
        <v>167.17997574060001</v>
      </c>
      <c r="DX19">
        <v>177.16432567620001</v>
      </c>
      <c r="DY19">
        <v>179.17997574060001</v>
      </c>
      <c r="DZ19">
        <v>181.19562580499999</v>
      </c>
      <c r="EA19">
        <v>191.17997574060001</v>
      </c>
      <c r="EB19">
        <v>193.19562580499999</v>
      </c>
      <c r="EC19">
        <v>205.19562580499999</v>
      </c>
      <c r="ED19">
        <v>207.2112758694</v>
      </c>
      <c r="EE19">
        <v>219.2112758694</v>
      </c>
      <c r="EF19">
        <v>221.2269259338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0.58824499999999968</v>
      </c>
      <c r="FR19">
        <v>1.25</v>
      </c>
      <c r="FS19">
        <v>0.1638400000000001</v>
      </c>
      <c r="FT19">
        <v>32</v>
      </c>
      <c r="FU19">
        <v>10</v>
      </c>
      <c r="FV19">
        <v>5</v>
      </c>
      <c r="FW19">
        <v>26.730898999999997</v>
      </c>
      <c r="FX19">
        <v>26.730898999999997</v>
      </c>
      <c r="FY19">
        <v>1</v>
      </c>
      <c r="FZ19">
        <v>1.390625</v>
      </c>
      <c r="GA19">
        <v>1.095683193077468</v>
      </c>
      <c r="GB19">
        <v>1.784347667638484</v>
      </c>
      <c r="GC19">
        <v>2.5551999999999997</v>
      </c>
      <c r="GD19">
        <v>2.5309310892394863</v>
      </c>
      <c r="GE19">
        <v>2.4310313411078717</v>
      </c>
      <c r="GF19">
        <v>7.5536000000000012</v>
      </c>
      <c r="GG19">
        <v>13.164746412555075</v>
      </c>
      <c r="GH19">
        <v>1.0836370262390671</v>
      </c>
      <c r="GI19">
        <v>36.555555555555557</v>
      </c>
      <c r="GJ19">
        <v>18.320508075688771</v>
      </c>
      <c r="GK19">
        <v>1.4087152516904582</v>
      </c>
      <c r="GL19">
        <v>23.19715829226574</v>
      </c>
      <c r="GM19">
        <v>13.164746412555075</v>
      </c>
      <c r="GN19">
        <v>14.011566664973158</v>
      </c>
      <c r="GO19">
        <v>9.1494297255984218</v>
      </c>
      <c r="GP19">
        <v>8.7764976083700503</v>
      </c>
      <c r="GQ19">
        <v>8.0233196159122109</v>
      </c>
      <c r="GR19">
        <v>6.1320023927966725</v>
      </c>
      <c r="GS19">
        <v>5.8509984055800333</v>
      </c>
      <c r="GT19">
        <v>4.3870175616860578</v>
      </c>
      <c r="GU19">
        <v>3.969908792127705</v>
      </c>
      <c r="GV19">
        <v>3.900665603720022</v>
      </c>
      <c r="GW19">
        <v>2.3873223932666088</v>
      </c>
      <c r="GX19">
        <v>2.5205933015693844</v>
      </c>
      <c r="GY19">
        <v>2.6004437358133479</v>
      </c>
      <c r="GZ19">
        <v>1.4389574759945132</v>
      </c>
      <c r="HA19">
        <v>1.6803955343795896</v>
      </c>
      <c r="HB19">
        <v>1.086707649579163</v>
      </c>
      <c r="HC19">
        <v>0.95930498399634212</v>
      </c>
      <c r="HD19">
        <v>1.0054192280986978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0</v>
      </c>
      <c r="IK19">
        <v>0</v>
      </c>
      <c r="IL19">
        <v>0</v>
      </c>
      <c r="IM19">
        <v>0</v>
      </c>
      <c r="IN19">
        <v>0</v>
      </c>
      <c r="IO19">
        <v>1</v>
      </c>
      <c r="IP19">
        <v>1.390625</v>
      </c>
      <c r="IQ19">
        <v>1.095683193077468</v>
      </c>
      <c r="IR19">
        <v>1.784347667638484</v>
      </c>
      <c r="IS19">
        <v>2.5551999999999997</v>
      </c>
      <c r="IT19">
        <v>2.5309310892394863</v>
      </c>
      <c r="IU19">
        <v>2.4310313411078717</v>
      </c>
      <c r="IV19">
        <v>7.5536000000000012</v>
      </c>
      <c r="IW19">
        <v>13.164746412555075</v>
      </c>
      <c r="IX19">
        <v>1.0836370262390671</v>
      </c>
      <c r="IY19">
        <v>36.555555555555557</v>
      </c>
      <c r="IZ19">
        <v>18.320508075688771</v>
      </c>
      <c r="JA19">
        <v>1.4087152516904582</v>
      </c>
      <c r="JB19">
        <v>23.19715829226574</v>
      </c>
      <c r="JC19">
        <v>13.164746412555075</v>
      </c>
      <c r="JD19">
        <v>14.011566664973158</v>
      </c>
      <c r="JE19">
        <v>9.1494297255984218</v>
      </c>
      <c r="JF19">
        <v>8.7764976083700503</v>
      </c>
      <c r="JG19">
        <v>8.0233196159122109</v>
      </c>
      <c r="JH19">
        <v>6.1320023927966725</v>
      </c>
      <c r="JI19">
        <v>5.8509984055800333</v>
      </c>
      <c r="JJ19">
        <v>4.3870175616860578</v>
      </c>
      <c r="JK19">
        <v>3.969908792127705</v>
      </c>
      <c r="JL19">
        <v>3.900665603720022</v>
      </c>
      <c r="JM19">
        <v>2.3873223932666088</v>
      </c>
      <c r="JN19">
        <v>2.5205933015693844</v>
      </c>
      <c r="JO19">
        <v>2.6004437358133479</v>
      </c>
      <c r="JP19">
        <v>1.4389574759945132</v>
      </c>
      <c r="JQ19">
        <v>1.6803955343795896</v>
      </c>
      <c r="JR19">
        <v>1.086707649579163</v>
      </c>
      <c r="JS19">
        <v>0.95930498399634212</v>
      </c>
      <c r="JT19">
        <v>1.0054192280986978</v>
      </c>
      <c r="JU19">
        <v>0</v>
      </c>
      <c r="JV19">
        <v>0</v>
      </c>
      <c r="JW19">
        <v>0</v>
      </c>
      <c r="JX19">
        <v>0</v>
      </c>
      <c r="JY19">
        <v>0</v>
      </c>
      <c r="JZ19">
        <v>0</v>
      </c>
      <c r="KA19">
        <v>0</v>
      </c>
      <c r="KB19">
        <v>0</v>
      </c>
      <c r="KC19">
        <v>0</v>
      </c>
      <c r="KD19">
        <v>0</v>
      </c>
      <c r="KE19">
        <v>0</v>
      </c>
      <c r="KF19">
        <v>0</v>
      </c>
      <c r="KG19">
        <v>0</v>
      </c>
      <c r="KH19">
        <v>0</v>
      </c>
      <c r="KI19">
        <v>0</v>
      </c>
      <c r="KJ19">
        <v>0</v>
      </c>
      <c r="KK19">
        <v>0</v>
      </c>
      <c r="KL19">
        <v>0</v>
      </c>
      <c r="KM19">
        <v>0</v>
      </c>
      <c r="KN19">
        <v>0</v>
      </c>
      <c r="KO19">
        <v>0</v>
      </c>
      <c r="KP19">
        <v>0</v>
      </c>
      <c r="KQ19">
        <v>0</v>
      </c>
      <c r="KR19">
        <v>0</v>
      </c>
      <c r="KS19">
        <v>0</v>
      </c>
      <c r="KT19">
        <v>0</v>
      </c>
      <c r="KU19">
        <v>0</v>
      </c>
      <c r="KV19">
        <v>0</v>
      </c>
      <c r="KW19">
        <v>0</v>
      </c>
      <c r="KX19">
        <v>0</v>
      </c>
      <c r="KY19">
        <v>0</v>
      </c>
      <c r="KZ19">
        <v>0</v>
      </c>
      <c r="LA19">
        <v>0</v>
      </c>
      <c r="LB19">
        <v>0</v>
      </c>
      <c r="LC19">
        <v>0</v>
      </c>
      <c r="LD19">
        <v>0</v>
      </c>
    </row>
    <row r="20" spans="1:316" x14ac:dyDescent="0.2">
      <c r="A20">
        <v>14</v>
      </c>
      <c r="B20" t="s">
        <v>691</v>
      </c>
      <c r="C20" t="s">
        <v>272</v>
      </c>
      <c r="D20" t="s">
        <v>273</v>
      </c>
      <c r="E20" t="s">
        <v>272</v>
      </c>
      <c r="F20" t="s">
        <v>274</v>
      </c>
      <c r="G20" t="s">
        <v>275</v>
      </c>
      <c r="H20">
        <v>-1</v>
      </c>
      <c r="I20">
        <v>5.64</v>
      </c>
      <c r="J20">
        <v>12.533596295333332</v>
      </c>
      <c r="K20" t="s">
        <v>276</v>
      </c>
      <c r="L20">
        <v>0</v>
      </c>
      <c r="M20">
        <v>2</v>
      </c>
      <c r="N20" t="s">
        <v>272</v>
      </c>
      <c r="O20">
        <v>0</v>
      </c>
      <c r="P20">
        <v>0</v>
      </c>
      <c r="Q20">
        <v>0</v>
      </c>
      <c r="R20">
        <v>0</v>
      </c>
      <c r="S20">
        <v>0</v>
      </c>
      <c r="T20">
        <v>20</v>
      </c>
      <c r="U20">
        <v>3</v>
      </c>
      <c r="V20">
        <v>20</v>
      </c>
      <c r="W20">
        <v>4</v>
      </c>
      <c r="X20" t="s">
        <v>272</v>
      </c>
      <c r="Y20">
        <v>364.29791624160003</v>
      </c>
      <c r="Z20">
        <v>346.28735624160004</v>
      </c>
      <c r="AA20">
        <v>366.3135562416</v>
      </c>
      <c r="AB20">
        <v>348.3029962416</v>
      </c>
      <c r="AC20">
        <v>639.57161624160005</v>
      </c>
      <c r="AD20">
        <v>367.32121521119996</v>
      </c>
      <c r="AE20">
        <v>349.31065052719998</v>
      </c>
      <c r="AF20">
        <v>547.52426712519991</v>
      </c>
      <c r="AG20" t="s">
        <v>684</v>
      </c>
      <c r="AH20">
        <v>75.044604464599999</v>
      </c>
      <c r="AI20">
        <v>275.27387109479997</v>
      </c>
      <c r="AJ20">
        <v>273.25822103039997</v>
      </c>
      <c r="AK20">
        <v>55.0547752254</v>
      </c>
      <c r="AL20">
        <v>57.070425289800006</v>
      </c>
      <c r="AM20">
        <v>69.070425289799999</v>
      </c>
      <c r="AN20">
        <v>71.086075354200005</v>
      </c>
      <c r="AO20">
        <v>81.070425289799999</v>
      </c>
      <c r="AP20">
        <v>83.086075354200005</v>
      </c>
      <c r="AQ20">
        <v>85.101725418599997</v>
      </c>
      <c r="AR20">
        <v>95.086075354200005</v>
      </c>
      <c r="AS20">
        <v>97.101725418599997</v>
      </c>
      <c r="AT20">
        <v>99.117375483000004</v>
      </c>
      <c r="AU20">
        <v>109.1017254186</v>
      </c>
      <c r="AV20">
        <v>111.117375483</v>
      </c>
      <c r="AW20">
        <v>113.13302554740001</v>
      </c>
      <c r="AX20">
        <v>123.117375483</v>
      </c>
      <c r="AY20">
        <v>125.13302554740001</v>
      </c>
      <c r="AZ20">
        <v>137.1330255474</v>
      </c>
      <c r="BA20">
        <v>139.1486756118</v>
      </c>
      <c r="BB20">
        <v>149.1330255474</v>
      </c>
      <c r="BC20">
        <v>151.1486756118</v>
      </c>
      <c r="BD20">
        <v>153.16432567620001</v>
      </c>
      <c r="BE20">
        <v>163.1486756118</v>
      </c>
      <c r="BF20">
        <v>165.16432567620001</v>
      </c>
      <c r="BG20">
        <v>167.17997574060001</v>
      </c>
      <c r="BH20">
        <v>177.16432567620001</v>
      </c>
      <c r="BI20">
        <v>179.17997574060001</v>
      </c>
      <c r="BJ20">
        <v>181.19562580499999</v>
      </c>
      <c r="BK20">
        <v>191.17997574060001</v>
      </c>
      <c r="BL20">
        <v>193.19562580499999</v>
      </c>
      <c r="BM20">
        <v>205.19562580499999</v>
      </c>
      <c r="BN20">
        <v>207.2112758694</v>
      </c>
      <c r="BO20">
        <v>219.2112758694</v>
      </c>
      <c r="BP20">
        <v>221.2269259338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55.0547752254</v>
      </c>
      <c r="DB20">
        <v>69.070425289799999</v>
      </c>
      <c r="DC20">
        <v>81.070425289799999</v>
      </c>
      <c r="DD20">
        <v>83.086075354200005</v>
      </c>
      <c r="DE20">
        <v>95.086075354200005</v>
      </c>
      <c r="DF20">
        <v>97.101725418599997</v>
      </c>
      <c r="DG20">
        <v>109.1017254186</v>
      </c>
      <c r="DH20">
        <v>111.117375483</v>
      </c>
      <c r="DI20">
        <v>123.117375483</v>
      </c>
      <c r="DJ20">
        <v>137.1330255474</v>
      </c>
      <c r="DK20">
        <v>149.1330255474</v>
      </c>
      <c r="DL20">
        <v>151.1486756118</v>
      </c>
      <c r="DM20">
        <v>163.1486756118</v>
      </c>
      <c r="DN20">
        <v>165.16432567620001</v>
      </c>
      <c r="DO20">
        <v>177.16432567620001</v>
      </c>
      <c r="DP20">
        <v>179.17997574060001</v>
      </c>
      <c r="DQ20">
        <v>191.17997574060001</v>
      </c>
      <c r="DR20">
        <v>205.19562580499999</v>
      </c>
      <c r="DS20">
        <v>217.19562580499999</v>
      </c>
      <c r="DT20">
        <v>219.2112758694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0.41177149999999973</v>
      </c>
      <c r="FR20">
        <v>0.88388347648318444</v>
      </c>
      <c r="FS20">
        <v>9.2681900023683234E-2</v>
      </c>
      <c r="FT20">
        <v>50</v>
      </c>
      <c r="FU20">
        <v>10</v>
      </c>
      <c r="FV20">
        <v>5</v>
      </c>
      <c r="FW20">
        <v>34.750168699999996</v>
      </c>
      <c r="FX20">
        <v>61.481067699999997</v>
      </c>
      <c r="FY20">
        <v>1</v>
      </c>
      <c r="FZ20">
        <v>1.390625</v>
      </c>
      <c r="GA20">
        <v>1.095683193077468</v>
      </c>
      <c r="GB20">
        <v>1.784347667638484</v>
      </c>
      <c r="GC20">
        <v>2.5551999999999997</v>
      </c>
      <c r="GD20">
        <v>2.5309310892394863</v>
      </c>
      <c r="GE20">
        <v>2.4310313411078717</v>
      </c>
      <c r="GF20">
        <v>7.5536000000000012</v>
      </c>
      <c r="GG20">
        <v>13.164746412555075</v>
      </c>
      <c r="GH20">
        <v>1.0836370262390671</v>
      </c>
      <c r="GI20">
        <v>36.555555555555557</v>
      </c>
      <c r="GJ20">
        <v>18.320508075688771</v>
      </c>
      <c r="GK20">
        <v>1.4087152516904582</v>
      </c>
      <c r="GL20">
        <v>23.19715829226574</v>
      </c>
      <c r="GM20">
        <v>13.164746412555075</v>
      </c>
      <c r="GN20">
        <v>14.011566664973158</v>
      </c>
      <c r="GO20">
        <v>9.1494297255984218</v>
      </c>
      <c r="GP20">
        <v>8.7764976083700503</v>
      </c>
      <c r="GQ20">
        <v>8.0233196159122109</v>
      </c>
      <c r="GR20">
        <v>6.1320023927966725</v>
      </c>
      <c r="GS20">
        <v>5.8509984055800333</v>
      </c>
      <c r="GT20">
        <v>4.3870175616860578</v>
      </c>
      <c r="GU20">
        <v>3.969908792127705</v>
      </c>
      <c r="GV20">
        <v>3.900665603720022</v>
      </c>
      <c r="GW20">
        <v>2.3873223932666088</v>
      </c>
      <c r="GX20">
        <v>2.5205933015693844</v>
      </c>
      <c r="GY20">
        <v>2.6004437358133479</v>
      </c>
      <c r="GZ20">
        <v>1.4389574759945132</v>
      </c>
      <c r="HA20">
        <v>1.6803955343795896</v>
      </c>
      <c r="HB20">
        <v>1.086707649579163</v>
      </c>
      <c r="HC20">
        <v>0.95930498399634212</v>
      </c>
      <c r="HD20">
        <v>1.0054192280986978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0</v>
      </c>
      <c r="IK20">
        <v>0</v>
      </c>
      <c r="IL20">
        <v>0</v>
      </c>
      <c r="IM20">
        <v>0</v>
      </c>
      <c r="IN20">
        <v>0</v>
      </c>
      <c r="IO20">
        <v>1</v>
      </c>
      <c r="IP20">
        <v>1.0338291173353296</v>
      </c>
      <c r="IQ20">
        <v>1.6911999999999998</v>
      </c>
      <c r="IR20">
        <v>1.5412658773652741</v>
      </c>
      <c r="IS20">
        <v>3.9127111111111117</v>
      </c>
      <c r="IT20">
        <v>3.7401585041617</v>
      </c>
      <c r="IU20">
        <v>9.8888888888888893</v>
      </c>
      <c r="IV20">
        <v>9.6602540378443855</v>
      </c>
      <c r="IW20">
        <v>13.48590153939948</v>
      </c>
      <c r="IX20">
        <v>8.3190062490474013</v>
      </c>
      <c r="IY20">
        <v>6.4401693585629234</v>
      </c>
      <c r="IZ20">
        <v>4.9506172839506188</v>
      </c>
      <c r="JA20">
        <v>5.5460041660316008</v>
      </c>
      <c r="JB20">
        <v>2.9051973784484075</v>
      </c>
      <c r="JC20">
        <v>3.300411522633746</v>
      </c>
      <c r="JD20">
        <v>1.7803688462124674</v>
      </c>
      <c r="JE20">
        <v>1.9367982522989384</v>
      </c>
      <c r="JF20">
        <v>2.2002743484224974</v>
      </c>
      <c r="JG20">
        <v>1.1869125641416449</v>
      </c>
      <c r="JH20">
        <v>1.2911988348659589</v>
      </c>
      <c r="JI20">
        <v>0</v>
      </c>
      <c r="JJ20">
        <v>0</v>
      </c>
      <c r="JK20">
        <v>0</v>
      </c>
      <c r="JL20">
        <v>0</v>
      </c>
      <c r="JM20">
        <v>0</v>
      </c>
      <c r="JN20">
        <v>0</v>
      </c>
      <c r="JO20">
        <v>0</v>
      </c>
      <c r="JP20">
        <v>0</v>
      </c>
      <c r="JQ20">
        <v>0</v>
      </c>
      <c r="JR20">
        <v>0</v>
      </c>
      <c r="JS20">
        <v>0</v>
      </c>
      <c r="JT20">
        <v>0</v>
      </c>
      <c r="JU20">
        <v>0</v>
      </c>
      <c r="JV20">
        <v>0</v>
      </c>
      <c r="JW20">
        <v>0</v>
      </c>
      <c r="JX20">
        <v>0</v>
      </c>
      <c r="JY20">
        <v>0</v>
      </c>
      <c r="JZ20">
        <v>0</v>
      </c>
      <c r="KA20">
        <v>0</v>
      </c>
      <c r="KB20">
        <v>0</v>
      </c>
      <c r="KC20">
        <v>0</v>
      </c>
      <c r="KD20">
        <v>0</v>
      </c>
      <c r="KE20">
        <v>0</v>
      </c>
      <c r="KF20">
        <v>0</v>
      </c>
      <c r="KG20">
        <v>0</v>
      </c>
      <c r="KH20">
        <v>0</v>
      </c>
      <c r="KI20">
        <v>0</v>
      </c>
      <c r="KJ20">
        <v>0</v>
      </c>
      <c r="KK20">
        <v>0</v>
      </c>
      <c r="KL20">
        <v>0</v>
      </c>
      <c r="KM20">
        <v>0</v>
      </c>
      <c r="KN20">
        <v>0</v>
      </c>
      <c r="KO20">
        <v>0</v>
      </c>
      <c r="KP20">
        <v>0</v>
      </c>
      <c r="KQ20">
        <v>0</v>
      </c>
      <c r="KR20">
        <v>0</v>
      </c>
      <c r="KS20">
        <v>0</v>
      </c>
      <c r="KT20">
        <v>0</v>
      </c>
      <c r="KU20">
        <v>0</v>
      </c>
      <c r="KV20">
        <v>0</v>
      </c>
      <c r="KW20">
        <v>0</v>
      </c>
      <c r="KX20">
        <v>0</v>
      </c>
      <c r="KY20">
        <v>0</v>
      </c>
      <c r="KZ20">
        <v>0</v>
      </c>
      <c r="LA20">
        <v>0</v>
      </c>
      <c r="LB20">
        <v>0</v>
      </c>
      <c r="LC20">
        <v>0</v>
      </c>
      <c r="LD20">
        <v>0</v>
      </c>
    </row>
    <row r="21" spans="1:316" x14ac:dyDescent="0.2">
      <c r="A21">
        <v>15</v>
      </c>
      <c r="B21" t="s">
        <v>692</v>
      </c>
      <c r="C21" t="s">
        <v>277</v>
      </c>
      <c r="D21" t="s">
        <v>278</v>
      </c>
      <c r="E21" t="s">
        <v>277</v>
      </c>
      <c r="F21" t="s">
        <v>279</v>
      </c>
      <c r="G21" t="s">
        <v>280</v>
      </c>
      <c r="H21">
        <v>-1</v>
      </c>
      <c r="I21">
        <v>5.13</v>
      </c>
      <c r="J21">
        <v>12.128016814000002</v>
      </c>
      <c r="K21" t="s">
        <v>281</v>
      </c>
      <c r="L21">
        <v>0</v>
      </c>
      <c r="M21">
        <v>2</v>
      </c>
      <c r="N21" t="s">
        <v>277</v>
      </c>
      <c r="O21">
        <v>0</v>
      </c>
      <c r="P21">
        <v>0</v>
      </c>
      <c r="Q21">
        <v>0</v>
      </c>
      <c r="R21">
        <v>0</v>
      </c>
      <c r="S21">
        <v>0</v>
      </c>
      <c r="T21">
        <v>20</v>
      </c>
      <c r="U21">
        <v>4</v>
      </c>
      <c r="V21">
        <v>20</v>
      </c>
      <c r="W21">
        <v>4</v>
      </c>
      <c r="X21" t="s">
        <v>277</v>
      </c>
      <c r="Y21">
        <v>364.29790617719999</v>
      </c>
      <c r="Z21">
        <v>346.28734617719999</v>
      </c>
      <c r="AA21">
        <v>364.29790617719999</v>
      </c>
      <c r="AB21">
        <v>346.28734617719999</v>
      </c>
      <c r="AC21">
        <v>637.55596617720005</v>
      </c>
      <c r="AD21">
        <v>365.30556514679995</v>
      </c>
      <c r="AE21">
        <v>347.29500046279998</v>
      </c>
      <c r="AF21">
        <v>545.50861706079991</v>
      </c>
      <c r="AG21" t="s">
        <v>684</v>
      </c>
      <c r="AH21">
        <v>75.044604464599999</v>
      </c>
      <c r="AI21">
        <v>273.25822103039997</v>
      </c>
      <c r="AJ21">
        <v>273.25822103039997</v>
      </c>
      <c r="AK21">
        <v>55.0547752254</v>
      </c>
      <c r="AL21">
        <v>69.070425289799999</v>
      </c>
      <c r="AM21">
        <v>81.070425289799999</v>
      </c>
      <c r="AN21">
        <v>83.086075354200005</v>
      </c>
      <c r="AO21">
        <v>95.086075354200005</v>
      </c>
      <c r="AP21">
        <v>97.101725418599997</v>
      </c>
      <c r="AQ21">
        <v>109.1017254186</v>
      </c>
      <c r="AR21">
        <v>111.117375483</v>
      </c>
      <c r="AS21">
        <v>123.117375483</v>
      </c>
      <c r="AT21">
        <v>137.1330255474</v>
      </c>
      <c r="AU21">
        <v>149.1330255474</v>
      </c>
      <c r="AV21">
        <v>151.1486756118</v>
      </c>
      <c r="AW21">
        <v>163.1486756118</v>
      </c>
      <c r="AX21">
        <v>165.16432567620001</v>
      </c>
      <c r="AY21">
        <v>177.16432567620001</v>
      </c>
      <c r="AZ21">
        <v>179.17997574060001</v>
      </c>
      <c r="BA21">
        <v>191.17997574060001</v>
      </c>
      <c r="BB21">
        <v>205.19562580499999</v>
      </c>
      <c r="BC21">
        <v>217.19562580499999</v>
      </c>
      <c r="BD21">
        <v>219.2112758694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55.0547752254</v>
      </c>
      <c r="DB21">
        <v>69.070425289799999</v>
      </c>
      <c r="DC21">
        <v>81.070425289799999</v>
      </c>
      <c r="DD21">
        <v>83.086075354200005</v>
      </c>
      <c r="DE21">
        <v>95.086075354200005</v>
      </c>
      <c r="DF21">
        <v>97.101725418599997</v>
      </c>
      <c r="DG21">
        <v>109.1017254186</v>
      </c>
      <c r="DH21">
        <v>111.117375483</v>
      </c>
      <c r="DI21">
        <v>123.117375483</v>
      </c>
      <c r="DJ21">
        <v>137.1330255474</v>
      </c>
      <c r="DK21">
        <v>149.1330255474</v>
      </c>
      <c r="DL21">
        <v>151.1486756118</v>
      </c>
      <c r="DM21">
        <v>163.1486756118</v>
      </c>
      <c r="DN21">
        <v>165.16432567620001</v>
      </c>
      <c r="DO21">
        <v>177.16432567620001</v>
      </c>
      <c r="DP21">
        <v>179.17997574060001</v>
      </c>
      <c r="DQ21">
        <v>191.17997574060001</v>
      </c>
      <c r="DR21">
        <v>205.19562580499999</v>
      </c>
      <c r="DS21">
        <v>217.19562580499999</v>
      </c>
      <c r="DT21">
        <v>219.2112758694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0.2882400499999998</v>
      </c>
      <c r="FR21">
        <v>0.625</v>
      </c>
      <c r="FS21">
        <v>5.2428800000000046E-2</v>
      </c>
      <c r="FT21">
        <v>72</v>
      </c>
      <c r="FU21">
        <v>10</v>
      </c>
      <c r="FV21">
        <v>5</v>
      </c>
      <c r="FW21">
        <v>79.925388009999992</v>
      </c>
      <c r="FX21">
        <v>79.925388009999992</v>
      </c>
      <c r="FY21">
        <v>1</v>
      </c>
      <c r="FZ21">
        <v>1.0338291173353296</v>
      </c>
      <c r="GA21">
        <v>1.6911999999999998</v>
      </c>
      <c r="GB21">
        <v>1.5412658773652741</v>
      </c>
      <c r="GC21">
        <v>3.9127111111111117</v>
      </c>
      <c r="GD21">
        <v>3.7401585041617</v>
      </c>
      <c r="GE21">
        <v>9.8888888888888893</v>
      </c>
      <c r="GF21">
        <v>9.6602540378443855</v>
      </c>
      <c r="GG21">
        <v>13.48590153939948</v>
      </c>
      <c r="GH21">
        <v>8.3190062490474013</v>
      </c>
      <c r="GI21">
        <v>6.4401693585629234</v>
      </c>
      <c r="GJ21">
        <v>4.9506172839506188</v>
      </c>
      <c r="GK21">
        <v>5.5460041660316008</v>
      </c>
      <c r="GL21">
        <v>2.9051973784484075</v>
      </c>
      <c r="GM21">
        <v>3.300411522633746</v>
      </c>
      <c r="GN21">
        <v>1.7803688462124674</v>
      </c>
      <c r="GO21">
        <v>1.9367982522989384</v>
      </c>
      <c r="GP21">
        <v>2.2002743484224974</v>
      </c>
      <c r="GQ21">
        <v>1.1869125641416449</v>
      </c>
      <c r="GR21">
        <v>1.2911988348659589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0</v>
      </c>
      <c r="IK21">
        <v>0</v>
      </c>
      <c r="IL21">
        <v>0</v>
      </c>
      <c r="IM21">
        <v>0</v>
      </c>
      <c r="IN21">
        <v>0</v>
      </c>
      <c r="IO21">
        <v>1</v>
      </c>
      <c r="IP21">
        <v>1.0338291173353296</v>
      </c>
      <c r="IQ21">
        <v>1.6911999999999998</v>
      </c>
      <c r="IR21">
        <v>1.5412658773652741</v>
      </c>
      <c r="IS21">
        <v>3.9127111111111117</v>
      </c>
      <c r="IT21">
        <v>3.7401585041617</v>
      </c>
      <c r="IU21">
        <v>9.8888888888888893</v>
      </c>
      <c r="IV21">
        <v>9.6602540378443855</v>
      </c>
      <c r="IW21">
        <v>13.48590153939948</v>
      </c>
      <c r="IX21">
        <v>8.3190062490474013</v>
      </c>
      <c r="IY21">
        <v>6.4401693585629234</v>
      </c>
      <c r="IZ21">
        <v>4.9506172839506188</v>
      </c>
      <c r="JA21">
        <v>5.5460041660316008</v>
      </c>
      <c r="JB21">
        <v>2.9051973784484075</v>
      </c>
      <c r="JC21">
        <v>3.300411522633746</v>
      </c>
      <c r="JD21">
        <v>1.7803688462124674</v>
      </c>
      <c r="JE21">
        <v>1.9367982522989384</v>
      </c>
      <c r="JF21">
        <v>2.2002743484224974</v>
      </c>
      <c r="JG21">
        <v>1.1869125641416449</v>
      </c>
      <c r="JH21">
        <v>1.2911988348659589</v>
      </c>
      <c r="JI21">
        <v>0</v>
      </c>
      <c r="JJ21">
        <v>0</v>
      </c>
      <c r="JK21">
        <v>0</v>
      </c>
      <c r="JL21">
        <v>0</v>
      </c>
      <c r="JM21">
        <v>0</v>
      </c>
      <c r="JN21">
        <v>0</v>
      </c>
      <c r="JO21">
        <v>0</v>
      </c>
      <c r="JP21">
        <v>0</v>
      </c>
      <c r="JQ21">
        <v>0</v>
      </c>
      <c r="JR21">
        <v>0</v>
      </c>
      <c r="JS21">
        <v>0</v>
      </c>
      <c r="JT21">
        <v>0</v>
      </c>
      <c r="JU21">
        <v>0</v>
      </c>
      <c r="JV21">
        <v>0</v>
      </c>
      <c r="JW21">
        <v>0</v>
      </c>
      <c r="JX21">
        <v>0</v>
      </c>
      <c r="JY21">
        <v>0</v>
      </c>
      <c r="JZ21">
        <v>0</v>
      </c>
      <c r="KA21">
        <v>0</v>
      </c>
      <c r="KB21">
        <v>0</v>
      </c>
      <c r="KC21">
        <v>0</v>
      </c>
      <c r="KD21">
        <v>0</v>
      </c>
      <c r="KE21">
        <v>0</v>
      </c>
      <c r="KF21">
        <v>0</v>
      </c>
      <c r="KG21">
        <v>0</v>
      </c>
      <c r="KH21">
        <v>0</v>
      </c>
      <c r="KI21">
        <v>0</v>
      </c>
      <c r="KJ21">
        <v>0</v>
      </c>
      <c r="KK21">
        <v>0</v>
      </c>
      <c r="KL21">
        <v>0</v>
      </c>
      <c r="KM21">
        <v>0</v>
      </c>
      <c r="KN21">
        <v>0</v>
      </c>
      <c r="KO21">
        <v>0</v>
      </c>
      <c r="KP21">
        <v>0</v>
      </c>
      <c r="KQ21">
        <v>0</v>
      </c>
      <c r="KR21">
        <v>0</v>
      </c>
      <c r="KS21">
        <v>0</v>
      </c>
      <c r="KT21">
        <v>0</v>
      </c>
      <c r="KU21">
        <v>0</v>
      </c>
      <c r="KV21">
        <v>0</v>
      </c>
      <c r="KW21">
        <v>0</v>
      </c>
      <c r="KX21">
        <v>0</v>
      </c>
      <c r="KY21">
        <v>0</v>
      </c>
      <c r="KZ21">
        <v>0</v>
      </c>
      <c r="LA21">
        <v>0</v>
      </c>
      <c r="LB21">
        <v>0</v>
      </c>
      <c r="LC21">
        <v>0</v>
      </c>
      <c r="LD21">
        <v>0</v>
      </c>
    </row>
    <row r="22" spans="1:316" x14ac:dyDescent="0.2">
      <c r="A22">
        <v>16</v>
      </c>
      <c r="B22" t="s">
        <v>693</v>
      </c>
      <c r="C22" t="s">
        <v>282</v>
      </c>
      <c r="D22" t="s">
        <v>283</v>
      </c>
      <c r="E22" t="s">
        <v>282</v>
      </c>
      <c r="F22" t="s">
        <v>183</v>
      </c>
      <c r="G22" t="s">
        <v>163</v>
      </c>
      <c r="H22">
        <v>-1</v>
      </c>
      <c r="I22">
        <v>18.38</v>
      </c>
      <c r="J22">
        <v>19.191425257333336</v>
      </c>
      <c r="K22" t="s">
        <v>193</v>
      </c>
      <c r="L22">
        <v>0</v>
      </c>
      <c r="M22">
        <v>2</v>
      </c>
      <c r="N22" t="s">
        <v>282</v>
      </c>
      <c r="O22">
        <v>0</v>
      </c>
      <c r="P22">
        <v>0</v>
      </c>
      <c r="Q22">
        <v>0</v>
      </c>
      <c r="R22">
        <v>0</v>
      </c>
      <c r="S22">
        <v>0</v>
      </c>
      <c r="T22">
        <v>25</v>
      </c>
      <c r="U22">
        <v>0</v>
      </c>
      <c r="V22">
        <v>25</v>
      </c>
      <c r="W22">
        <v>0</v>
      </c>
      <c r="X22" t="s">
        <v>282</v>
      </c>
      <c r="Y22">
        <v>442.43884733639999</v>
      </c>
      <c r="Z22">
        <v>424.42828733639999</v>
      </c>
      <c r="AA22">
        <v>442.43884733639999</v>
      </c>
      <c r="AB22">
        <v>424.42828733639999</v>
      </c>
      <c r="AC22">
        <v>793.83766733640005</v>
      </c>
      <c r="AD22">
        <v>443.44641572639995</v>
      </c>
      <c r="AE22">
        <v>425.43585104239997</v>
      </c>
      <c r="AF22">
        <v>0</v>
      </c>
      <c r="AG22" t="s">
        <v>684</v>
      </c>
      <c r="AH22">
        <v>75.044604464599999</v>
      </c>
      <c r="AI22">
        <v>351.39907160999996</v>
      </c>
      <c r="AJ22">
        <v>351.39907160999996</v>
      </c>
      <c r="AK22">
        <v>55.0547752254</v>
      </c>
      <c r="AL22">
        <v>57.070425289800006</v>
      </c>
      <c r="AM22">
        <v>69.070425289799999</v>
      </c>
      <c r="AN22">
        <v>71.086075354200005</v>
      </c>
      <c r="AO22">
        <v>83.086075354200005</v>
      </c>
      <c r="AP22">
        <v>85.101725418599997</v>
      </c>
      <c r="AQ22">
        <v>97.101725418599997</v>
      </c>
      <c r="AR22">
        <v>99.117375483000004</v>
      </c>
      <c r="AS22">
        <v>111.117375483</v>
      </c>
      <c r="AT22">
        <v>113.13302554740001</v>
      </c>
      <c r="AU22">
        <v>125.13302554740001</v>
      </c>
      <c r="AV22">
        <v>127.1486756118</v>
      </c>
      <c r="AW22">
        <v>139.1486756118</v>
      </c>
      <c r="AX22">
        <v>141.16432567620001</v>
      </c>
      <c r="AY22">
        <v>153.16432567620001</v>
      </c>
      <c r="AZ22">
        <v>155.17997574060001</v>
      </c>
      <c r="BA22">
        <v>167.17997574060001</v>
      </c>
      <c r="BB22">
        <v>169.19562580499999</v>
      </c>
      <c r="BC22">
        <v>181.19562580499999</v>
      </c>
      <c r="BD22">
        <v>183.2112758694</v>
      </c>
      <c r="BE22">
        <v>195.2112758694</v>
      </c>
      <c r="BF22">
        <v>197.2269259338</v>
      </c>
      <c r="BG22">
        <v>209.2269259338</v>
      </c>
      <c r="BH22">
        <v>211.24257599820001</v>
      </c>
      <c r="BI22">
        <v>223.24257599820001</v>
      </c>
      <c r="BJ22">
        <v>225.25822606260002</v>
      </c>
      <c r="BK22">
        <v>237.25822606260002</v>
      </c>
      <c r="BL22">
        <v>239.27387612699999</v>
      </c>
      <c r="BM22">
        <v>251.27387612699999</v>
      </c>
      <c r="BN22">
        <v>253.2895261914</v>
      </c>
      <c r="BO22">
        <v>267.30517625580001</v>
      </c>
      <c r="BP22">
        <v>281.32082632020001</v>
      </c>
      <c r="BQ22">
        <v>295.33647638460002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55.0547752254</v>
      </c>
      <c r="DB22">
        <v>57.070425289800006</v>
      </c>
      <c r="DC22">
        <v>69.070425289799999</v>
      </c>
      <c r="DD22">
        <v>71.086075354200005</v>
      </c>
      <c r="DE22">
        <v>83.086075354200005</v>
      </c>
      <c r="DF22">
        <v>85.101725418599997</v>
      </c>
      <c r="DG22">
        <v>97.101725418599997</v>
      </c>
      <c r="DH22">
        <v>99.117375483000004</v>
      </c>
      <c r="DI22">
        <v>111.117375483</v>
      </c>
      <c r="DJ22">
        <v>113.13302554740001</v>
      </c>
      <c r="DK22">
        <v>125.13302554740001</v>
      </c>
      <c r="DL22">
        <v>127.1486756118</v>
      </c>
      <c r="DM22">
        <v>139.1486756118</v>
      </c>
      <c r="DN22">
        <v>141.16432567620001</v>
      </c>
      <c r="DO22">
        <v>153.16432567620001</v>
      </c>
      <c r="DP22">
        <v>155.17997574060001</v>
      </c>
      <c r="DQ22">
        <v>167.17997574060001</v>
      </c>
      <c r="DR22">
        <v>169.19562580499999</v>
      </c>
      <c r="DS22">
        <v>181.19562580499999</v>
      </c>
      <c r="DT22">
        <v>183.2112758694</v>
      </c>
      <c r="DU22">
        <v>195.2112758694</v>
      </c>
      <c r="DV22">
        <v>197.2269259338</v>
      </c>
      <c r="DW22">
        <v>209.2269259338</v>
      </c>
      <c r="DX22">
        <v>211.24257599820001</v>
      </c>
      <c r="DY22">
        <v>223.24257599820001</v>
      </c>
      <c r="DZ22">
        <v>225.25822606260002</v>
      </c>
      <c r="EA22">
        <v>237.25822606260002</v>
      </c>
      <c r="EB22">
        <v>239.27387612699999</v>
      </c>
      <c r="EC22">
        <v>251.27387612699999</v>
      </c>
      <c r="ED22">
        <v>253.2895261914</v>
      </c>
      <c r="EE22">
        <v>267.30517625580001</v>
      </c>
      <c r="EF22">
        <v>281.32082632020001</v>
      </c>
      <c r="EG22">
        <v>295.33647638460002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5</v>
      </c>
      <c r="FR22">
        <v>10</v>
      </c>
      <c r="FS22">
        <v>5</v>
      </c>
      <c r="FT22">
        <v>0</v>
      </c>
      <c r="FU22">
        <v>10</v>
      </c>
      <c r="FV22">
        <v>5</v>
      </c>
      <c r="FW22">
        <v>0.8</v>
      </c>
      <c r="FX22">
        <v>0.8</v>
      </c>
      <c r="FY22">
        <v>1</v>
      </c>
      <c r="FZ22">
        <v>26</v>
      </c>
      <c r="GA22">
        <v>1.0268454372456677</v>
      </c>
      <c r="GB22">
        <v>51.049562682215743</v>
      </c>
      <c r="GC22">
        <v>1.429526995930682</v>
      </c>
      <c r="GD22">
        <v>91.396501457725947</v>
      </c>
      <c r="GE22">
        <v>3.1744804168990779</v>
      </c>
      <c r="GF22">
        <v>2.3381924198250732</v>
      </c>
      <c r="GG22">
        <v>7.8724319348909129</v>
      </c>
      <c r="GH22">
        <v>4.1720116618075798</v>
      </c>
      <c r="GI22">
        <v>6.502453702972061</v>
      </c>
      <c r="GJ22">
        <v>10.311044327573251</v>
      </c>
      <c r="GK22">
        <v>5.3278288569575425</v>
      </c>
      <c r="GL22">
        <v>13.772351615326819</v>
      </c>
      <c r="GM22">
        <v>4.333530213316255</v>
      </c>
      <c r="GN22">
        <v>18</v>
      </c>
      <c r="GO22">
        <v>3.5045305885170968</v>
      </c>
      <c r="GP22">
        <v>13.772351615326819</v>
      </c>
      <c r="GQ22">
        <v>2.8258027990289638</v>
      </c>
      <c r="GR22">
        <v>10.311044327573251</v>
      </c>
      <c r="GS22">
        <v>2.282319661320753</v>
      </c>
      <c r="GT22">
        <v>7.5394440270473329</v>
      </c>
      <c r="GU22">
        <v>1.859053991861364</v>
      </c>
      <c r="GV22">
        <v>5.3809166040570995</v>
      </c>
      <c r="GW22">
        <v>1.5409786071196927</v>
      </c>
      <c r="GX22">
        <v>3.7588279489105929</v>
      </c>
      <c r="GY22">
        <v>1.3130663235646372</v>
      </c>
      <c r="GZ22">
        <v>2.5965439519158533</v>
      </c>
      <c r="HA22">
        <v>1.1602899576650942</v>
      </c>
      <c r="HB22">
        <v>1.8174305033809166</v>
      </c>
      <c r="HC22">
        <v>1.3448534936138241</v>
      </c>
      <c r="HD22">
        <v>1.1021788129226144</v>
      </c>
      <c r="HE22">
        <v>1.0127723516153269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  <c r="IJ22">
        <v>0</v>
      </c>
      <c r="IK22">
        <v>0</v>
      </c>
      <c r="IL22">
        <v>0</v>
      </c>
      <c r="IM22">
        <v>0</v>
      </c>
      <c r="IN22">
        <v>0</v>
      </c>
      <c r="IO22">
        <v>1</v>
      </c>
      <c r="IP22">
        <v>26</v>
      </c>
      <c r="IQ22">
        <v>1.0268454372456677</v>
      </c>
      <c r="IR22">
        <v>51.049562682215743</v>
      </c>
      <c r="IS22">
        <v>1.429526995930682</v>
      </c>
      <c r="IT22">
        <v>91.396501457725947</v>
      </c>
      <c r="IU22">
        <v>3.1744804168990779</v>
      </c>
      <c r="IV22">
        <v>2.3381924198250732</v>
      </c>
      <c r="IW22">
        <v>7.8724319348909129</v>
      </c>
      <c r="IX22">
        <v>4.1720116618075798</v>
      </c>
      <c r="IY22">
        <v>6.502453702972061</v>
      </c>
      <c r="IZ22">
        <v>10.311044327573251</v>
      </c>
      <c r="JA22">
        <v>5.3278288569575425</v>
      </c>
      <c r="JB22">
        <v>13.772351615326819</v>
      </c>
      <c r="JC22">
        <v>4.333530213316255</v>
      </c>
      <c r="JD22">
        <v>18</v>
      </c>
      <c r="JE22">
        <v>3.5045305885170968</v>
      </c>
      <c r="JF22">
        <v>13.772351615326819</v>
      </c>
      <c r="JG22">
        <v>2.8258027990289638</v>
      </c>
      <c r="JH22">
        <v>10.311044327573251</v>
      </c>
      <c r="JI22">
        <v>2.282319661320753</v>
      </c>
      <c r="JJ22">
        <v>7.5394440270473329</v>
      </c>
      <c r="JK22">
        <v>1.859053991861364</v>
      </c>
      <c r="JL22">
        <v>5.3809166040570995</v>
      </c>
      <c r="JM22">
        <v>1.5409786071196927</v>
      </c>
      <c r="JN22">
        <v>3.7588279489105929</v>
      </c>
      <c r="JO22">
        <v>1.3130663235646372</v>
      </c>
      <c r="JP22">
        <v>2.5965439519158533</v>
      </c>
      <c r="JQ22">
        <v>1.1602899576650942</v>
      </c>
      <c r="JR22">
        <v>1.8174305033809166</v>
      </c>
      <c r="JS22">
        <v>1.3448534936138241</v>
      </c>
      <c r="JT22">
        <v>1.1021788129226144</v>
      </c>
      <c r="JU22">
        <v>1.0127723516153269</v>
      </c>
      <c r="JV22">
        <v>0</v>
      </c>
      <c r="JW22">
        <v>0</v>
      </c>
      <c r="JX22">
        <v>0</v>
      </c>
      <c r="JY22">
        <v>0</v>
      </c>
      <c r="JZ22">
        <v>0</v>
      </c>
      <c r="KA22">
        <v>0</v>
      </c>
      <c r="KB22">
        <v>0</v>
      </c>
      <c r="KC22">
        <v>0</v>
      </c>
      <c r="KD22">
        <v>0</v>
      </c>
      <c r="KE22">
        <v>0</v>
      </c>
      <c r="KF22">
        <v>0</v>
      </c>
      <c r="KG22">
        <v>0</v>
      </c>
      <c r="KH22">
        <v>0</v>
      </c>
      <c r="KI22">
        <v>0</v>
      </c>
      <c r="KJ22">
        <v>0</v>
      </c>
      <c r="KK22">
        <v>0</v>
      </c>
      <c r="KL22">
        <v>0</v>
      </c>
      <c r="KM22">
        <v>0</v>
      </c>
      <c r="KN22">
        <v>0</v>
      </c>
      <c r="KO22">
        <v>0</v>
      </c>
      <c r="KP22">
        <v>0</v>
      </c>
      <c r="KQ22">
        <v>0</v>
      </c>
      <c r="KR22">
        <v>0</v>
      </c>
      <c r="KS22">
        <v>0</v>
      </c>
      <c r="KT22">
        <v>0</v>
      </c>
      <c r="KU22">
        <v>0</v>
      </c>
      <c r="KV22">
        <v>0</v>
      </c>
      <c r="KW22">
        <v>0</v>
      </c>
      <c r="KX22">
        <v>0</v>
      </c>
      <c r="KY22">
        <v>0</v>
      </c>
      <c r="KZ22">
        <v>0</v>
      </c>
      <c r="LA22">
        <v>0</v>
      </c>
      <c r="LB22">
        <v>0</v>
      </c>
      <c r="LC22">
        <v>0</v>
      </c>
      <c r="LD22">
        <v>0</v>
      </c>
    </row>
    <row r="23" spans="1:316" x14ac:dyDescent="0.2">
      <c r="A23">
        <v>17</v>
      </c>
      <c r="B23" t="s">
        <v>694</v>
      </c>
      <c r="C23" t="s">
        <v>284</v>
      </c>
      <c r="D23" t="s">
        <v>285</v>
      </c>
      <c r="E23" t="s">
        <v>284</v>
      </c>
      <c r="F23" t="s">
        <v>184</v>
      </c>
      <c r="G23" t="s">
        <v>168</v>
      </c>
      <c r="H23">
        <v>-1</v>
      </c>
      <c r="I23">
        <v>16.07</v>
      </c>
      <c r="J23">
        <v>18.941753235999997</v>
      </c>
      <c r="K23" t="s">
        <v>194</v>
      </c>
      <c r="L23">
        <v>0</v>
      </c>
      <c r="M23">
        <v>2</v>
      </c>
      <c r="N23" t="s">
        <v>284</v>
      </c>
      <c r="O23">
        <v>0</v>
      </c>
      <c r="P23">
        <v>0</v>
      </c>
      <c r="Q23">
        <v>0</v>
      </c>
      <c r="R23">
        <v>0</v>
      </c>
      <c r="S23">
        <v>0</v>
      </c>
      <c r="T23">
        <v>25</v>
      </c>
      <c r="U23">
        <v>0</v>
      </c>
      <c r="V23">
        <v>25</v>
      </c>
      <c r="W23">
        <v>1</v>
      </c>
      <c r="X23" t="s">
        <v>284</v>
      </c>
      <c r="Y23">
        <v>440.42319727199998</v>
      </c>
      <c r="Z23">
        <v>422.41263727199998</v>
      </c>
      <c r="AA23">
        <v>442.438837272</v>
      </c>
      <c r="AB23">
        <v>424.428277272</v>
      </c>
      <c r="AC23">
        <v>791.82201727200004</v>
      </c>
      <c r="AD23">
        <v>443.44641572639995</v>
      </c>
      <c r="AE23">
        <v>425.43585104239997</v>
      </c>
      <c r="AF23">
        <v>0</v>
      </c>
      <c r="AG23" t="s">
        <v>684</v>
      </c>
      <c r="AH23">
        <v>75.044604464599999</v>
      </c>
      <c r="AI23">
        <v>351.39907160999996</v>
      </c>
      <c r="AJ23">
        <v>349.38342154559996</v>
      </c>
      <c r="AK23">
        <v>55.0547752254</v>
      </c>
      <c r="AL23">
        <v>57.070425289800006</v>
      </c>
      <c r="AM23">
        <v>69.070425289799999</v>
      </c>
      <c r="AN23">
        <v>71.086075354200005</v>
      </c>
      <c r="AO23">
        <v>83.086075354200005</v>
      </c>
      <c r="AP23">
        <v>85.101725418599997</v>
      </c>
      <c r="AQ23">
        <v>97.101725418599997</v>
      </c>
      <c r="AR23">
        <v>99.117375483000004</v>
      </c>
      <c r="AS23">
        <v>111.117375483</v>
      </c>
      <c r="AT23">
        <v>113.13302554740001</v>
      </c>
      <c r="AU23">
        <v>125.13302554740001</v>
      </c>
      <c r="AV23">
        <v>127.1486756118</v>
      </c>
      <c r="AW23">
        <v>139.1486756118</v>
      </c>
      <c r="AX23">
        <v>141.16432567620001</v>
      </c>
      <c r="AY23">
        <v>153.16432567620001</v>
      </c>
      <c r="AZ23">
        <v>155.17997574060001</v>
      </c>
      <c r="BA23">
        <v>167.17997574060001</v>
      </c>
      <c r="BB23">
        <v>169.19562580499999</v>
      </c>
      <c r="BC23">
        <v>181.19562580499999</v>
      </c>
      <c r="BD23">
        <v>183.2112758694</v>
      </c>
      <c r="BE23">
        <v>195.2112758694</v>
      </c>
      <c r="BF23">
        <v>197.2269259338</v>
      </c>
      <c r="BG23">
        <v>209.2269259338</v>
      </c>
      <c r="BH23">
        <v>211.24257599820001</v>
      </c>
      <c r="BI23">
        <v>223.24257599820001</v>
      </c>
      <c r="BJ23">
        <v>225.25822606260002</v>
      </c>
      <c r="BK23">
        <v>237.25822606260002</v>
      </c>
      <c r="BL23">
        <v>239.27387612699999</v>
      </c>
      <c r="BM23">
        <v>251.27387612699999</v>
      </c>
      <c r="BN23">
        <v>253.2895261914</v>
      </c>
      <c r="BO23">
        <v>267.30517625580001</v>
      </c>
      <c r="BP23">
        <v>281.32082632020001</v>
      </c>
      <c r="BQ23">
        <v>295.33647638460002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55.0547752254</v>
      </c>
      <c r="DB23">
        <v>57.070425289800006</v>
      </c>
      <c r="DC23">
        <v>69.070425289799999</v>
      </c>
      <c r="DD23">
        <v>71.086075354200005</v>
      </c>
      <c r="DE23">
        <v>81.070425289799999</v>
      </c>
      <c r="DF23">
        <v>83.086075354200005</v>
      </c>
      <c r="DG23">
        <v>85.101725418599997</v>
      </c>
      <c r="DH23">
        <v>95.086075354200005</v>
      </c>
      <c r="DI23">
        <v>97.101725418599997</v>
      </c>
      <c r="DJ23">
        <v>99.117375483000004</v>
      </c>
      <c r="DK23">
        <v>109.1017254186</v>
      </c>
      <c r="DL23">
        <v>111.117375483</v>
      </c>
      <c r="DM23">
        <v>113.13302554740001</v>
      </c>
      <c r="DN23">
        <v>123.117375483</v>
      </c>
      <c r="DO23">
        <v>125.13302554740001</v>
      </c>
      <c r="DP23">
        <v>127.1486756118</v>
      </c>
      <c r="DQ23">
        <v>137.1330255474</v>
      </c>
      <c r="DR23">
        <v>139.1486756118</v>
      </c>
      <c r="DS23">
        <v>141.16432567620001</v>
      </c>
      <c r="DT23">
        <v>151.1486756118</v>
      </c>
      <c r="DU23">
        <v>153.16432567620001</v>
      </c>
      <c r="DV23">
        <v>155.17997574060001</v>
      </c>
      <c r="DW23">
        <v>165.16432567620001</v>
      </c>
      <c r="DX23">
        <v>167.17997574060001</v>
      </c>
      <c r="DY23">
        <v>169.19562580499999</v>
      </c>
      <c r="DZ23">
        <v>179.17997574060001</v>
      </c>
      <c r="EA23">
        <v>181.19562580499999</v>
      </c>
      <c r="EB23">
        <v>183.2112758694</v>
      </c>
      <c r="EC23">
        <v>193.19562580499999</v>
      </c>
      <c r="ED23">
        <v>195.2112758694</v>
      </c>
      <c r="EE23">
        <v>197.2269259338</v>
      </c>
      <c r="EF23">
        <v>207.2112758694</v>
      </c>
      <c r="EG23">
        <v>209.2269259338</v>
      </c>
      <c r="EH23">
        <v>211.24257599820001</v>
      </c>
      <c r="EI23">
        <v>221.2269259338</v>
      </c>
      <c r="EJ23">
        <v>223.24257599820001</v>
      </c>
      <c r="EK23">
        <v>225.25822606260002</v>
      </c>
      <c r="EL23">
        <v>235.24257599820001</v>
      </c>
      <c r="EM23">
        <v>237.25822606260002</v>
      </c>
      <c r="EN23">
        <v>239.27387612699999</v>
      </c>
      <c r="EO23">
        <v>249.25822606260002</v>
      </c>
      <c r="EP23">
        <v>251.27387612699999</v>
      </c>
      <c r="EQ23">
        <v>253.2895261914</v>
      </c>
      <c r="ER23">
        <v>265.2895261914</v>
      </c>
      <c r="ES23">
        <v>267.30517625580001</v>
      </c>
      <c r="ET23">
        <v>279.30517625580001</v>
      </c>
      <c r="EU23">
        <v>281.32082632020001</v>
      </c>
      <c r="EV23">
        <v>293.32082632020001</v>
      </c>
      <c r="EW23">
        <v>295.33647638460002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3.5</v>
      </c>
      <c r="FR23">
        <v>7.0710678118654755</v>
      </c>
      <c r="FS23">
        <v>2.8284271247461903</v>
      </c>
      <c r="FT23">
        <v>0</v>
      </c>
      <c r="FU23">
        <v>10</v>
      </c>
      <c r="FV23">
        <v>5</v>
      </c>
      <c r="FW23">
        <v>1.04</v>
      </c>
      <c r="FX23">
        <v>1.8399999999999999</v>
      </c>
      <c r="FY23">
        <v>1</v>
      </c>
      <c r="FZ23">
        <v>26</v>
      </c>
      <c r="GA23">
        <v>1.0268454372456677</v>
      </c>
      <c r="GB23">
        <v>51.049562682215743</v>
      </c>
      <c r="GC23">
        <v>1.429526995930682</v>
      </c>
      <c r="GD23">
        <v>91.396501457725947</v>
      </c>
      <c r="GE23">
        <v>3.1744804168990779</v>
      </c>
      <c r="GF23">
        <v>2.3381924198250732</v>
      </c>
      <c r="GG23">
        <v>7.8724319348909129</v>
      </c>
      <c r="GH23">
        <v>4.1720116618075798</v>
      </c>
      <c r="GI23">
        <v>6.502453702972061</v>
      </c>
      <c r="GJ23">
        <v>10.311044327573251</v>
      </c>
      <c r="GK23">
        <v>5.3278288569575425</v>
      </c>
      <c r="GL23">
        <v>13.772351615326819</v>
      </c>
      <c r="GM23">
        <v>4.333530213316255</v>
      </c>
      <c r="GN23">
        <v>18</v>
      </c>
      <c r="GO23">
        <v>3.5045305885170968</v>
      </c>
      <c r="GP23">
        <v>13.772351615326819</v>
      </c>
      <c r="GQ23">
        <v>2.8258027990289638</v>
      </c>
      <c r="GR23">
        <v>10.311044327573251</v>
      </c>
      <c r="GS23">
        <v>2.282319661320753</v>
      </c>
      <c r="GT23">
        <v>7.5394440270473329</v>
      </c>
      <c r="GU23">
        <v>1.859053991861364</v>
      </c>
      <c r="GV23">
        <v>5.3809166040570995</v>
      </c>
      <c r="GW23">
        <v>1.5409786071196927</v>
      </c>
      <c r="GX23">
        <v>3.7588279489105929</v>
      </c>
      <c r="GY23">
        <v>1.3130663235646372</v>
      </c>
      <c r="GZ23">
        <v>2.5965439519158533</v>
      </c>
      <c r="HA23">
        <v>1.1602899576650942</v>
      </c>
      <c r="HB23">
        <v>1.8174305033809166</v>
      </c>
      <c r="HC23">
        <v>1.3448534936138241</v>
      </c>
      <c r="HD23">
        <v>1.1021788129226144</v>
      </c>
      <c r="HE23">
        <v>1.0127723516153269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  <c r="IJ23">
        <v>0</v>
      </c>
      <c r="IK23">
        <v>0</v>
      </c>
      <c r="IL23">
        <v>0</v>
      </c>
      <c r="IM23">
        <v>0</v>
      </c>
      <c r="IN23">
        <v>0</v>
      </c>
      <c r="IO23">
        <v>1</v>
      </c>
      <c r="IP23">
        <v>4.125</v>
      </c>
      <c r="IQ23">
        <v>1.0759303628813179</v>
      </c>
      <c r="IR23">
        <v>7.2623906705539358</v>
      </c>
      <c r="IS23">
        <v>1.1269551020408164</v>
      </c>
      <c r="IT23">
        <v>2.2148858061010874</v>
      </c>
      <c r="IU23">
        <v>12.349125364431487</v>
      </c>
      <c r="IV23">
        <v>1.534987755102041</v>
      </c>
      <c r="IW23">
        <v>12.004907405944122</v>
      </c>
      <c r="IX23">
        <v>1.3345481049562684</v>
      </c>
      <c r="IY23">
        <v>7.5306122448979584</v>
      </c>
      <c r="IZ23">
        <v>14.744863869781826</v>
      </c>
      <c r="JA23">
        <v>2.6348610067618332</v>
      </c>
      <c r="JB23">
        <v>5.8552898877168529</v>
      </c>
      <c r="JC23">
        <v>12.004907405944122</v>
      </c>
      <c r="JD23">
        <v>3.3277610818933128</v>
      </c>
      <c r="JE23">
        <v>4.5250618364796988</v>
      </c>
      <c r="JF23">
        <v>9.655657713915085</v>
      </c>
      <c r="JG23">
        <v>4.1930879038317048</v>
      </c>
      <c r="JH23">
        <v>3.4889289326726107</v>
      </c>
      <c r="JI23">
        <v>7.6670604266325109</v>
      </c>
      <c r="JJ23">
        <v>5.25</v>
      </c>
      <c r="JK23">
        <v>2.6999719504628175</v>
      </c>
      <c r="JL23">
        <v>6.0090611770341935</v>
      </c>
      <c r="JM23">
        <v>4.1930879038317048</v>
      </c>
      <c r="JN23">
        <v>2.1153515966986536</v>
      </c>
      <c r="JO23">
        <v>4.6516055980579276</v>
      </c>
      <c r="JP23">
        <v>3.3277610818933128</v>
      </c>
      <c r="JQ23">
        <v>1.6963085109095699</v>
      </c>
      <c r="JR23">
        <v>3.5646393226415065</v>
      </c>
      <c r="JS23">
        <v>2.6348610067618332</v>
      </c>
      <c r="JT23">
        <v>1.4081632653061225</v>
      </c>
      <c r="JU23">
        <v>2.718107983722728</v>
      </c>
      <c r="JV23">
        <v>2.0952291510142746</v>
      </c>
      <c r="JW23">
        <v>1.2203163647799811</v>
      </c>
      <c r="JX23">
        <v>2.0819572142393854</v>
      </c>
      <c r="JY23">
        <v>1.6897069872276482</v>
      </c>
      <c r="JZ23">
        <v>1.1062482469039261</v>
      </c>
      <c r="KA23">
        <v>1.6261326471292741</v>
      </c>
      <c r="KB23">
        <v>1.3991359879789633</v>
      </c>
      <c r="KC23">
        <v>1.0435192819318482</v>
      </c>
      <c r="KD23">
        <v>1.3205799153301883</v>
      </c>
      <c r="KE23">
        <v>1.2043576258452291</v>
      </c>
      <c r="KF23">
        <v>1.1352446517799233</v>
      </c>
      <c r="KG23">
        <v>1.086213373403456</v>
      </c>
      <c r="KH23">
        <v>1.0400724894162736</v>
      </c>
      <c r="KI23">
        <v>1.0255447032306537</v>
      </c>
      <c r="KJ23">
        <v>1.0050090611770341</v>
      </c>
      <c r="KK23">
        <v>1.0031930879038318</v>
      </c>
      <c r="KL23">
        <v>0</v>
      </c>
      <c r="KM23">
        <v>0</v>
      </c>
      <c r="KN23">
        <v>0</v>
      </c>
      <c r="KO23">
        <v>0</v>
      </c>
      <c r="KP23">
        <v>0</v>
      </c>
      <c r="KQ23">
        <v>0</v>
      </c>
      <c r="KR23">
        <v>0</v>
      </c>
      <c r="KS23">
        <v>0</v>
      </c>
      <c r="KT23">
        <v>0</v>
      </c>
      <c r="KU23">
        <v>0</v>
      </c>
      <c r="KV23">
        <v>0</v>
      </c>
      <c r="KW23">
        <v>0</v>
      </c>
      <c r="KX23">
        <v>0</v>
      </c>
      <c r="KY23">
        <v>0</v>
      </c>
      <c r="KZ23">
        <v>0</v>
      </c>
      <c r="LA23">
        <v>0</v>
      </c>
      <c r="LB23">
        <v>0</v>
      </c>
      <c r="LC23">
        <v>0</v>
      </c>
      <c r="LD23">
        <v>0</v>
      </c>
    </row>
    <row r="24" spans="1:316" x14ac:dyDescent="0.2">
      <c r="A24">
        <v>18</v>
      </c>
      <c r="B24" t="s">
        <v>695</v>
      </c>
      <c r="C24" t="s">
        <v>286</v>
      </c>
      <c r="D24" t="s">
        <v>287</v>
      </c>
      <c r="E24" t="s">
        <v>286</v>
      </c>
      <c r="F24" t="s">
        <v>185</v>
      </c>
      <c r="G24" t="s">
        <v>169</v>
      </c>
      <c r="H24">
        <v>-1</v>
      </c>
      <c r="I24">
        <v>15.31</v>
      </c>
      <c r="J24">
        <v>18.536173754666667</v>
      </c>
      <c r="K24" t="s">
        <v>195</v>
      </c>
      <c r="L24">
        <v>0</v>
      </c>
      <c r="M24">
        <v>2</v>
      </c>
      <c r="N24" t="s">
        <v>286</v>
      </c>
      <c r="O24">
        <v>0</v>
      </c>
      <c r="P24">
        <v>0</v>
      </c>
      <c r="Q24">
        <v>0</v>
      </c>
      <c r="R24">
        <v>0</v>
      </c>
      <c r="S24">
        <v>0</v>
      </c>
      <c r="T24">
        <v>25</v>
      </c>
      <c r="U24">
        <v>0</v>
      </c>
      <c r="V24">
        <v>25</v>
      </c>
      <c r="W24">
        <v>2</v>
      </c>
      <c r="X24" t="s">
        <v>286</v>
      </c>
      <c r="Y24">
        <v>438.40754720759998</v>
      </c>
      <c r="Z24">
        <v>420.39698720759998</v>
      </c>
      <c r="AA24">
        <v>442.43882720760001</v>
      </c>
      <c r="AB24">
        <v>424.42826720760002</v>
      </c>
      <c r="AC24">
        <v>789.80636720760003</v>
      </c>
      <c r="AD24">
        <v>443.44641572639995</v>
      </c>
      <c r="AE24">
        <v>425.43585104239997</v>
      </c>
      <c r="AF24">
        <v>0</v>
      </c>
      <c r="AG24" t="s">
        <v>684</v>
      </c>
      <c r="AH24">
        <v>75.044604464599999</v>
      </c>
      <c r="AI24">
        <v>351.39907160999996</v>
      </c>
      <c r="AJ24">
        <v>347.36777148120001</v>
      </c>
      <c r="AK24">
        <v>55.0547752254</v>
      </c>
      <c r="AL24">
        <v>57.070425289800006</v>
      </c>
      <c r="AM24">
        <v>69.070425289799999</v>
      </c>
      <c r="AN24">
        <v>71.086075354200005</v>
      </c>
      <c r="AO24">
        <v>83.086075354200005</v>
      </c>
      <c r="AP24">
        <v>85.101725418599997</v>
      </c>
      <c r="AQ24">
        <v>97.101725418599997</v>
      </c>
      <c r="AR24">
        <v>99.117375483000004</v>
      </c>
      <c r="AS24">
        <v>111.117375483</v>
      </c>
      <c r="AT24">
        <v>113.13302554740001</v>
      </c>
      <c r="AU24">
        <v>125.13302554740001</v>
      </c>
      <c r="AV24">
        <v>127.1486756118</v>
      </c>
      <c r="AW24">
        <v>139.1486756118</v>
      </c>
      <c r="AX24">
        <v>141.16432567620001</v>
      </c>
      <c r="AY24">
        <v>153.16432567620001</v>
      </c>
      <c r="AZ24">
        <v>155.17997574060001</v>
      </c>
      <c r="BA24">
        <v>167.17997574060001</v>
      </c>
      <c r="BB24">
        <v>169.19562580499999</v>
      </c>
      <c r="BC24">
        <v>181.19562580499999</v>
      </c>
      <c r="BD24">
        <v>183.2112758694</v>
      </c>
      <c r="BE24">
        <v>195.2112758694</v>
      </c>
      <c r="BF24">
        <v>197.2269259338</v>
      </c>
      <c r="BG24">
        <v>209.2269259338</v>
      </c>
      <c r="BH24">
        <v>211.24257599820001</v>
      </c>
      <c r="BI24">
        <v>223.24257599820001</v>
      </c>
      <c r="BJ24">
        <v>225.25822606260002</v>
      </c>
      <c r="BK24">
        <v>237.25822606260002</v>
      </c>
      <c r="BL24">
        <v>239.27387612699999</v>
      </c>
      <c r="BM24">
        <v>251.27387612699999</v>
      </c>
      <c r="BN24">
        <v>253.2895261914</v>
      </c>
      <c r="BO24">
        <v>267.30517625580001</v>
      </c>
      <c r="BP24">
        <v>281.32082632020001</v>
      </c>
      <c r="BQ24">
        <v>295.33647638460002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55.0547752254</v>
      </c>
      <c r="DB24">
        <v>57.070425289800006</v>
      </c>
      <c r="DC24">
        <v>69.070425289799999</v>
      </c>
      <c r="DD24">
        <v>71.086075354200005</v>
      </c>
      <c r="DE24">
        <v>81.070425289799999</v>
      </c>
      <c r="DF24">
        <v>83.086075354200005</v>
      </c>
      <c r="DG24">
        <v>85.101725418599997</v>
      </c>
      <c r="DH24">
        <v>95.086075354200005</v>
      </c>
      <c r="DI24">
        <v>97.101725418599997</v>
      </c>
      <c r="DJ24">
        <v>99.117375483000004</v>
      </c>
      <c r="DK24">
        <v>109.1017254186</v>
      </c>
      <c r="DL24">
        <v>111.117375483</v>
      </c>
      <c r="DM24">
        <v>113.13302554740001</v>
      </c>
      <c r="DN24">
        <v>123.117375483</v>
      </c>
      <c r="DO24">
        <v>125.13302554740001</v>
      </c>
      <c r="DP24">
        <v>127.1486756118</v>
      </c>
      <c r="DQ24">
        <v>137.1330255474</v>
      </c>
      <c r="DR24">
        <v>139.1486756118</v>
      </c>
      <c r="DS24">
        <v>141.16432567620001</v>
      </c>
      <c r="DT24">
        <v>149.1330255474</v>
      </c>
      <c r="DU24">
        <v>151.1486756118</v>
      </c>
      <c r="DV24">
        <v>153.16432567620001</v>
      </c>
      <c r="DW24">
        <v>155.17997574060001</v>
      </c>
      <c r="DX24">
        <v>163.1486756118</v>
      </c>
      <c r="DY24">
        <v>165.16432567620001</v>
      </c>
      <c r="DZ24">
        <v>167.17997574060001</v>
      </c>
      <c r="EA24">
        <v>169.19562580499999</v>
      </c>
      <c r="EB24">
        <v>177.16432567620001</v>
      </c>
      <c r="EC24">
        <v>179.17997574060001</v>
      </c>
      <c r="ED24">
        <v>181.19562580499999</v>
      </c>
      <c r="EE24">
        <v>183.2112758694</v>
      </c>
      <c r="EF24">
        <v>191.17997574060001</v>
      </c>
      <c r="EG24">
        <v>193.19562580499999</v>
      </c>
      <c r="EH24">
        <v>195.2112758694</v>
      </c>
      <c r="EI24">
        <v>197.2269259338</v>
      </c>
      <c r="EJ24">
        <v>205.19562580499999</v>
      </c>
      <c r="EK24">
        <v>207.2112758694</v>
      </c>
      <c r="EL24">
        <v>209.2269259338</v>
      </c>
      <c r="EM24">
        <v>211.24257599820001</v>
      </c>
      <c r="EN24">
        <v>219.2112758694</v>
      </c>
      <c r="EO24">
        <v>221.2269259338</v>
      </c>
      <c r="EP24">
        <v>223.24257599820001</v>
      </c>
      <c r="EQ24">
        <v>225.25822606260002</v>
      </c>
      <c r="ER24">
        <v>233.2269259338</v>
      </c>
      <c r="ES24">
        <v>235.24257599820001</v>
      </c>
      <c r="ET24">
        <v>237.25822606260002</v>
      </c>
      <c r="EU24">
        <v>239.27387612699999</v>
      </c>
      <c r="EV24">
        <v>247.24257599820001</v>
      </c>
      <c r="EW24">
        <v>249.25822606260002</v>
      </c>
      <c r="EX24">
        <v>251.27387612699999</v>
      </c>
      <c r="EY24">
        <v>253.2895261914</v>
      </c>
      <c r="EZ24">
        <v>263.27387612699999</v>
      </c>
      <c r="FA24">
        <v>265.2895261914</v>
      </c>
      <c r="FB24">
        <v>277.2895261914</v>
      </c>
      <c r="FC24">
        <v>279.30517625580001</v>
      </c>
      <c r="FD24">
        <v>291.30517625580001</v>
      </c>
      <c r="FE24">
        <v>293.32082632020001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2.4499999999999997</v>
      </c>
      <c r="FR24">
        <v>5</v>
      </c>
      <c r="FS24">
        <v>1.6000000000000003</v>
      </c>
      <c r="FT24">
        <v>0</v>
      </c>
      <c r="FU24">
        <v>10</v>
      </c>
      <c r="FV24">
        <v>5</v>
      </c>
      <c r="FW24">
        <v>1.3520000000000003</v>
      </c>
      <c r="FX24">
        <v>4.2319999999999993</v>
      </c>
      <c r="FY24">
        <v>1</v>
      </c>
      <c r="FZ24">
        <v>26</v>
      </c>
      <c r="GA24">
        <v>1.0268454372456677</v>
      </c>
      <c r="GB24">
        <v>51.049562682215743</v>
      </c>
      <c r="GC24">
        <v>1.429526995930682</v>
      </c>
      <c r="GD24">
        <v>91.396501457725947</v>
      </c>
      <c r="GE24">
        <v>3.1744804168990779</v>
      </c>
      <c r="GF24">
        <v>2.3381924198250732</v>
      </c>
      <c r="GG24">
        <v>7.8724319348909129</v>
      </c>
      <c r="GH24">
        <v>4.1720116618075798</v>
      </c>
      <c r="GI24">
        <v>6.502453702972061</v>
      </c>
      <c r="GJ24">
        <v>10.311044327573251</v>
      </c>
      <c r="GK24">
        <v>5.3278288569575425</v>
      </c>
      <c r="GL24">
        <v>13.772351615326819</v>
      </c>
      <c r="GM24">
        <v>4.333530213316255</v>
      </c>
      <c r="GN24">
        <v>18</v>
      </c>
      <c r="GO24">
        <v>3.5045305885170968</v>
      </c>
      <c r="GP24">
        <v>13.772351615326819</v>
      </c>
      <c r="GQ24">
        <v>2.8258027990289638</v>
      </c>
      <c r="GR24">
        <v>10.311044327573251</v>
      </c>
      <c r="GS24">
        <v>2.282319661320753</v>
      </c>
      <c r="GT24">
        <v>7.5394440270473329</v>
      </c>
      <c r="GU24">
        <v>1.859053991861364</v>
      </c>
      <c r="GV24">
        <v>5.3809166040570995</v>
      </c>
      <c r="GW24">
        <v>1.5409786071196927</v>
      </c>
      <c r="GX24">
        <v>3.7588279489105929</v>
      </c>
      <c r="GY24">
        <v>1.3130663235646372</v>
      </c>
      <c r="GZ24">
        <v>2.5965439519158533</v>
      </c>
      <c r="HA24">
        <v>1.1602899576650942</v>
      </c>
      <c r="HB24">
        <v>1.8174305033809166</v>
      </c>
      <c r="HC24">
        <v>1.3448534936138241</v>
      </c>
      <c r="HD24">
        <v>1.1021788129226144</v>
      </c>
      <c r="HE24">
        <v>1.0127723516153269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  <c r="IJ24">
        <v>0</v>
      </c>
      <c r="IK24">
        <v>0</v>
      </c>
      <c r="IL24">
        <v>0</v>
      </c>
      <c r="IM24">
        <v>0</v>
      </c>
      <c r="IN24">
        <v>0</v>
      </c>
      <c r="IO24">
        <v>1</v>
      </c>
      <c r="IP24">
        <v>1.925925925925926</v>
      </c>
      <c r="IQ24">
        <v>1.1394929837826946</v>
      </c>
      <c r="IR24">
        <v>2.8573588165424901</v>
      </c>
      <c r="IS24">
        <v>1.5078204081632651</v>
      </c>
      <c r="IT24">
        <v>3.2318877405231148</v>
      </c>
      <c r="IU24">
        <v>4.3773890508584383</v>
      </c>
      <c r="IV24">
        <v>3.1399510204081635</v>
      </c>
      <c r="IW24">
        <v>17.507361108916182</v>
      </c>
      <c r="IX24">
        <v>1.1486880466472305</v>
      </c>
      <c r="IY24">
        <v>15.693877551020407</v>
      </c>
      <c r="IZ24">
        <v>21.617295804672739</v>
      </c>
      <c r="JA24">
        <v>1.7266048918941481</v>
      </c>
      <c r="JB24">
        <v>11.924402247362918</v>
      </c>
      <c r="JC24">
        <v>17.507361108916182</v>
      </c>
      <c r="JD24">
        <v>2.0345604808414723</v>
      </c>
      <c r="JE24">
        <v>8.9313891320793211</v>
      </c>
      <c r="JF24">
        <v>13.983486570872627</v>
      </c>
      <c r="JG24">
        <v>2.4191501794807575</v>
      </c>
      <c r="JH24">
        <v>6.457226260881292</v>
      </c>
      <c r="JI24">
        <v>6.6000900985133741</v>
      </c>
      <c r="JJ24">
        <v>11.000590639948767</v>
      </c>
      <c r="JK24">
        <v>2.8888888888888888</v>
      </c>
      <c r="JL24">
        <v>4.7717409327994611</v>
      </c>
      <c r="JM24">
        <v>4.8249368885413384</v>
      </c>
      <c r="JN24">
        <v>8.5135917655512898</v>
      </c>
      <c r="JO24">
        <v>2.4191501794807575</v>
      </c>
      <c r="JP24">
        <v>3.4883385689556921</v>
      </c>
      <c r="JQ24">
        <v>3.509541092571971</v>
      </c>
      <c r="JR24">
        <v>6.4774083970868919</v>
      </c>
      <c r="JS24">
        <v>2.0345604808414723</v>
      </c>
      <c r="JT24">
        <v>2.5373321631684211</v>
      </c>
      <c r="JU24">
        <v>2.5666941495465321</v>
      </c>
      <c r="JV24">
        <v>4.84695898396226</v>
      </c>
      <c r="JW24">
        <v>1.7266048918941481</v>
      </c>
      <c r="JX24">
        <v>1.8556715669876656</v>
      </c>
      <c r="JY24">
        <v>1.9183673469387754</v>
      </c>
      <c r="JZ24">
        <v>3.5771619755840924</v>
      </c>
      <c r="KA24">
        <v>1.4867685115619</v>
      </c>
      <c r="KB24">
        <v>1.3869434896950159</v>
      </c>
      <c r="KC24">
        <v>1.4957118207549576</v>
      </c>
      <c r="KD24">
        <v>2.6229358213590785</v>
      </c>
      <c r="KE24">
        <v>1.3065364387678438</v>
      </c>
      <c r="KF24">
        <v>1.0813714983036424</v>
      </c>
      <c r="KG24">
        <v>1.2390585555338336</v>
      </c>
      <c r="KH24">
        <v>1.9391989706939112</v>
      </c>
      <c r="KI24">
        <v>1.1773937724350949</v>
      </c>
      <c r="KJ24">
        <v>0.89581601755829243</v>
      </c>
      <c r="KK24">
        <v>1.0979183843466582</v>
      </c>
      <c r="KL24">
        <v>1.4808698729952825</v>
      </c>
      <c r="KM24">
        <v>1.0908256114867685</v>
      </c>
      <c r="KN24">
        <v>1.0309819887971849</v>
      </c>
      <c r="KO24">
        <v>1.2028669776698848</v>
      </c>
      <c r="KP24">
        <v>1.0061198990216662</v>
      </c>
      <c r="KQ24">
        <v>1.0601087341244102</v>
      </c>
      <c r="KR24">
        <v>1.0003824936888541</v>
      </c>
      <c r="KS24">
        <v>1.0075135917655513</v>
      </c>
      <c r="KT24">
        <v>0</v>
      </c>
      <c r="KU24">
        <v>0</v>
      </c>
      <c r="KV24">
        <v>0</v>
      </c>
      <c r="KW24">
        <v>0</v>
      </c>
      <c r="KX24">
        <v>0</v>
      </c>
      <c r="KY24">
        <v>0</v>
      </c>
      <c r="KZ24">
        <v>0</v>
      </c>
      <c r="LA24">
        <v>0</v>
      </c>
      <c r="LB24">
        <v>0</v>
      </c>
      <c r="LC24">
        <v>0</v>
      </c>
      <c r="LD24">
        <v>0</v>
      </c>
    </row>
    <row r="25" spans="1:316" x14ac:dyDescent="0.2">
      <c r="A25">
        <v>19</v>
      </c>
      <c r="B25" t="s">
        <v>696</v>
      </c>
      <c r="C25" t="s">
        <v>288</v>
      </c>
      <c r="D25" t="s">
        <v>289</v>
      </c>
      <c r="E25" t="s">
        <v>288</v>
      </c>
      <c r="F25" t="s">
        <v>186</v>
      </c>
      <c r="G25" t="s">
        <v>170</v>
      </c>
      <c r="H25">
        <v>-1</v>
      </c>
      <c r="I25">
        <v>14.59</v>
      </c>
      <c r="J25">
        <v>18.130594273333337</v>
      </c>
      <c r="K25" t="s">
        <v>196</v>
      </c>
      <c r="L25">
        <v>0</v>
      </c>
      <c r="M25">
        <v>2</v>
      </c>
      <c r="N25" t="s">
        <v>288</v>
      </c>
      <c r="O25">
        <v>0</v>
      </c>
      <c r="P25">
        <v>0</v>
      </c>
      <c r="Q25">
        <v>0</v>
      </c>
      <c r="R25">
        <v>0</v>
      </c>
      <c r="S25">
        <v>0</v>
      </c>
      <c r="T25">
        <v>25</v>
      </c>
      <c r="U25">
        <v>0</v>
      </c>
      <c r="V25">
        <v>25</v>
      </c>
      <c r="W25">
        <v>3</v>
      </c>
      <c r="X25" t="s">
        <v>288</v>
      </c>
      <c r="Y25">
        <v>436.39189714319997</v>
      </c>
      <c r="Z25">
        <v>418.38133714319997</v>
      </c>
      <c r="AA25">
        <v>442.43881714319997</v>
      </c>
      <c r="AB25">
        <v>424.42825714319997</v>
      </c>
      <c r="AC25">
        <v>787.79071714320003</v>
      </c>
      <c r="AD25">
        <v>443.44641572639995</v>
      </c>
      <c r="AE25">
        <v>425.43585104239997</v>
      </c>
      <c r="AF25">
        <v>695.7433680268</v>
      </c>
      <c r="AG25" t="s">
        <v>684</v>
      </c>
      <c r="AH25">
        <v>75.044604464599999</v>
      </c>
      <c r="AI25">
        <v>351.39907160999996</v>
      </c>
      <c r="AJ25">
        <v>345.3521214168</v>
      </c>
      <c r="AK25">
        <v>55.0547752254</v>
      </c>
      <c r="AL25">
        <v>57.070425289800006</v>
      </c>
      <c r="AM25">
        <v>69.070425289799999</v>
      </c>
      <c r="AN25">
        <v>71.086075354200005</v>
      </c>
      <c r="AO25">
        <v>83.086075354200005</v>
      </c>
      <c r="AP25">
        <v>85.101725418599997</v>
      </c>
      <c r="AQ25">
        <v>97.101725418599997</v>
      </c>
      <c r="AR25">
        <v>99.117375483000004</v>
      </c>
      <c r="AS25">
        <v>111.117375483</v>
      </c>
      <c r="AT25">
        <v>113.13302554740001</v>
      </c>
      <c r="AU25">
        <v>125.13302554740001</v>
      </c>
      <c r="AV25">
        <v>127.1486756118</v>
      </c>
      <c r="AW25">
        <v>139.1486756118</v>
      </c>
      <c r="AX25">
        <v>141.16432567620001</v>
      </c>
      <c r="AY25">
        <v>153.16432567620001</v>
      </c>
      <c r="AZ25">
        <v>155.17997574060001</v>
      </c>
      <c r="BA25">
        <v>167.17997574060001</v>
      </c>
      <c r="BB25">
        <v>169.19562580499999</v>
      </c>
      <c r="BC25">
        <v>181.19562580499999</v>
      </c>
      <c r="BD25">
        <v>183.2112758694</v>
      </c>
      <c r="BE25">
        <v>195.2112758694</v>
      </c>
      <c r="BF25">
        <v>197.2269259338</v>
      </c>
      <c r="BG25">
        <v>209.2269259338</v>
      </c>
      <c r="BH25">
        <v>211.24257599820001</v>
      </c>
      <c r="BI25">
        <v>223.24257599820001</v>
      </c>
      <c r="BJ25">
        <v>225.25822606260002</v>
      </c>
      <c r="BK25">
        <v>237.25822606260002</v>
      </c>
      <c r="BL25">
        <v>239.27387612699999</v>
      </c>
      <c r="BM25">
        <v>251.27387612699999</v>
      </c>
      <c r="BN25">
        <v>253.2895261914</v>
      </c>
      <c r="BO25">
        <v>267.30517625580001</v>
      </c>
      <c r="BP25">
        <v>281.32082632020001</v>
      </c>
      <c r="BQ25">
        <v>295.33647638460002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55.0547752254</v>
      </c>
      <c r="DB25">
        <v>57.070425289800006</v>
      </c>
      <c r="DC25">
        <v>69.070425289799999</v>
      </c>
      <c r="DD25">
        <v>71.086075354200005</v>
      </c>
      <c r="DE25">
        <v>81.070425289799999</v>
      </c>
      <c r="DF25">
        <v>83.086075354200005</v>
      </c>
      <c r="DG25">
        <v>85.101725418599997</v>
      </c>
      <c r="DH25">
        <v>95.086075354200005</v>
      </c>
      <c r="DI25">
        <v>97.101725418599997</v>
      </c>
      <c r="DJ25">
        <v>99.117375483000004</v>
      </c>
      <c r="DK25">
        <v>109.1017254186</v>
      </c>
      <c r="DL25">
        <v>111.117375483</v>
      </c>
      <c r="DM25">
        <v>113.13302554740001</v>
      </c>
      <c r="DN25">
        <v>123.117375483</v>
      </c>
      <c r="DO25">
        <v>125.13302554740001</v>
      </c>
      <c r="DP25">
        <v>127.1486756118</v>
      </c>
      <c r="DQ25">
        <v>137.1330255474</v>
      </c>
      <c r="DR25">
        <v>139.1486756118</v>
      </c>
      <c r="DS25">
        <v>141.16432567620001</v>
      </c>
      <c r="DT25">
        <v>149.1330255474</v>
      </c>
      <c r="DU25">
        <v>151.1486756118</v>
      </c>
      <c r="DV25">
        <v>153.16432567620001</v>
      </c>
      <c r="DW25">
        <v>155.17997574060001</v>
      </c>
      <c r="DX25">
        <v>163.1486756118</v>
      </c>
      <c r="DY25">
        <v>165.16432567620001</v>
      </c>
      <c r="DZ25">
        <v>167.17997574060001</v>
      </c>
      <c r="EA25">
        <v>169.19562580499999</v>
      </c>
      <c r="EB25">
        <v>177.16432567620001</v>
      </c>
      <c r="EC25">
        <v>179.17997574060001</v>
      </c>
      <c r="ED25">
        <v>181.19562580499999</v>
      </c>
      <c r="EE25">
        <v>183.2112758694</v>
      </c>
      <c r="EF25">
        <v>191.17997574060001</v>
      </c>
      <c r="EG25">
        <v>193.19562580499999</v>
      </c>
      <c r="EH25">
        <v>195.2112758694</v>
      </c>
      <c r="EI25">
        <v>205.19562580499999</v>
      </c>
      <c r="EJ25">
        <v>207.2112758694</v>
      </c>
      <c r="EK25">
        <v>209.2269259338</v>
      </c>
      <c r="EL25">
        <v>217.19562580499999</v>
      </c>
      <c r="EM25">
        <v>219.2112758694</v>
      </c>
      <c r="EN25">
        <v>221.2269259338</v>
      </c>
      <c r="EO25">
        <v>223.24257599820001</v>
      </c>
      <c r="EP25">
        <v>231.2112758694</v>
      </c>
      <c r="EQ25">
        <v>233.2269259338</v>
      </c>
      <c r="ER25">
        <v>235.24257599820001</v>
      </c>
      <c r="ES25">
        <v>237.25822606260002</v>
      </c>
      <c r="ET25">
        <v>245.2269259338</v>
      </c>
      <c r="EU25">
        <v>247.24257599820001</v>
      </c>
      <c r="EV25">
        <v>249.25822606260002</v>
      </c>
      <c r="EW25">
        <v>251.27387612699999</v>
      </c>
      <c r="EX25">
        <v>261.25822606259999</v>
      </c>
      <c r="EY25">
        <v>263.27387612699999</v>
      </c>
      <c r="EZ25">
        <v>275.27387612699999</v>
      </c>
      <c r="FA25">
        <v>277.2895261914</v>
      </c>
      <c r="FB25">
        <v>289.2895261914</v>
      </c>
      <c r="FC25">
        <v>291.30517625580001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1.7149999999999996</v>
      </c>
      <c r="FR25">
        <v>3.5355339059327378</v>
      </c>
      <c r="FS25">
        <v>0.90509667991878107</v>
      </c>
      <c r="FT25">
        <v>2</v>
      </c>
      <c r="FU25">
        <v>10</v>
      </c>
      <c r="FV25">
        <v>5</v>
      </c>
      <c r="FW25">
        <v>1.7576000000000005</v>
      </c>
      <c r="FX25">
        <v>9.7335999999999974</v>
      </c>
      <c r="FY25">
        <v>1</v>
      </c>
      <c r="FZ25">
        <v>26</v>
      </c>
      <c r="GA25">
        <v>1.0268454372456677</v>
      </c>
      <c r="GB25">
        <v>51.049562682215743</v>
      </c>
      <c r="GC25">
        <v>1.429526995930682</v>
      </c>
      <c r="GD25">
        <v>91.396501457725947</v>
      </c>
      <c r="GE25">
        <v>3.1744804168990779</v>
      </c>
      <c r="GF25">
        <v>2.3381924198250732</v>
      </c>
      <c r="GG25">
        <v>7.8724319348909129</v>
      </c>
      <c r="GH25">
        <v>4.1720116618075798</v>
      </c>
      <c r="GI25">
        <v>6.502453702972061</v>
      </c>
      <c r="GJ25">
        <v>10.311044327573251</v>
      </c>
      <c r="GK25">
        <v>5.3278288569575425</v>
      </c>
      <c r="GL25">
        <v>13.772351615326819</v>
      </c>
      <c r="GM25">
        <v>4.333530213316255</v>
      </c>
      <c r="GN25">
        <v>18</v>
      </c>
      <c r="GO25">
        <v>3.5045305885170968</v>
      </c>
      <c r="GP25">
        <v>13.772351615326819</v>
      </c>
      <c r="GQ25">
        <v>2.8258027990289638</v>
      </c>
      <c r="GR25">
        <v>10.311044327573251</v>
      </c>
      <c r="GS25">
        <v>2.282319661320753</v>
      </c>
      <c r="GT25">
        <v>7.5394440270473329</v>
      </c>
      <c r="GU25">
        <v>1.859053991861364</v>
      </c>
      <c r="GV25">
        <v>5.3809166040570995</v>
      </c>
      <c r="GW25">
        <v>1.5409786071196927</v>
      </c>
      <c r="GX25">
        <v>3.7588279489105929</v>
      </c>
      <c r="GY25">
        <v>1.3130663235646372</v>
      </c>
      <c r="GZ25">
        <v>2.5965439519158533</v>
      </c>
      <c r="HA25">
        <v>1.1602899576650942</v>
      </c>
      <c r="HB25">
        <v>1.8174305033809166</v>
      </c>
      <c r="HC25">
        <v>1.3448534936138241</v>
      </c>
      <c r="HD25">
        <v>1.1021788129226144</v>
      </c>
      <c r="HE25">
        <v>1.0127723516153269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  <c r="IJ25">
        <v>0</v>
      </c>
      <c r="IK25">
        <v>0</v>
      </c>
      <c r="IL25">
        <v>0</v>
      </c>
      <c r="IM25">
        <v>0</v>
      </c>
      <c r="IN25">
        <v>0</v>
      </c>
      <c r="IO25">
        <v>1</v>
      </c>
      <c r="IP25">
        <v>1.390625</v>
      </c>
      <c r="IQ25">
        <v>1.1394929837826946</v>
      </c>
      <c r="IR25">
        <v>1.784347667638484</v>
      </c>
      <c r="IS25">
        <v>2.1425959183673466</v>
      </c>
      <c r="IT25">
        <v>3.2318877405231148</v>
      </c>
      <c r="IU25">
        <v>2.4310313411078717</v>
      </c>
      <c r="IV25">
        <v>5.8148897959183676</v>
      </c>
      <c r="IW25">
        <v>17.507361108916182</v>
      </c>
      <c r="IX25">
        <v>1.0836370262390671</v>
      </c>
      <c r="IY25">
        <v>27.122448979591834</v>
      </c>
      <c r="IZ25">
        <v>21.617295804672739</v>
      </c>
      <c r="JA25">
        <v>1.4087152516904582</v>
      </c>
      <c r="JB25">
        <v>20.421159550867412</v>
      </c>
      <c r="JC25">
        <v>17.507361108916182</v>
      </c>
      <c r="JD25">
        <v>1.5819402704733281</v>
      </c>
      <c r="JE25">
        <v>15.100247345918794</v>
      </c>
      <c r="JF25">
        <v>13.983486570872627</v>
      </c>
      <c r="JG25">
        <v>1.7982719759579262</v>
      </c>
      <c r="JH25">
        <v>10.917194656501268</v>
      </c>
      <c r="JI25">
        <v>10.955715730690443</v>
      </c>
      <c r="JJ25">
        <v>11.000590639948767</v>
      </c>
      <c r="JK25">
        <v>2.0625</v>
      </c>
      <c r="JL25">
        <v>7.9207762954669025</v>
      </c>
      <c r="JM25">
        <v>7.799887801851269</v>
      </c>
      <c r="JN25">
        <v>8.5135917655512898</v>
      </c>
      <c r="JO25">
        <v>1.7982719759579262</v>
      </c>
      <c r="JP25">
        <v>5.6391720930779803</v>
      </c>
      <c r="JQ25">
        <v>5.4614063867946152</v>
      </c>
      <c r="JR25">
        <v>6.4774083970868919</v>
      </c>
      <c r="JS25">
        <v>1.5819402704733281</v>
      </c>
      <c r="JT25">
        <v>3.9484940383450535</v>
      </c>
      <c r="JU25">
        <v>3.7852340436382792</v>
      </c>
      <c r="JV25">
        <v>4.84695898396226</v>
      </c>
      <c r="JW25">
        <v>2.8546868822184095</v>
      </c>
      <c r="JX25">
        <v>2.6326530612244898</v>
      </c>
      <c r="JY25">
        <v>3.5771619755840924</v>
      </c>
      <c r="JZ25">
        <v>2.0638848929161564</v>
      </c>
      <c r="KA25">
        <v>1.9033586188367773</v>
      </c>
      <c r="KB25">
        <v>1.8812654591199247</v>
      </c>
      <c r="KC25">
        <v>2.6229358213590785</v>
      </c>
      <c r="KD25">
        <v>1.3760924617295502</v>
      </c>
      <c r="KE25">
        <v>1.360119523029891</v>
      </c>
      <c r="KF25">
        <v>1.4249929876157041</v>
      </c>
      <c r="KG25">
        <v>1.9391989706939112</v>
      </c>
      <c r="KH25">
        <v>0.9833408187871967</v>
      </c>
      <c r="KI25">
        <v>1.0302431128159353</v>
      </c>
      <c r="KJ25">
        <v>1.1740771277273925</v>
      </c>
      <c r="KK25">
        <v>1.4808698729952825</v>
      </c>
      <c r="KL25">
        <v>0.74484638221315191</v>
      </c>
      <c r="KM25">
        <v>1.0550790911949952</v>
      </c>
      <c r="KN25">
        <v>1.0706410493870033</v>
      </c>
      <c r="KO25">
        <v>1.0108798204829621</v>
      </c>
      <c r="KP25">
        <v>0.76280232718792973</v>
      </c>
      <c r="KQ25">
        <v>1.0006799887801852</v>
      </c>
      <c r="KR25">
        <v>0</v>
      </c>
      <c r="KS25">
        <v>0</v>
      </c>
      <c r="KT25">
        <v>0</v>
      </c>
      <c r="KU25">
        <v>0</v>
      </c>
      <c r="KV25">
        <v>0</v>
      </c>
      <c r="KW25">
        <v>0</v>
      </c>
      <c r="KX25">
        <v>0</v>
      </c>
      <c r="KY25">
        <v>0</v>
      </c>
      <c r="KZ25">
        <v>0</v>
      </c>
      <c r="LA25">
        <v>0</v>
      </c>
      <c r="LB25">
        <v>0</v>
      </c>
      <c r="LC25">
        <v>0</v>
      </c>
      <c r="LD25">
        <v>0</v>
      </c>
    </row>
    <row r="26" spans="1:316" x14ac:dyDescent="0.2">
      <c r="A26">
        <v>20</v>
      </c>
      <c r="B26" t="s">
        <v>697</v>
      </c>
      <c r="C26" t="s">
        <v>290</v>
      </c>
      <c r="D26" t="s">
        <v>291</v>
      </c>
      <c r="E26" t="s">
        <v>290</v>
      </c>
      <c r="F26" t="s">
        <v>187</v>
      </c>
      <c r="G26" t="s">
        <v>171</v>
      </c>
      <c r="H26">
        <v>-1</v>
      </c>
      <c r="I26">
        <v>13.88</v>
      </c>
      <c r="J26">
        <v>17.725014792000003</v>
      </c>
      <c r="K26" t="s">
        <v>197</v>
      </c>
      <c r="L26">
        <v>0</v>
      </c>
      <c r="M26">
        <v>2</v>
      </c>
      <c r="N26" t="s">
        <v>290</v>
      </c>
      <c r="O26">
        <v>0</v>
      </c>
      <c r="P26">
        <v>0</v>
      </c>
      <c r="Q26">
        <v>0</v>
      </c>
      <c r="R26">
        <v>0</v>
      </c>
      <c r="S26">
        <v>0</v>
      </c>
      <c r="T26">
        <v>25</v>
      </c>
      <c r="U26">
        <v>0</v>
      </c>
      <c r="V26">
        <v>25</v>
      </c>
      <c r="W26">
        <v>4</v>
      </c>
      <c r="X26" t="s">
        <v>290</v>
      </c>
      <c r="Y26">
        <v>434.37624707879996</v>
      </c>
      <c r="Z26">
        <v>416.36568707879997</v>
      </c>
      <c r="AA26">
        <v>442.43880707879998</v>
      </c>
      <c r="AB26">
        <v>424.42824707879998</v>
      </c>
      <c r="AC26">
        <v>785.77506707880002</v>
      </c>
      <c r="AD26">
        <v>443.44641572639995</v>
      </c>
      <c r="AE26">
        <v>425.43585104239997</v>
      </c>
      <c r="AF26">
        <v>693.72771796239999</v>
      </c>
      <c r="AG26" t="s">
        <v>684</v>
      </c>
      <c r="AH26">
        <v>75.044604464599999</v>
      </c>
      <c r="AI26">
        <v>351.39907160999996</v>
      </c>
      <c r="AJ26">
        <v>343.3364713524</v>
      </c>
      <c r="AK26">
        <v>55.0547752254</v>
      </c>
      <c r="AL26">
        <v>57.070425289800006</v>
      </c>
      <c r="AM26">
        <v>69.070425289799999</v>
      </c>
      <c r="AN26">
        <v>71.086075354200005</v>
      </c>
      <c r="AO26">
        <v>83.086075354200005</v>
      </c>
      <c r="AP26">
        <v>85.101725418599997</v>
      </c>
      <c r="AQ26">
        <v>97.101725418599997</v>
      </c>
      <c r="AR26">
        <v>99.117375483000004</v>
      </c>
      <c r="AS26">
        <v>111.117375483</v>
      </c>
      <c r="AT26">
        <v>113.13302554740001</v>
      </c>
      <c r="AU26">
        <v>125.13302554740001</v>
      </c>
      <c r="AV26">
        <v>127.1486756118</v>
      </c>
      <c r="AW26">
        <v>139.1486756118</v>
      </c>
      <c r="AX26">
        <v>141.16432567620001</v>
      </c>
      <c r="AY26">
        <v>153.16432567620001</v>
      </c>
      <c r="AZ26">
        <v>155.17997574060001</v>
      </c>
      <c r="BA26">
        <v>167.17997574060001</v>
      </c>
      <c r="BB26">
        <v>169.19562580499999</v>
      </c>
      <c r="BC26">
        <v>181.19562580499999</v>
      </c>
      <c r="BD26">
        <v>183.2112758694</v>
      </c>
      <c r="BE26">
        <v>195.2112758694</v>
      </c>
      <c r="BF26">
        <v>197.2269259338</v>
      </c>
      <c r="BG26">
        <v>209.2269259338</v>
      </c>
      <c r="BH26">
        <v>211.24257599820001</v>
      </c>
      <c r="BI26">
        <v>223.24257599820001</v>
      </c>
      <c r="BJ26">
        <v>225.25822606260002</v>
      </c>
      <c r="BK26">
        <v>237.25822606260002</v>
      </c>
      <c r="BL26">
        <v>239.27387612699999</v>
      </c>
      <c r="BM26">
        <v>251.27387612699999</v>
      </c>
      <c r="BN26">
        <v>253.2895261914</v>
      </c>
      <c r="BO26">
        <v>267.30517625580001</v>
      </c>
      <c r="BP26">
        <v>281.32082632020001</v>
      </c>
      <c r="BQ26">
        <v>295.33647638460002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55.0547752254</v>
      </c>
      <c r="DB26">
        <v>57.070425289800006</v>
      </c>
      <c r="DC26">
        <v>69.070425289799999</v>
      </c>
      <c r="DD26">
        <v>71.086075354200005</v>
      </c>
      <c r="DE26">
        <v>81.070425289799999</v>
      </c>
      <c r="DF26">
        <v>83.086075354200005</v>
      </c>
      <c r="DG26">
        <v>85.101725418599997</v>
      </c>
      <c r="DH26">
        <v>95.086075354200005</v>
      </c>
      <c r="DI26">
        <v>97.101725418599997</v>
      </c>
      <c r="DJ26">
        <v>99.117375483000004</v>
      </c>
      <c r="DK26">
        <v>109.1017254186</v>
      </c>
      <c r="DL26">
        <v>111.117375483</v>
      </c>
      <c r="DM26">
        <v>113.13302554740001</v>
      </c>
      <c r="DN26">
        <v>123.117375483</v>
      </c>
      <c r="DO26">
        <v>125.13302554740001</v>
      </c>
      <c r="DP26">
        <v>137.1330255474</v>
      </c>
      <c r="DQ26">
        <v>139.1486756118</v>
      </c>
      <c r="DR26">
        <v>149.1330255474</v>
      </c>
      <c r="DS26">
        <v>151.1486756118</v>
      </c>
      <c r="DT26">
        <v>153.16432567620001</v>
      </c>
      <c r="DU26">
        <v>163.1486756118</v>
      </c>
      <c r="DV26">
        <v>165.16432567620001</v>
      </c>
      <c r="DW26">
        <v>167.17997574060001</v>
      </c>
      <c r="DX26">
        <v>177.16432567620001</v>
      </c>
      <c r="DY26">
        <v>179.17997574060001</v>
      </c>
      <c r="DZ26">
        <v>181.19562580499999</v>
      </c>
      <c r="EA26">
        <v>191.17997574060001</v>
      </c>
      <c r="EB26">
        <v>193.19562580499999</v>
      </c>
      <c r="EC26">
        <v>205.19562580499999</v>
      </c>
      <c r="ED26">
        <v>207.2112758694</v>
      </c>
      <c r="EE26">
        <v>217.19562580499999</v>
      </c>
      <c r="EF26">
        <v>219.2112758694</v>
      </c>
      <c r="EG26">
        <v>221.2269259338</v>
      </c>
      <c r="EH26">
        <v>231.2112758694</v>
      </c>
      <c r="EI26">
        <v>233.2269259338</v>
      </c>
      <c r="EJ26">
        <v>235.24257599820001</v>
      </c>
      <c r="EK26">
        <v>245.2269259338</v>
      </c>
      <c r="EL26">
        <v>247.24257599820001</v>
      </c>
      <c r="EM26">
        <v>249.25822606260002</v>
      </c>
      <c r="EN26">
        <v>259.24257599819998</v>
      </c>
      <c r="EO26">
        <v>261.25822606259999</v>
      </c>
      <c r="EP26">
        <v>273.25822606259999</v>
      </c>
      <c r="EQ26">
        <v>275.27387612699999</v>
      </c>
      <c r="ER26">
        <v>287.27387612699999</v>
      </c>
      <c r="ES26">
        <v>289.2895261914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1.2004999999999997</v>
      </c>
      <c r="FR26">
        <v>2.5</v>
      </c>
      <c r="FS26">
        <v>0.51200000000000023</v>
      </c>
      <c r="FT26">
        <v>8</v>
      </c>
      <c r="FU26">
        <v>10</v>
      </c>
      <c r="FV26">
        <v>5</v>
      </c>
      <c r="FW26">
        <v>2.2848800000000007</v>
      </c>
      <c r="FX26">
        <v>22.387279999999993</v>
      </c>
      <c r="FY26">
        <v>1</v>
      </c>
      <c r="FZ26">
        <v>26</v>
      </c>
      <c r="GA26">
        <v>1.0268454372456677</v>
      </c>
      <c r="GB26">
        <v>51.049562682215743</v>
      </c>
      <c r="GC26">
        <v>1.429526995930682</v>
      </c>
      <c r="GD26">
        <v>91.396501457725947</v>
      </c>
      <c r="GE26">
        <v>3.1744804168990779</v>
      </c>
      <c r="GF26">
        <v>2.3381924198250732</v>
      </c>
      <c r="GG26">
        <v>7.8724319348909129</v>
      </c>
      <c r="GH26">
        <v>4.1720116618075798</v>
      </c>
      <c r="GI26">
        <v>6.502453702972061</v>
      </c>
      <c r="GJ26">
        <v>10.311044327573251</v>
      </c>
      <c r="GK26">
        <v>5.3278288569575425</v>
      </c>
      <c r="GL26">
        <v>13.772351615326819</v>
      </c>
      <c r="GM26">
        <v>4.333530213316255</v>
      </c>
      <c r="GN26">
        <v>18</v>
      </c>
      <c r="GO26">
        <v>3.5045305885170968</v>
      </c>
      <c r="GP26">
        <v>13.772351615326819</v>
      </c>
      <c r="GQ26">
        <v>2.8258027990289638</v>
      </c>
      <c r="GR26">
        <v>10.311044327573251</v>
      </c>
      <c r="GS26">
        <v>2.282319661320753</v>
      </c>
      <c r="GT26">
        <v>7.5394440270473329</v>
      </c>
      <c r="GU26">
        <v>1.859053991861364</v>
      </c>
      <c r="GV26">
        <v>5.3809166040570995</v>
      </c>
      <c r="GW26">
        <v>1.5409786071196927</v>
      </c>
      <c r="GX26">
        <v>3.7588279489105929</v>
      </c>
      <c r="GY26">
        <v>1.3130663235646372</v>
      </c>
      <c r="GZ26">
        <v>2.5965439519158533</v>
      </c>
      <c r="HA26">
        <v>1.1602899576650942</v>
      </c>
      <c r="HB26">
        <v>1.8174305033809166</v>
      </c>
      <c r="HC26">
        <v>1.3448534936138241</v>
      </c>
      <c r="HD26">
        <v>1.1021788129226144</v>
      </c>
      <c r="HE26">
        <v>1.0127723516153269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  <c r="IJ26">
        <v>0</v>
      </c>
      <c r="IK26">
        <v>0</v>
      </c>
      <c r="IL26">
        <v>0</v>
      </c>
      <c r="IM26">
        <v>0</v>
      </c>
      <c r="IN26">
        <v>0</v>
      </c>
      <c r="IO26">
        <v>1</v>
      </c>
      <c r="IP26">
        <v>1.2</v>
      </c>
      <c r="IQ26">
        <v>1.0759303628813179</v>
      </c>
      <c r="IR26">
        <v>1.4019825072886296</v>
      </c>
      <c r="IS26">
        <v>2.1425959183673466</v>
      </c>
      <c r="IT26">
        <v>2.2148858061010874</v>
      </c>
      <c r="IU26">
        <v>1.7358600583090378</v>
      </c>
      <c r="IV26">
        <v>5.8148897959183676</v>
      </c>
      <c r="IW26">
        <v>12.004907405944122</v>
      </c>
      <c r="IX26">
        <v>1.053527696793003</v>
      </c>
      <c r="IY26">
        <v>27.122448979591834</v>
      </c>
      <c r="IZ26">
        <v>14.744863869781826</v>
      </c>
      <c r="JA26">
        <v>1.2615777610818932</v>
      </c>
      <c r="JB26">
        <v>20.421159550867412</v>
      </c>
      <c r="JC26">
        <v>12.004907405944122</v>
      </c>
      <c r="JD26">
        <v>15.100247345918794</v>
      </c>
      <c r="JE26">
        <v>9.655657713915085</v>
      </c>
      <c r="JF26">
        <v>8.6793221317257281</v>
      </c>
      <c r="JG26">
        <v>10.955715730690443</v>
      </c>
      <c r="JH26">
        <v>7.6670604266325109</v>
      </c>
      <c r="JI26">
        <v>6.2749865633253243</v>
      </c>
      <c r="JJ26">
        <v>7.799887801851269</v>
      </c>
      <c r="JK26">
        <v>6.0090611770341935</v>
      </c>
      <c r="JL26">
        <v>4.5366971950474495</v>
      </c>
      <c r="JM26">
        <v>5.4614063867946152</v>
      </c>
      <c r="JN26">
        <v>4.6516055980579276</v>
      </c>
      <c r="JO26">
        <v>3.2799466950004925</v>
      </c>
      <c r="JP26">
        <v>3.7852340436382792</v>
      </c>
      <c r="JQ26">
        <v>3.3630233078926741</v>
      </c>
      <c r="JR26">
        <v>2.6326530612244898</v>
      </c>
      <c r="JS26">
        <v>2.7366529784681544</v>
      </c>
      <c r="JT26">
        <v>2.431402562193008</v>
      </c>
      <c r="JU26">
        <v>1.8812654591199247</v>
      </c>
      <c r="JV26">
        <v>1.9785486018085445</v>
      </c>
      <c r="JW26">
        <v>1.757858295410716</v>
      </c>
      <c r="JX26">
        <v>1.4249929876157041</v>
      </c>
      <c r="JY26">
        <v>1.4304534044026951</v>
      </c>
      <c r="JZ26">
        <v>1.2708984660924176</v>
      </c>
      <c r="KA26">
        <v>1.1740771277273925</v>
      </c>
      <c r="KB26">
        <v>1.0341908913922457</v>
      </c>
      <c r="KC26">
        <v>0.91883567369045505</v>
      </c>
      <c r="KD26">
        <v>0.8488356681528213</v>
      </c>
      <c r="KE26">
        <v>0.74770055182978368</v>
      </c>
      <c r="KF26">
        <v>0.66430090032447897</v>
      </c>
      <c r="KG26">
        <v>0.61369221366498139</v>
      </c>
      <c r="KH26">
        <v>0</v>
      </c>
      <c r="KI26">
        <v>0</v>
      </c>
      <c r="KJ26">
        <v>0</v>
      </c>
      <c r="KK26">
        <v>0</v>
      </c>
      <c r="KL26">
        <v>0</v>
      </c>
      <c r="KM26">
        <v>0</v>
      </c>
      <c r="KN26">
        <v>0</v>
      </c>
      <c r="KO26">
        <v>0</v>
      </c>
      <c r="KP26">
        <v>0</v>
      </c>
      <c r="KQ26">
        <v>0</v>
      </c>
      <c r="KR26">
        <v>0</v>
      </c>
      <c r="KS26">
        <v>0</v>
      </c>
      <c r="KT26">
        <v>0</v>
      </c>
      <c r="KU26">
        <v>0</v>
      </c>
      <c r="KV26">
        <v>0</v>
      </c>
      <c r="KW26">
        <v>0</v>
      </c>
      <c r="KX26">
        <v>0</v>
      </c>
      <c r="KY26">
        <v>0</v>
      </c>
      <c r="KZ26">
        <v>0</v>
      </c>
      <c r="LA26">
        <v>0</v>
      </c>
      <c r="LB26">
        <v>0</v>
      </c>
      <c r="LC26">
        <v>0</v>
      </c>
      <c r="LD26">
        <v>0</v>
      </c>
    </row>
    <row r="27" spans="1:316" s="2" customFormat="1" ht="14.25" x14ac:dyDescent="0.2"/>
  </sheetData>
  <phoneticPr fontId="9" type="noConversion"/>
  <conditionalFormatting sqref="E5">
    <cfRule type="containsText" dxfId="2" priority="1" operator="containsText" text="T">
      <formula>NOT(ISERROR(SEARCH("T",E5)))</formula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.75" right="0.75" top="1" bottom="1" header="0.5" footer="0.5"/>
  <pageSetup orientation="portrait" r:id="rId1"/>
  <headerFooter alignWithMargins="0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C832A-E7A3-4823-BD05-89FFA52D1B43}">
  <sheetPr codeName="Sheet79"/>
  <dimension ref="A1:LY26"/>
  <sheetViews>
    <sheetView zoomScaleNormal="100" workbookViewId="0">
      <pane ySplit="6" topLeftCell="A7" activePane="bottomLeft" state="frozen"/>
      <selection activeCell="Y37" sqref="Y37"/>
      <selection pane="bottomLeft" activeCell="J19" sqref="A7:LX26"/>
    </sheetView>
  </sheetViews>
  <sheetFormatPr defaultRowHeight="12.75" x14ac:dyDescent="0.2"/>
  <cols>
    <col min="1" max="1" width="5.5703125" style="1" bestFit="1" customWidth="1"/>
    <col min="2" max="2" width="10.85546875" style="1" bestFit="1" customWidth="1"/>
    <col min="3" max="3" width="6.5703125" style="1" bestFit="1" customWidth="1"/>
    <col min="4" max="4" width="8.85546875" style="1" bestFit="1" customWidth="1"/>
    <col min="5" max="5" width="7.42578125" style="1" bestFit="1" customWidth="1"/>
    <col min="6" max="6" width="5.85546875" style="1" bestFit="1" customWidth="1"/>
    <col min="7" max="7" width="7.140625" style="1" bestFit="1" customWidth="1"/>
    <col min="8" max="8" width="4.42578125" style="1" bestFit="1" customWidth="1"/>
    <col min="9" max="9" width="9.5703125" style="1" bestFit="1" customWidth="1"/>
    <col min="10" max="10" width="7.140625" style="1" bestFit="1" customWidth="1"/>
    <col min="11" max="11" width="8.85546875" style="1" bestFit="1" customWidth="1"/>
    <col min="12" max="12" width="7.140625" style="1" bestFit="1" customWidth="1"/>
    <col min="13" max="13" width="11.85546875" style="1" bestFit="1" customWidth="1"/>
    <col min="14" max="14" width="7.5703125" style="1" bestFit="1" customWidth="1"/>
    <col min="15" max="16" width="5.28515625" style="1" bestFit="1" customWidth="1"/>
    <col min="17" max="18" width="8.85546875" style="1" bestFit="1" customWidth="1"/>
    <col min="19" max="19" width="6.42578125" style="1" bestFit="1" customWidth="1"/>
    <col min="20" max="20" width="18.140625" style="1" bestFit="1" customWidth="1"/>
    <col min="21" max="21" width="18.42578125" style="1" bestFit="1" customWidth="1"/>
    <col min="22" max="22" width="18.140625" style="1" bestFit="1" customWidth="1"/>
    <col min="23" max="23" width="18.42578125" style="1" bestFit="1" customWidth="1"/>
    <col min="24" max="24" width="12.140625" style="1" bestFit="1" customWidth="1"/>
    <col min="25" max="25" width="13.42578125" bestFit="1" customWidth="1"/>
    <col min="26" max="26" width="10.5703125" bestFit="1" customWidth="1"/>
    <col min="27" max="27" width="13.42578125" bestFit="1" customWidth="1"/>
    <col min="28" max="28" width="10.5703125" bestFit="1" customWidth="1"/>
    <col min="29" max="29" width="22.85546875" bestFit="1" customWidth="1"/>
    <col min="30" max="30" width="10.5703125" bestFit="1" customWidth="1"/>
    <col min="31" max="31" width="17.5703125" bestFit="1" customWidth="1"/>
    <col min="32" max="32" width="10.5703125" bestFit="1" customWidth="1"/>
    <col min="33" max="33" width="16.42578125" bestFit="1" customWidth="1"/>
    <col min="34" max="34" width="23.5703125" bestFit="1" customWidth="1"/>
    <col min="35" max="35" width="24.5703125" bestFit="1" customWidth="1"/>
    <col min="36" max="36" width="10.5703125" bestFit="1" customWidth="1"/>
    <col min="37" max="37" width="11.5703125" bestFit="1" customWidth="1"/>
    <col min="38" max="40" width="10.5703125" bestFit="1" customWidth="1"/>
    <col min="41" max="42" width="11.5703125" bestFit="1" customWidth="1"/>
    <col min="43" max="43" width="10.5703125" bestFit="1" customWidth="1"/>
    <col min="44" max="44" width="13.7109375" bestFit="1" customWidth="1"/>
    <col min="45" max="46" width="10.5703125" bestFit="1" customWidth="1"/>
    <col min="47" max="52" width="9.42578125" bestFit="1" customWidth="1"/>
    <col min="53" max="53" width="6.5703125" customWidth="1"/>
    <col min="54" max="83" width="10.5703125" bestFit="1" customWidth="1"/>
    <col min="84" max="114" width="8.28515625" bestFit="1" customWidth="1"/>
    <col min="115" max="120" width="9.42578125" bestFit="1" customWidth="1"/>
    <col min="121" max="171" width="10.5703125" bestFit="1" customWidth="1"/>
    <col min="172" max="182" width="8.28515625" bestFit="1" customWidth="1"/>
    <col min="183" max="183" width="24.7109375" bestFit="1" customWidth="1"/>
    <col min="184" max="184" width="12.140625" bestFit="1" customWidth="1"/>
    <col min="185" max="185" width="19.5703125" bestFit="1" customWidth="1"/>
    <col min="186" max="186" width="12.140625" bestFit="1" customWidth="1"/>
    <col min="187" max="187" width="18.42578125" bestFit="1" customWidth="1"/>
    <col min="188" max="188" width="25.5703125" bestFit="1" customWidth="1"/>
    <col min="189" max="189" width="26.5703125" bestFit="1" customWidth="1"/>
    <col min="190" max="190" width="12.42578125" bestFit="1" customWidth="1"/>
    <col min="191" max="191" width="13.5703125" bestFit="1" customWidth="1"/>
    <col min="192" max="192" width="9.85546875" bestFit="1" customWidth="1"/>
    <col min="193" max="193" width="10.5703125" bestFit="1" customWidth="1"/>
    <col min="194" max="194" width="11.85546875" bestFit="1" customWidth="1"/>
    <col min="195" max="196" width="13.5703125" bestFit="1" customWidth="1"/>
    <col min="197" max="197" width="11.140625" bestFit="1" customWidth="1"/>
    <col min="198" max="198" width="15.7109375" bestFit="1" customWidth="1"/>
    <col min="199" max="200" width="9.85546875" bestFit="1" customWidth="1"/>
    <col min="201" max="209" width="9.5703125" bestFit="1" customWidth="1"/>
    <col min="210" max="268" width="10.7109375" bestFit="1" customWidth="1"/>
    <col min="269" max="277" width="9.5703125" bestFit="1" customWidth="1"/>
    <col min="278" max="336" width="10.7109375" bestFit="1" customWidth="1"/>
    <col min="337" max="337" width="9.140625" customWidth="1"/>
  </cols>
  <sheetData>
    <row r="1" spans="1:337" s="3" customFormat="1" ht="14.25" x14ac:dyDescent="0.2">
      <c r="A1" s="5" t="s">
        <v>160</v>
      </c>
      <c r="B1" s="5">
        <f>(COUNTA(6:6)-28)/2</f>
        <v>154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337" s="3" customFormat="1" ht="14.25" x14ac:dyDescent="0.2">
      <c r="A2" s="3" t="s">
        <v>513</v>
      </c>
      <c r="B2" s="5" t="s">
        <v>226</v>
      </c>
      <c r="C2" s="5" t="str">
        <f>IFERROR(IF(VLOOKUP(B2&amp;"-Archaeol",Statistics!N:Q,2,FALSE)=0,"",VLOOKUP(B2&amp;"-Archaeol",Statistics!N:Q,2,FALSE)),"")</f>
        <v>Yoshinaga, M. Y., et al. (2011). "Systematic fragmentation patterns of archaeal intact polar lipids by high-performance liquid chromatography/electrospray ionization ion-trap mass spectrometry." Rapid Communications in Mass Spectrometry 25(23): 3563-3574.</v>
      </c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337" s="3" customFormat="1" ht="14.25" x14ac:dyDescent="0.2">
      <c r="A3" s="3" t="s">
        <v>514</v>
      </c>
      <c r="B3" s="5" t="s">
        <v>512</v>
      </c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</row>
    <row r="4" spans="1:337" s="3" customFormat="1" ht="14.25" x14ac:dyDescent="0.2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GA4" s="6"/>
      <c r="GB4" s="6"/>
      <c r="GC4" s="6"/>
      <c r="GD4" s="6"/>
      <c r="GE4" s="6"/>
      <c r="GF4" s="6"/>
      <c r="GG4" s="6"/>
      <c r="GH4" s="6"/>
      <c r="GI4" s="6"/>
      <c r="GJ4" s="6"/>
      <c r="GK4" s="6"/>
      <c r="GL4" s="6"/>
      <c r="GM4" s="6"/>
      <c r="GN4" s="6"/>
      <c r="GO4" s="6"/>
      <c r="GP4" s="6"/>
      <c r="GQ4" s="6"/>
      <c r="GR4" s="6"/>
      <c r="GS4" s="6"/>
      <c r="GT4" s="6"/>
      <c r="GU4" s="6"/>
      <c r="GV4" s="6"/>
      <c r="GW4" s="6"/>
      <c r="GX4" s="6"/>
      <c r="GY4" s="6"/>
      <c r="GZ4" s="6"/>
      <c r="HA4" s="6"/>
      <c r="HB4" s="6"/>
      <c r="HC4" s="6"/>
      <c r="HD4" s="6"/>
      <c r="HE4" s="6"/>
      <c r="HF4" s="6"/>
      <c r="HG4" s="6"/>
      <c r="HH4" s="6"/>
      <c r="HI4" s="6"/>
      <c r="HJ4" s="6"/>
      <c r="HK4" s="6"/>
      <c r="HL4" s="6"/>
      <c r="HM4" s="6"/>
      <c r="HN4" s="6"/>
      <c r="HO4" s="6"/>
      <c r="HP4" s="6"/>
      <c r="HQ4" s="6"/>
      <c r="HR4" s="6"/>
      <c r="HS4" s="6"/>
      <c r="HT4" s="6"/>
      <c r="HU4" s="6"/>
      <c r="HV4" s="6"/>
      <c r="HW4" s="6"/>
      <c r="HX4" s="6"/>
      <c r="HY4" s="6"/>
      <c r="HZ4" s="6"/>
      <c r="IA4" s="6"/>
      <c r="IB4" s="6"/>
      <c r="IC4" s="6"/>
      <c r="ID4" s="6"/>
      <c r="IE4" s="6"/>
      <c r="IF4" s="6"/>
      <c r="IG4" s="6"/>
      <c r="IH4" s="6"/>
      <c r="II4" s="6"/>
      <c r="IJ4" s="6"/>
      <c r="IK4" s="6"/>
      <c r="IL4" s="6"/>
      <c r="IM4" s="6"/>
      <c r="IN4" s="6"/>
      <c r="IO4" s="6"/>
      <c r="IP4" s="6"/>
      <c r="IQ4" s="6"/>
      <c r="IR4" s="6"/>
      <c r="IS4" s="6"/>
      <c r="IT4" s="6"/>
      <c r="IU4" s="6"/>
      <c r="IV4" s="6"/>
      <c r="IW4" s="6"/>
      <c r="IX4" s="6"/>
      <c r="IY4" s="6"/>
      <c r="IZ4" s="6"/>
      <c r="JA4" s="6"/>
      <c r="JB4" s="6"/>
      <c r="JC4" s="6"/>
      <c r="JD4" s="6"/>
      <c r="JE4" s="6"/>
      <c r="JF4" s="6"/>
      <c r="JG4" s="6"/>
      <c r="JH4" s="6"/>
      <c r="JI4" s="6"/>
      <c r="JJ4" s="6"/>
      <c r="JK4" s="6"/>
      <c r="JL4" s="6"/>
      <c r="JM4" s="6"/>
      <c r="JN4" s="6"/>
      <c r="JO4" s="6"/>
      <c r="JP4" s="6"/>
      <c r="JQ4" s="6"/>
      <c r="JR4" s="6"/>
      <c r="JS4" s="6"/>
      <c r="JT4" s="6"/>
      <c r="JU4" s="6"/>
      <c r="JV4" s="6"/>
      <c r="JW4" s="6"/>
      <c r="JX4" s="6"/>
      <c r="JY4" s="6"/>
      <c r="JZ4" s="6"/>
      <c r="KA4" s="6"/>
      <c r="KB4" s="6"/>
      <c r="KC4" s="6"/>
      <c r="KD4" s="6"/>
      <c r="KE4" s="6"/>
      <c r="KF4" s="6"/>
      <c r="KG4" s="6"/>
      <c r="KH4" s="6"/>
      <c r="KI4" s="6"/>
      <c r="KJ4" s="6"/>
      <c r="KK4" s="6"/>
      <c r="KL4" s="6"/>
      <c r="KM4" s="6"/>
      <c r="KN4" s="6"/>
      <c r="KO4" s="6"/>
      <c r="KP4" s="6"/>
      <c r="KQ4" s="6"/>
      <c r="KR4" s="6"/>
      <c r="KS4" s="6"/>
      <c r="KT4" s="6"/>
      <c r="KU4" s="6"/>
      <c r="KV4" s="6"/>
      <c r="KW4" s="6"/>
      <c r="KX4" s="6"/>
      <c r="KY4" s="6"/>
      <c r="KZ4" s="6"/>
      <c r="LA4" s="6"/>
      <c r="LB4" s="6"/>
      <c r="LC4" s="6"/>
      <c r="LD4" s="6"/>
      <c r="LE4" s="6"/>
      <c r="LF4" s="6"/>
      <c r="LG4" s="6"/>
      <c r="LH4" s="6"/>
      <c r="LI4" s="6"/>
      <c r="LJ4" s="6"/>
      <c r="LK4" s="6"/>
      <c r="LL4" s="6"/>
      <c r="LM4" s="6"/>
      <c r="LN4" s="6"/>
      <c r="LO4" s="6"/>
      <c r="LP4" s="6"/>
      <c r="LQ4" s="6"/>
      <c r="LR4" s="6"/>
      <c r="LS4" s="6"/>
      <c r="LT4" s="6"/>
      <c r="LU4" s="6"/>
      <c r="LV4" s="6"/>
      <c r="LW4" s="6"/>
      <c r="LX4" s="6"/>
    </row>
    <row r="5" spans="1:337" s="3" customFormat="1" ht="14.25" x14ac:dyDescent="0.2">
      <c r="A5" s="5"/>
      <c r="B5" s="5"/>
      <c r="C5" s="5"/>
      <c r="D5" s="5" t="str">
        <f>VLOOKUP(B2&amp;"-Archaeol",Statistics!N:Q,4,FALSE)</f>
        <v>C6H15O8P</v>
      </c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GA5" s="6"/>
      <c r="GB5" s="6"/>
      <c r="GC5" s="6"/>
      <c r="GD5" s="6"/>
      <c r="GE5" s="6"/>
      <c r="GF5" s="6"/>
      <c r="GG5" s="6"/>
      <c r="GH5" s="6"/>
      <c r="GI5" s="6"/>
      <c r="GJ5" s="6"/>
      <c r="GK5" s="6"/>
      <c r="GL5" s="6"/>
      <c r="GM5" s="6"/>
      <c r="GN5" s="6"/>
      <c r="GO5" s="6"/>
      <c r="GP5" s="6"/>
      <c r="GQ5" s="6"/>
      <c r="GR5" s="6"/>
      <c r="GS5" s="6"/>
      <c r="GT5" s="6"/>
      <c r="GU5" s="6"/>
      <c r="GV5" s="6"/>
      <c r="GW5" s="6"/>
      <c r="GX5" s="6"/>
      <c r="GY5" s="6"/>
      <c r="GZ5" s="6"/>
      <c r="HA5" s="6"/>
      <c r="HB5" s="6"/>
      <c r="HC5" s="6"/>
      <c r="HD5" s="6"/>
      <c r="HE5" s="6"/>
      <c r="HF5" s="6"/>
      <c r="HG5" s="6"/>
      <c r="HH5" s="6"/>
      <c r="HI5" s="6"/>
      <c r="HJ5" s="6"/>
      <c r="HK5" s="6"/>
      <c r="HL5" s="6"/>
      <c r="HM5" s="6"/>
      <c r="HN5" s="6"/>
      <c r="HO5" s="6"/>
      <c r="HP5" s="6"/>
      <c r="HQ5" s="6"/>
      <c r="HR5" s="6"/>
      <c r="HS5" s="6"/>
      <c r="HT5" s="6"/>
      <c r="HU5" s="6"/>
      <c r="HV5" s="6"/>
      <c r="HW5" s="6"/>
      <c r="HX5" s="6"/>
      <c r="HY5" s="6"/>
      <c r="HZ5" s="6"/>
      <c r="IA5" s="6"/>
      <c r="IB5" s="6"/>
      <c r="IC5" s="6"/>
      <c r="ID5" s="6"/>
      <c r="IE5" s="6"/>
      <c r="IF5" s="6"/>
      <c r="IG5" s="6"/>
      <c r="IH5" s="6"/>
      <c r="II5" s="6"/>
      <c r="IJ5" s="6"/>
      <c r="IK5" s="6"/>
      <c r="IL5" s="6"/>
      <c r="IM5" s="6"/>
      <c r="IN5" s="6"/>
      <c r="IO5" s="6"/>
      <c r="IP5" s="6"/>
      <c r="IQ5" s="6"/>
      <c r="IR5" s="6"/>
      <c r="IS5" s="6"/>
      <c r="IT5" s="6"/>
      <c r="IU5" s="6"/>
      <c r="IV5" s="6"/>
      <c r="IW5" s="6"/>
      <c r="IX5" s="6"/>
      <c r="IY5" s="6"/>
      <c r="IZ5" s="6"/>
      <c r="JA5" s="6"/>
      <c r="JB5" s="6"/>
      <c r="JC5" s="6"/>
      <c r="JD5" s="6"/>
      <c r="JE5" s="6"/>
      <c r="JF5" s="6"/>
      <c r="JG5" s="6"/>
      <c r="JH5" s="6"/>
      <c r="JI5" s="6"/>
      <c r="JJ5" s="6"/>
      <c r="JK5" s="6"/>
      <c r="JL5" s="6"/>
      <c r="JM5" s="6"/>
      <c r="JN5" s="6"/>
      <c r="JO5" s="6"/>
      <c r="JP5" s="6"/>
      <c r="JQ5" s="6"/>
      <c r="JR5" s="6"/>
      <c r="JS5" s="6"/>
      <c r="JT5" s="6"/>
      <c r="JU5" s="6"/>
      <c r="JV5" s="6"/>
      <c r="JW5" s="6"/>
      <c r="JX5" s="6"/>
      <c r="JY5" s="6"/>
      <c r="JZ5" s="6"/>
      <c r="KA5" s="6"/>
      <c r="KB5" s="6"/>
      <c r="KC5" s="6"/>
      <c r="KD5" s="6"/>
      <c r="KE5" s="6"/>
      <c r="KF5" s="6"/>
      <c r="KG5" s="6"/>
      <c r="KH5" s="6"/>
      <c r="KI5" s="6"/>
      <c r="KJ5" s="6"/>
      <c r="KK5" s="6"/>
      <c r="KL5" s="6"/>
      <c r="KM5" s="6"/>
      <c r="KN5" s="6"/>
      <c r="KO5" s="6"/>
      <c r="KP5" s="6"/>
      <c r="KQ5" s="6"/>
      <c r="KR5" s="6"/>
      <c r="KS5" s="6"/>
      <c r="KT5" s="6"/>
      <c r="KU5" s="6"/>
      <c r="KV5" s="6"/>
      <c r="KW5" s="6"/>
      <c r="KX5" s="6"/>
      <c r="KY5" s="6"/>
      <c r="KZ5" s="6"/>
      <c r="LA5" s="6"/>
      <c r="LB5" s="6"/>
      <c r="LC5" s="6"/>
      <c r="LD5" s="6"/>
      <c r="LE5" s="6"/>
      <c r="LF5" s="6"/>
      <c r="LG5" s="6"/>
      <c r="LH5" s="6"/>
      <c r="LI5" s="6"/>
      <c r="LJ5" s="6"/>
      <c r="LK5" s="6"/>
      <c r="LL5" s="6"/>
      <c r="LM5" s="6"/>
      <c r="LN5" s="6"/>
      <c r="LO5" s="6"/>
      <c r="LP5" s="6"/>
      <c r="LQ5" s="6"/>
      <c r="LR5" s="6"/>
      <c r="LS5" s="6"/>
      <c r="LT5" s="6"/>
      <c r="LU5" s="6"/>
      <c r="LV5" s="6"/>
      <c r="LW5" s="6"/>
      <c r="LX5" s="6"/>
      <c r="LY5" s="6"/>
    </row>
    <row r="6" spans="1:337" s="26" customFormat="1" ht="15" x14ac:dyDescent="0.2">
      <c r="A6" s="18" t="s">
        <v>6</v>
      </c>
      <c r="B6" s="19" t="s">
        <v>7</v>
      </c>
      <c r="C6" s="19" t="s">
        <v>158</v>
      </c>
      <c r="D6" s="19" t="s">
        <v>8</v>
      </c>
      <c r="E6" s="19" t="s">
        <v>157</v>
      </c>
      <c r="F6" s="19" t="s">
        <v>507</v>
      </c>
      <c r="G6" s="19" t="s">
        <v>505</v>
      </c>
      <c r="H6" s="19" t="s">
        <v>511</v>
      </c>
      <c r="I6" s="19" t="s">
        <v>502</v>
      </c>
      <c r="J6" s="19" t="s">
        <v>161</v>
      </c>
      <c r="K6" s="19" t="s">
        <v>509</v>
      </c>
      <c r="L6" s="7" t="s">
        <v>227</v>
      </c>
      <c r="M6" s="19" t="s">
        <v>498</v>
      </c>
      <c r="N6" s="19" t="s">
        <v>198</v>
      </c>
      <c r="O6" s="19" t="s">
        <v>173</v>
      </c>
      <c r="P6" s="19" t="s">
        <v>174</v>
      </c>
      <c r="Q6" s="18" t="s">
        <v>175</v>
      </c>
      <c r="R6" s="19" t="s">
        <v>176</v>
      </c>
      <c r="S6" s="19" t="s">
        <v>9</v>
      </c>
      <c r="T6" s="19" t="s">
        <v>11</v>
      </c>
      <c r="U6" s="19" t="s">
        <v>13</v>
      </c>
      <c r="V6" s="19" t="s">
        <v>12</v>
      </c>
      <c r="W6" s="19" t="s">
        <v>14</v>
      </c>
      <c r="X6" s="19" t="s">
        <v>0</v>
      </c>
      <c r="Y6" s="20" t="s">
        <v>2</v>
      </c>
      <c r="Z6" s="20" t="s">
        <v>4</v>
      </c>
      <c r="AA6" s="20" t="s">
        <v>3</v>
      </c>
      <c r="AB6" s="20" t="s">
        <v>5</v>
      </c>
      <c r="AC6" s="21" t="s">
        <v>1</v>
      </c>
      <c r="AD6" s="21" t="s">
        <v>199</v>
      </c>
      <c r="AE6" s="21" t="s">
        <v>203</v>
      </c>
      <c r="AF6" s="22" t="s">
        <v>159</v>
      </c>
      <c r="AG6" s="22" t="s">
        <v>200</v>
      </c>
      <c r="AH6" s="22" t="s">
        <v>201</v>
      </c>
      <c r="AI6" s="22" t="s">
        <v>202</v>
      </c>
      <c r="AJ6" s="23" t="s">
        <v>206</v>
      </c>
      <c r="AK6" s="23" t="s">
        <v>207</v>
      </c>
      <c r="AL6" s="24" t="s">
        <v>155</v>
      </c>
      <c r="AM6" s="23" t="s">
        <v>17</v>
      </c>
      <c r="AN6" s="23" t="s">
        <v>18</v>
      </c>
      <c r="AO6" s="23" t="s">
        <v>208</v>
      </c>
      <c r="AP6" s="23" t="s">
        <v>209</v>
      </c>
      <c r="AQ6" s="23" t="s">
        <v>204</v>
      </c>
      <c r="AR6" s="23" t="s">
        <v>205</v>
      </c>
      <c r="AS6" s="25" t="s">
        <v>15</v>
      </c>
      <c r="AT6" s="25" t="s">
        <v>16</v>
      </c>
      <c r="AU6" s="25" t="s">
        <v>19</v>
      </c>
      <c r="AV6" s="25" t="s">
        <v>20</v>
      </c>
      <c r="AW6" s="25" t="s">
        <v>21</v>
      </c>
      <c r="AX6" s="25" t="s">
        <v>22</v>
      </c>
      <c r="AY6" s="25" t="s">
        <v>23</v>
      </c>
      <c r="AZ6" s="25" t="s">
        <v>24</v>
      </c>
      <c r="BA6" s="25" t="s">
        <v>25</v>
      </c>
      <c r="BB6" s="25" t="s">
        <v>26</v>
      </c>
      <c r="BC6" s="25" t="s">
        <v>27</v>
      </c>
      <c r="BD6" s="25" t="s">
        <v>28</v>
      </c>
      <c r="BE6" s="25" t="s">
        <v>29</v>
      </c>
      <c r="BF6" s="25" t="s">
        <v>30</v>
      </c>
      <c r="BG6" s="25" t="s">
        <v>31</v>
      </c>
      <c r="BH6" s="25" t="s">
        <v>32</v>
      </c>
      <c r="BI6" s="25" t="s">
        <v>33</v>
      </c>
      <c r="BJ6" s="25" t="s">
        <v>34</v>
      </c>
      <c r="BK6" s="25" t="s">
        <v>35</v>
      </c>
      <c r="BL6" s="25" t="s">
        <v>36</v>
      </c>
      <c r="BM6" s="25" t="s">
        <v>37</v>
      </c>
      <c r="BN6" s="25" t="s">
        <v>38</v>
      </c>
      <c r="BO6" s="25" t="s">
        <v>39</v>
      </c>
      <c r="BP6" s="25" t="s">
        <v>40</v>
      </c>
      <c r="BQ6" s="25" t="s">
        <v>41</v>
      </c>
      <c r="BR6" s="25" t="s">
        <v>42</v>
      </c>
      <c r="BS6" s="25" t="s">
        <v>43</v>
      </c>
      <c r="BT6" s="25" t="s">
        <v>44</v>
      </c>
      <c r="BU6" s="25" t="s">
        <v>45</v>
      </c>
      <c r="BV6" s="25" t="s">
        <v>46</v>
      </c>
      <c r="BW6" s="25" t="s">
        <v>47</v>
      </c>
      <c r="BX6" s="25" t="s">
        <v>48</v>
      </c>
      <c r="BY6" s="25" t="s">
        <v>49</v>
      </c>
      <c r="BZ6" s="25" t="s">
        <v>50</v>
      </c>
      <c r="CA6" s="25" t="s">
        <v>51</v>
      </c>
      <c r="CB6" s="25" t="s">
        <v>52</v>
      </c>
      <c r="CC6" s="25" t="s">
        <v>53</v>
      </c>
      <c r="CD6" s="25" t="s">
        <v>54</v>
      </c>
      <c r="CE6" s="25" t="s">
        <v>55</v>
      </c>
      <c r="CF6" s="25" t="s">
        <v>56</v>
      </c>
      <c r="CG6" s="25" t="s">
        <v>57</v>
      </c>
      <c r="CH6" s="25" t="s">
        <v>58</v>
      </c>
      <c r="CI6" s="25" t="s">
        <v>59</v>
      </c>
      <c r="CJ6" s="25" t="s">
        <v>60</v>
      </c>
      <c r="CK6" s="25" t="s">
        <v>61</v>
      </c>
      <c r="CL6" s="25" t="s">
        <v>62</v>
      </c>
      <c r="CM6" s="25" t="s">
        <v>63</v>
      </c>
      <c r="CN6" s="25" t="s">
        <v>64</v>
      </c>
      <c r="CO6" s="25" t="s">
        <v>65</v>
      </c>
      <c r="CP6" s="25" t="s">
        <v>66</v>
      </c>
      <c r="CQ6" s="25" t="s">
        <v>67</v>
      </c>
      <c r="CR6" s="25" t="s">
        <v>68</v>
      </c>
      <c r="CS6" s="25" t="s">
        <v>69</v>
      </c>
      <c r="CT6" s="25" t="s">
        <v>70</v>
      </c>
      <c r="CU6" s="25" t="s">
        <v>71</v>
      </c>
      <c r="CV6" s="25" t="s">
        <v>72</v>
      </c>
      <c r="CW6" s="25" t="s">
        <v>73</v>
      </c>
      <c r="CX6" s="25" t="s">
        <v>74</v>
      </c>
      <c r="CY6" s="25" t="s">
        <v>75</v>
      </c>
      <c r="CZ6" s="25" t="s">
        <v>76</v>
      </c>
      <c r="DA6" s="25" t="s">
        <v>77</v>
      </c>
      <c r="DB6" s="25" t="s">
        <v>78</v>
      </c>
      <c r="DC6" s="25" t="s">
        <v>79</v>
      </c>
      <c r="DD6" s="25" t="s">
        <v>80</v>
      </c>
      <c r="DE6" s="25" t="s">
        <v>81</v>
      </c>
      <c r="DF6" s="25" t="s">
        <v>82</v>
      </c>
      <c r="DG6" s="25" t="s">
        <v>83</v>
      </c>
      <c r="DH6" s="25" t="s">
        <v>84</v>
      </c>
      <c r="DI6" s="25" t="s">
        <v>85</v>
      </c>
      <c r="DJ6" s="25" t="s">
        <v>86</v>
      </c>
      <c r="DK6" s="25" t="s">
        <v>87</v>
      </c>
      <c r="DL6" s="25" t="s">
        <v>88</v>
      </c>
      <c r="DM6" s="25" t="s">
        <v>89</v>
      </c>
      <c r="DN6" s="25" t="s">
        <v>90</v>
      </c>
      <c r="DO6" s="25" t="s">
        <v>91</v>
      </c>
      <c r="DP6" s="25" t="s">
        <v>92</v>
      </c>
      <c r="DQ6" s="25" t="s">
        <v>93</v>
      </c>
      <c r="DR6" s="25" t="s">
        <v>94</v>
      </c>
      <c r="DS6" s="25" t="s">
        <v>95</v>
      </c>
      <c r="DT6" s="25" t="s">
        <v>96</v>
      </c>
      <c r="DU6" s="25" t="s">
        <v>97</v>
      </c>
      <c r="DV6" s="25" t="s">
        <v>98</v>
      </c>
      <c r="DW6" s="25" t="s">
        <v>99</v>
      </c>
      <c r="DX6" s="25" t="s">
        <v>100</v>
      </c>
      <c r="DY6" s="25" t="s">
        <v>101</v>
      </c>
      <c r="DZ6" s="25" t="s">
        <v>102</v>
      </c>
      <c r="EA6" s="25" t="s">
        <v>103</v>
      </c>
      <c r="EB6" s="25" t="s">
        <v>104</v>
      </c>
      <c r="EC6" s="25" t="s">
        <v>105</v>
      </c>
      <c r="ED6" s="25" t="s">
        <v>106</v>
      </c>
      <c r="EE6" s="25" t="s">
        <v>107</v>
      </c>
      <c r="EF6" s="25" t="s">
        <v>108</v>
      </c>
      <c r="EG6" s="25" t="s">
        <v>109</v>
      </c>
      <c r="EH6" s="25" t="s">
        <v>110</v>
      </c>
      <c r="EI6" s="25" t="s">
        <v>111</v>
      </c>
      <c r="EJ6" s="25" t="s">
        <v>112</v>
      </c>
      <c r="EK6" s="25" t="s">
        <v>113</v>
      </c>
      <c r="EL6" s="25" t="s">
        <v>114</v>
      </c>
      <c r="EM6" s="25" t="s">
        <v>115</v>
      </c>
      <c r="EN6" s="25" t="s">
        <v>116</v>
      </c>
      <c r="EO6" s="25" t="s">
        <v>117</v>
      </c>
      <c r="EP6" s="25" t="s">
        <v>118</v>
      </c>
      <c r="EQ6" s="25" t="s">
        <v>119</v>
      </c>
      <c r="ER6" s="25" t="s">
        <v>120</v>
      </c>
      <c r="ES6" s="25" t="s">
        <v>121</v>
      </c>
      <c r="ET6" s="25" t="s">
        <v>122</v>
      </c>
      <c r="EU6" s="25" t="s">
        <v>123</v>
      </c>
      <c r="EV6" s="25" t="s">
        <v>124</v>
      </c>
      <c r="EW6" s="25" t="s">
        <v>125</v>
      </c>
      <c r="EX6" s="25" t="s">
        <v>126</v>
      </c>
      <c r="EY6" s="25" t="s">
        <v>127</v>
      </c>
      <c r="EZ6" s="25" t="s">
        <v>128</v>
      </c>
      <c r="FA6" s="25" t="s">
        <v>129</v>
      </c>
      <c r="FB6" s="25" t="s">
        <v>130</v>
      </c>
      <c r="FC6" s="25" t="s">
        <v>131</v>
      </c>
      <c r="FD6" s="25" t="s">
        <v>132</v>
      </c>
      <c r="FE6" s="25" t="s">
        <v>133</v>
      </c>
      <c r="FF6" s="25" t="s">
        <v>134</v>
      </c>
      <c r="FG6" s="25" t="s">
        <v>135</v>
      </c>
      <c r="FH6" s="25" t="s">
        <v>136</v>
      </c>
      <c r="FI6" s="25" t="s">
        <v>137</v>
      </c>
      <c r="FJ6" s="25" t="s">
        <v>138</v>
      </c>
      <c r="FK6" s="25" t="s">
        <v>139</v>
      </c>
      <c r="FL6" s="25" t="s">
        <v>140</v>
      </c>
      <c r="FM6" s="25" t="s">
        <v>141</v>
      </c>
      <c r="FN6" s="25" t="s">
        <v>142</v>
      </c>
      <c r="FO6" s="25" t="s">
        <v>143</v>
      </c>
      <c r="FP6" s="25" t="s">
        <v>144</v>
      </c>
      <c r="FQ6" s="25" t="s">
        <v>145</v>
      </c>
      <c r="FR6" s="25" t="s">
        <v>146</v>
      </c>
      <c r="FS6" s="25" t="s">
        <v>147</v>
      </c>
      <c r="FT6" s="25" t="s">
        <v>148</v>
      </c>
      <c r="FU6" s="25" t="s">
        <v>149</v>
      </c>
      <c r="FV6" s="25" t="s">
        <v>150</v>
      </c>
      <c r="FW6" s="25" t="s">
        <v>151</v>
      </c>
      <c r="FX6" s="25" t="s">
        <v>152</v>
      </c>
      <c r="FY6" s="25" t="s">
        <v>153</v>
      </c>
      <c r="FZ6" s="25" t="s">
        <v>154</v>
      </c>
      <c r="GA6" s="6" t="s">
        <v>210</v>
      </c>
      <c r="GB6" s="6" t="s">
        <v>211</v>
      </c>
      <c r="GC6" s="6" t="s">
        <v>212</v>
      </c>
      <c r="GD6" s="6" t="s">
        <v>213</v>
      </c>
      <c r="GE6" s="6" t="s">
        <v>214</v>
      </c>
      <c r="GF6" s="6" t="s">
        <v>215</v>
      </c>
      <c r="GG6" s="6" t="s">
        <v>216</v>
      </c>
      <c r="GH6" s="6" t="s">
        <v>217</v>
      </c>
      <c r="GI6" s="6" t="s">
        <v>218</v>
      </c>
      <c r="GJ6" s="6" t="s">
        <v>219</v>
      </c>
      <c r="GK6" s="6" t="s">
        <v>220</v>
      </c>
      <c r="GL6" s="6" t="s">
        <v>221</v>
      </c>
      <c r="GM6" s="6" t="s">
        <v>222</v>
      </c>
      <c r="GN6" s="6" t="s">
        <v>223</v>
      </c>
      <c r="GO6" s="6" t="s">
        <v>224</v>
      </c>
      <c r="GP6" s="6" t="s">
        <v>225</v>
      </c>
      <c r="GQ6" s="26" t="s">
        <v>516</v>
      </c>
      <c r="GR6" s="26" t="s">
        <v>517</v>
      </c>
      <c r="GS6" s="26" t="s">
        <v>518</v>
      </c>
      <c r="GT6" s="26" t="s">
        <v>519</v>
      </c>
      <c r="GU6" s="26" t="s">
        <v>520</v>
      </c>
      <c r="GV6" s="26" t="s">
        <v>521</v>
      </c>
      <c r="GW6" s="26" t="s">
        <v>522</v>
      </c>
      <c r="GX6" s="26" t="s">
        <v>523</v>
      </c>
      <c r="GY6" s="26" t="s">
        <v>524</v>
      </c>
      <c r="GZ6" s="26" t="s">
        <v>525</v>
      </c>
      <c r="HA6" s="26" t="s">
        <v>526</v>
      </c>
      <c r="HB6" s="26" t="s">
        <v>527</v>
      </c>
      <c r="HC6" s="26" t="s">
        <v>528</v>
      </c>
      <c r="HD6" s="26" t="s">
        <v>529</v>
      </c>
      <c r="HE6" s="26" t="s">
        <v>530</v>
      </c>
      <c r="HF6" s="26" t="s">
        <v>531</v>
      </c>
      <c r="HG6" s="26" t="s">
        <v>532</v>
      </c>
      <c r="HH6" s="26" t="s">
        <v>533</v>
      </c>
      <c r="HI6" s="26" t="s">
        <v>534</v>
      </c>
      <c r="HJ6" s="26" t="s">
        <v>535</v>
      </c>
      <c r="HK6" s="26" t="s">
        <v>536</v>
      </c>
      <c r="HL6" s="26" t="s">
        <v>537</v>
      </c>
      <c r="HM6" s="26" t="s">
        <v>538</v>
      </c>
      <c r="HN6" s="26" t="s">
        <v>539</v>
      </c>
      <c r="HO6" s="26" t="s">
        <v>540</v>
      </c>
      <c r="HP6" s="26" t="s">
        <v>541</v>
      </c>
      <c r="HQ6" s="26" t="s">
        <v>542</v>
      </c>
      <c r="HR6" s="26" t="s">
        <v>543</v>
      </c>
      <c r="HS6" s="26" t="s">
        <v>544</v>
      </c>
      <c r="HT6" s="26" t="s">
        <v>545</v>
      </c>
      <c r="HU6" s="26" t="s">
        <v>546</v>
      </c>
      <c r="HV6" s="26" t="s">
        <v>547</v>
      </c>
      <c r="HW6" s="26" t="s">
        <v>548</v>
      </c>
      <c r="HX6" s="26" t="s">
        <v>549</v>
      </c>
      <c r="HY6" s="26" t="s">
        <v>550</v>
      </c>
      <c r="HZ6" s="26" t="s">
        <v>551</v>
      </c>
      <c r="IA6" s="26" t="s">
        <v>552</v>
      </c>
      <c r="IB6" s="26" t="s">
        <v>553</v>
      </c>
      <c r="IC6" s="26" t="s">
        <v>554</v>
      </c>
      <c r="ID6" s="26" t="s">
        <v>555</v>
      </c>
      <c r="IE6" s="26" t="s">
        <v>556</v>
      </c>
      <c r="IF6" s="26" t="s">
        <v>557</v>
      </c>
      <c r="IG6" s="26" t="s">
        <v>558</v>
      </c>
      <c r="IH6" s="26" t="s">
        <v>559</v>
      </c>
      <c r="II6" s="26" t="s">
        <v>560</v>
      </c>
      <c r="IJ6" s="26" t="s">
        <v>561</v>
      </c>
      <c r="IK6" s="26" t="s">
        <v>562</v>
      </c>
      <c r="IL6" s="26" t="s">
        <v>563</v>
      </c>
      <c r="IM6" s="26" t="s">
        <v>564</v>
      </c>
      <c r="IN6" s="26" t="s">
        <v>565</v>
      </c>
      <c r="IO6" s="26" t="s">
        <v>566</v>
      </c>
      <c r="IP6" s="26" t="s">
        <v>567</v>
      </c>
      <c r="IQ6" s="26" t="s">
        <v>568</v>
      </c>
      <c r="IR6" s="26" t="s">
        <v>569</v>
      </c>
      <c r="IS6" s="26" t="s">
        <v>570</v>
      </c>
      <c r="IT6" s="26" t="s">
        <v>571</v>
      </c>
      <c r="IU6" s="26" t="s">
        <v>572</v>
      </c>
      <c r="IV6" s="26" t="s">
        <v>573</v>
      </c>
      <c r="IW6" s="26" t="s">
        <v>574</v>
      </c>
      <c r="IX6" s="26" t="s">
        <v>575</v>
      </c>
      <c r="IY6" s="26" t="s">
        <v>576</v>
      </c>
      <c r="IZ6" s="26" t="s">
        <v>577</v>
      </c>
      <c r="JA6" s="26" t="s">
        <v>578</v>
      </c>
      <c r="JB6" s="26" t="s">
        <v>579</v>
      </c>
      <c r="JC6" s="26" t="s">
        <v>580</v>
      </c>
      <c r="JD6" s="26" t="s">
        <v>581</v>
      </c>
      <c r="JE6" s="26" t="s">
        <v>582</v>
      </c>
      <c r="JF6" s="26" t="s">
        <v>583</v>
      </c>
      <c r="JG6" s="26" t="s">
        <v>584</v>
      </c>
      <c r="JH6" s="26" t="s">
        <v>585</v>
      </c>
      <c r="JI6" s="26" t="s">
        <v>586</v>
      </c>
      <c r="JJ6" s="26" t="s">
        <v>587</v>
      </c>
      <c r="JK6" s="26" t="s">
        <v>588</v>
      </c>
      <c r="JL6" s="26" t="s">
        <v>589</v>
      </c>
      <c r="JM6" s="26" t="s">
        <v>590</v>
      </c>
      <c r="JN6" s="26" t="s">
        <v>591</v>
      </c>
      <c r="JO6" s="26" t="s">
        <v>592</v>
      </c>
      <c r="JP6" s="26" t="s">
        <v>593</v>
      </c>
      <c r="JQ6" s="26" t="s">
        <v>594</v>
      </c>
      <c r="JR6" s="26" t="s">
        <v>595</v>
      </c>
      <c r="JS6" s="26" t="s">
        <v>596</v>
      </c>
      <c r="JT6" s="26" t="s">
        <v>597</v>
      </c>
      <c r="JU6" s="26" t="s">
        <v>598</v>
      </c>
      <c r="JV6" s="26" t="s">
        <v>599</v>
      </c>
      <c r="JW6" s="26" t="s">
        <v>600</v>
      </c>
      <c r="JX6" s="26" t="s">
        <v>601</v>
      </c>
      <c r="JY6" s="26" t="s">
        <v>602</v>
      </c>
      <c r="JZ6" s="26" t="s">
        <v>603</v>
      </c>
      <c r="KA6" s="26" t="s">
        <v>604</v>
      </c>
      <c r="KB6" s="26" t="s">
        <v>605</v>
      </c>
      <c r="KC6" s="26" t="s">
        <v>606</v>
      </c>
      <c r="KD6" s="26" t="s">
        <v>607</v>
      </c>
      <c r="KE6" s="26" t="s">
        <v>608</v>
      </c>
      <c r="KF6" s="26" t="s">
        <v>609</v>
      </c>
      <c r="KG6" s="26" t="s">
        <v>610</v>
      </c>
      <c r="KH6" s="26" t="s">
        <v>611</v>
      </c>
      <c r="KI6" s="26" t="s">
        <v>612</v>
      </c>
      <c r="KJ6" s="26" t="s">
        <v>613</v>
      </c>
      <c r="KK6" s="26" t="s">
        <v>614</v>
      </c>
      <c r="KL6" s="26" t="s">
        <v>615</v>
      </c>
      <c r="KM6" s="26" t="s">
        <v>616</v>
      </c>
      <c r="KN6" s="26" t="s">
        <v>617</v>
      </c>
      <c r="KO6" s="26" t="s">
        <v>618</v>
      </c>
      <c r="KP6" s="26" t="s">
        <v>619</v>
      </c>
      <c r="KQ6" s="26" t="s">
        <v>620</v>
      </c>
      <c r="KR6" s="26" t="s">
        <v>621</v>
      </c>
      <c r="KS6" s="26" t="s">
        <v>622</v>
      </c>
      <c r="KT6" s="26" t="s">
        <v>623</v>
      </c>
      <c r="KU6" s="26" t="s">
        <v>624</v>
      </c>
      <c r="KV6" s="26" t="s">
        <v>625</v>
      </c>
      <c r="KW6" s="26" t="s">
        <v>626</v>
      </c>
      <c r="KX6" s="26" t="s">
        <v>627</v>
      </c>
      <c r="KY6" s="26" t="s">
        <v>628</v>
      </c>
      <c r="KZ6" s="26" t="s">
        <v>629</v>
      </c>
      <c r="LA6" s="26" t="s">
        <v>630</v>
      </c>
      <c r="LB6" s="26" t="s">
        <v>631</v>
      </c>
      <c r="LC6" s="26" t="s">
        <v>632</v>
      </c>
      <c r="LD6" s="26" t="s">
        <v>633</v>
      </c>
      <c r="LE6" s="26" t="s">
        <v>634</v>
      </c>
      <c r="LF6" s="26" t="s">
        <v>635</v>
      </c>
      <c r="LG6" s="26" t="s">
        <v>636</v>
      </c>
      <c r="LH6" s="26" t="s">
        <v>637</v>
      </c>
      <c r="LI6" s="26" t="s">
        <v>638</v>
      </c>
      <c r="LJ6" s="26" t="s">
        <v>639</v>
      </c>
      <c r="LK6" s="26" t="s">
        <v>640</v>
      </c>
      <c r="LL6" s="26" t="s">
        <v>641</v>
      </c>
      <c r="LM6" s="26" t="s">
        <v>642</v>
      </c>
      <c r="LN6" s="26" t="s">
        <v>643</v>
      </c>
      <c r="LO6" s="26" t="s">
        <v>644</v>
      </c>
      <c r="LP6" s="26" t="s">
        <v>645</v>
      </c>
      <c r="LQ6" s="26" t="s">
        <v>646</v>
      </c>
      <c r="LR6" s="26" t="s">
        <v>647</v>
      </c>
      <c r="LS6" s="26" t="s">
        <v>648</v>
      </c>
      <c r="LT6" s="26" t="s">
        <v>649</v>
      </c>
      <c r="LU6" s="26" t="s">
        <v>650</v>
      </c>
      <c r="LV6" s="26" t="s">
        <v>651</v>
      </c>
      <c r="LW6" s="26" t="s">
        <v>652</v>
      </c>
      <c r="LX6" s="26" t="s">
        <v>653</v>
      </c>
    </row>
    <row r="7" spans="1:337" s="32" customFormat="1" ht="14.25" x14ac:dyDescent="0.2">
      <c r="A7" s="5">
        <v>1</v>
      </c>
      <c r="B7" s="27" t="s">
        <v>669</v>
      </c>
      <c r="C7" s="27" t="s">
        <v>292</v>
      </c>
      <c r="D7" s="27" t="s">
        <v>293</v>
      </c>
      <c r="E7" s="27" t="s">
        <v>292</v>
      </c>
      <c r="F7" s="28" t="s">
        <v>294</v>
      </c>
      <c r="G7" s="28" t="s">
        <v>295</v>
      </c>
      <c r="H7" s="29">
        <v>-1</v>
      </c>
      <c r="I7" s="30">
        <v>6.33</v>
      </c>
      <c r="J7" s="31">
        <v>13.994795481999995</v>
      </c>
      <c r="K7" s="29" t="s">
        <v>296</v>
      </c>
      <c r="L7" s="16">
        <v>0</v>
      </c>
      <c r="M7" s="16">
        <v>2</v>
      </c>
      <c r="N7" s="27" t="s">
        <v>292</v>
      </c>
      <c r="O7" s="27">
        <v>0</v>
      </c>
      <c r="P7" s="27">
        <v>0</v>
      </c>
      <c r="Q7" s="27">
        <v>0</v>
      </c>
      <c r="R7" s="27">
        <v>0</v>
      </c>
      <c r="S7" s="27">
        <v>0</v>
      </c>
      <c r="T7" s="27">
        <v>20</v>
      </c>
      <c r="U7" s="27">
        <v>0</v>
      </c>
      <c r="V7" s="27">
        <v>20</v>
      </c>
      <c r="W7" s="27">
        <v>0</v>
      </c>
      <c r="X7" s="27" t="s">
        <v>292</v>
      </c>
      <c r="Y7" s="17">
        <v>526.36365701420004</v>
      </c>
      <c r="Z7" s="17">
        <v>508.35309701420005</v>
      </c>
      <c r="AA7" s="17">
        <v>526.36365701420004</v>
      </c>
      <c r="AB7" s="17">
        <v>508.35309701420005</v>
      </c>
      <c r="AC7" s="17">
        <v>807.68427701420001</v>
      </c>
      <c r="AD7" s="17">
        <v>733.64749758180005</v>
      </c>
      <c r="AE7" s="17">
        <v>0</v>
      </c>
      <c r="AF7" s="17">
        <v>527.3712757262</v>
      </c>
      <c r="AG7" s="17">
        <v>453.33449629379999</v>
      </c>
      <c r="AH7" s="17">
        <v>339.36268610079998</v>
      </c>
      <c r="AI7" s="17">
        <v>357.37325078479995</v>
      </c>
      <c r="AJ7" s="17">
        <v>0</v>
      </c>
      <c r="AK7" s="17">
        <v>0</v>
      </c>
      <c r="AL7" s="17">
        <v>0</v>
      </c>
      <c r="AM7" s="17">
        <v>247.0582794382</v>
      </c>
      <c r="AN7" s="17">
        <v>229.0477147542</v>
      </c>
      <c r="AO7" s="17">
        <v>0</v>
      </c>
      <c r="AP7" s="17">
        <v>0</v>
      </c>
      <c r="AQ7" s="17">
        <v>173.021500038</v>
      </c>
      <c r="AR7" s="17">
        <v>155.010935354</v>
      </c>
      <c r="AS7" s="32">
        <v>281.32082128799999</v>
      </c>
      <c r="AT7" s="32">
        <v>281.32082128799999</v>
      </c>
      <c r="AU7" s="32">
        <v>55.0547752254</v>
      </c>
      <c r="AV7" s="32">
        <v>57.070425289800006</v>
      </c>
      <c r="AW7" s="32">
        <v>69.070425289799999</v>
      </c>
      <c r="AX7" s="32">
        <v>71.086075354200005</v>
      </c>
      <c r="AY7" s="32">
        <v>83.086075354200005</v>
      </c>
      <c r="AZ7" s="32">
        <v>85.101725418599997</v>
      </c>
      <c r="BA7" s="32">
        <v>97.101725418599997</v>
      </c>
      <c r="BB7" s="32">
        <v>99.117375483000004</v>
      </c>
      <c r="BC7" s="32">
        <v>111.117375483</v>
      </c>
      <c r="BD7" s="32">
        <v>113.13302554740001</v>
      </c>
      <c r="BE7" s="32">
        <v>125.13302554740001</v>
      </c>
      <c r="BF7" s="32">
        <v>127.1486756118</v>
      </c>
      <c r="BG7" s="32">
        <v>139.1486756118</v>
      </c>
      <c r="BH7" s="32">
        <v>141.16432567620001</v>
      </c>
      <c r="BI7" s="32">
        <v>153.16432567620001</v>
      </c>
      <c r="BJ7" s="32">
        <v>155.17997574060001</v>
      </c>
      <c r="BK7" s="32">
        <v>167.17997574060001</v>
      </c>
      <c r="BL7" s="32">
        <v>169.19562580499999</v>
      </c>
      <c r="BM7" s="32">
        <v>181.19562580499999</v>
      </c>
      <c r="BN7" s="32">
        <v>183.2112758694</v>
      </c>
      <c r="BO7" s="32">
        <v>197.2269259338</v>
      </c>
      <c r="BP7" s="32">
        <v>211.24257599820001</v>
      </c>
      <c r="BQ7" s="32">
        <v>225.25822606260002</v>
      </c>
      <c r="BR7" s="32">
        <v>0</v>
      </c>
      <c r="BS7" s="32">
        <v>0</v>
      </c>
      <c r="BT7" s="32">
        <v>0</v>
      </c>
      <c r="BU7" s="32">
        <v>0</v>
      </c>
      <c r="BV7" s="32">
        <v>0</v>
      </c>
      <c r="BW7" s="32">
        <v>0</v>
      </c>
      <c r="BX7" s="32">
        <v>0</v>
      </c>
      <c r="BY7" s="32">
        <v>0</v>
      </c>
      <c r="BZ7" s="32">
        <v>0</v>
      </c>
      <c r="CA7" s="32">
        <v>0</v>
      </c>
      <c r="CB7" s="32">
        <v>0</v>
      </c>
      <c r="CC7" s="32">
        <v>0</v>
      </c>
      <c r="CD7" s="32">
        <v>0</v>
      </c>
      <c r="CE7" s="32">
        <v>0</v>
      </c>
      <c r="CF7" s="32">
        <v>0</v>
      </c>
      <c r="CG7" s="32">
        <v>0</v>
      </c>
      <c r="CH7" s="32">
        <v>0</v>
      </c>
      <c r="CI7" s="32">
        <v>0</v>
      </c>
      <c r="CJ7" s="32">
        <v>0</v>
      </c>
      <c r="CK7" s="32">
        <v>0</v>
      </c>
      <c r="CL7" s="32">
        <v>0</v>
      </c>
      <c r="CM7" s="32">
        <v>0</v>
      </c>
      <c r="CN7" s="32">
        <v>0</v>
      </c>
      <c r="CO7" s="32">
        <v>0</v>
      </c>
      <c r="CP7" s="32">
        <v>0</v>
      </c>
      <c r="CQ7" s="32">
        <v>0</v>
      </c>
      <c r="CR7" s="32">
        <v>0</v>
      </c>
      <c r="CS7" s="32">
        <v>0</v>
      </c>
      <c r="CT7" s="32">
        <v>0</v>
      </c>
      <c r="CU7" s="32">
        <v>0</v>
      </c>
      <c r="CV7" s="32">
        <v>0</v>
      </c>
      <c r="CW7" s="32">
        <v>0</v>
      </c>
      <c r="CX7" s="32">
        <v>0</v>
      </c>
      <c r="CY7" s="32">
        <v>0</v>
      </c>
      <c r="CZ7" s="32">
        <v>0</v>
      </c>
      <c r="DA7" s="32">
        <v>0</v>
      </c>
      <c r="DB7" s="32">
        <v>0</v>
      </c>
      <c r="DC7" s="32">
        <v>0</v>
      </c>
      <c r="DD7" s="32">
        <v>0</v>
      </c>
      <c r="DE7" s="32">
        <v>0</v>
      </c>
      <c r="DF7" s="32">
        <v>0</v>
      </c>
      <c r="DG7" s="32">
        <v>0</v>
      </c>
      <c r="DH7" s="32">
        <v>0</v>
      </c>
      <c r="DI7" s="32">
        <v>0</v>
      </c>
      <c r="DJ7" s="32">
        <v>0</v>
      </c>
      <c r="DK7" s="32">
        <v>55.0547752254</v>
      </c>
      <c r="DL7" s="32">
        <v>57.070425289800006</v>
      </c>
      <c r="DM7" s="32">
        <v>69.070425289799999</v>
      </c>
      <c r="DN7" s="32">
        <v>71.086075354200005</v>
      </c>
      <c r="DO7" s="32">
        <v>83.086075354200005</v>
      </c>
      <c r="DP7" s="32">
        <v>85.101725418599997</v>
      </c>
      <c r="DQ7" s="32">
        <v>97.101725418599997</v>
      </c>
      <c r="DR7" s="32">
        <v>99.117375483000004</v>
      </c>
      <c r="DS7" s="32">
        <v>111.117375483</v>
      </c>
      <c r="DT7" s="32">
        <v>113.13302554740001</v>
      </c>
      <c r="DU7" s="32">
        <v>125.13302554740001</v>
      </c>
      <c r="DV7" s="32">
        <v>127.1486756118</v>
      </c>
      <c r="DW7" s="32">
        <v>139.1486756118</v>
      </c>
      <c r="DX7" s="32">
        <v>141.16432567620001</v>
      </c>
      <c r="DY7" s="32">
        <v>153.16432567620001</v>
      </c>
      <c r="DZ7" s="32">
        <v>155.17997574060001</v>
      </c>
      <c r="EA7" s="32">
        <v>167.17997574060001</v>
      </c>
      <c r="EB7" s="32">
        <v>169.19562580499999</v>
      </c>
      <c r="EC7" s="32">
        <v>181.19562580499999</v>
      </c>
      <c r="ED7" s="32">
        <v>183.2112758694</v>
      </c>
      <c r="EE7" s="32">
        <v>197.2269259338</v>
      </c>
      <c r="EF7" s="32">
        <v>211.24257599820001</v>
      </c>
      <c r="EG7" s="32">
        <v>225.25822606260002</v>
      </c>
      <c r="EH7" s="32">
        <v>0</v>
      </c>
      <c r="EI7" s="32">
        <v>0</v>
      </c>
      <c r="EJ7" s="32">
        <v>0</v>
      </c>
      <c r="EK7" s="32">
        <v>0</v>
      </c>
      <c r="EL7" s="32">
        <v>0</v>
      </c>
      <c r="EM7" s="32">
        <v>0</v>
      </c>
      <c r="EN7" s="32">
        <v>0</v>
      </c>
      <c r="EO7" s="32">
        <v>0</v>
      </c>
      <c r="EP7" s="32">
        <v>0</v>
      </c>
      <c r="EQ7" s="32">
        <v>0</v>
      </c>
      <c r="ER7" s="32">
        <v>0</v>
      </c>
      <c r="ES7" s="32">
        <v>0</v>
      </c>
      <c r="ET7" s="32">
        <v>0</v>
      </c>
      <c r="EU7" s="32">
        <v>0</v>
      </c>
      <c r="EV7" s="32">
        <v>0</v>
      </c>
      <c r="EW7" s="32">
        <v>0</v>
      </c>
      <c r="EX7" s="32">
        <v>0</v>
      </c>
      <c r="EY7" s="32">
        <v>0</v>
      </c>
      <c r="EZ7" s="32">
        <v>0</v>
      </c>
      <c r="FA7" s="32">
        <v>0</v>
      </c>
      <c r="FB7" s="32">
        <v>0</v>
      </c>
      <c r="FC7" s="32">
        <v>0</v>
      </c>
      <c r="FD7" s="32">
        <v>0</v>
      </c>
      <c r="FE7" s="32">
        <v>0</v>
      </c>
      <c r="FF7" s="32">
        <v>0</v>
      </c>
      <c r="FG7" s="32">
        <v>0</v>
      </c>
      <c r="FH7" s="32">
        <v>0</v>
      </c>
      <c r="FI7" s="32">
        <v>0</v>
      </c>
      <c r="FJ7" s="32">
        <v>0</v>
      </c>
      <c r="FK7" s="32">
        <v>0</v>
      </c>
      <c r="FL7" s="32">
        <v>0</v>
      </c>
      <c r="FM7" s="32">
        <v>0</v>
      </c>
      <c r="FN7" s="32">
        <v>0</v>
      </c>
      <c r="FO7" s="32">
        <v>0</v>
      </c>
      <c r="FP7" s="32">
        <v>0</v>
      </c>
      <c r="FQ7" s="32">
        <v>0</v>
      </c>
      <c r="FR7" s="32">
        <v>0</v>
      </c>
      <c r="FS7" s="32">
        <v>0</v>
      </c>
      <c r="FT7" s="32">
        <v>0</v>
      </c>
      <c r="FU7" s="32">
        <v>0</v>
      </c>
      <c r="FV7" s="32">
        <v>0</v>
      </c>
      <c r="FW7" s="32">
        <v>0</v>
      </c>
      <c r="FX7" s="32">
        <v>0</v>
      </c>
      <c r="FY7" s="32">
        <v>0</v>
      </c>
      <c r="FZ7" s="32">
        <v>0</v>
      </c>
      <c r="GA7" s="3">
        <v>30</v>
      </c>
      <c r="GB7" s="32">
        <v>3</v>
      </c>
      <c r="GC7" s="32">
        <v>0</v>
      </c>
      <c r="GD7" s="32">
        <v>20</v>
      </c>
      <c r="GE7" s="32">
        <v>5</v>
      </c>
      <c r="GF7" s="32">
        <v>10</v>
      </c>
      <c r="GG7" s="32">
        <v>5</v>
      </c>
      <c r="GH7" s="32">
        <v>0</v>
      </c>
      <c r="GI7" s="32">
        <v>0</v>
      </c>
      <c r="GJ7" s="32">
        <v>0</v>
      </c>
      <c r="GK7" s="32">
        <v>2</v>
      </c>
      <c r="GL7" s="32">
        <v>0</v>
      </c>
      <c r="GM7" s="32">
        <v>0</v>
      </c>
      <c r="GN7" s="32">
        <v>0</v>
      </c>
      <c r="GO7" s="32">
        <v>30</v>
      </c>
      <c r="GP7" s="32">
        <v>10</v>
      </c>
      <c r="GQ7" s="32">
        <v>1</v>
      </c>
      <c r="GR7" s="32">
        <v>1</v>
      </c>
      <c r="GS7" s="32">
        <v>1</v>
      </c>
      <c r="GT7" s="32">
        <v>26</v>
      </c>
      <c r="GU7" s="32">
        <v>1.0338291173353296</v>
      </c>
      <c r="GV7" s="32">
        <v>51.049562682215743</v>
      </c>
      <c r="GW7" s="32">
        <v>1.5412658773652741</v>
      </c>
      <c r="GX7" s="32">
        <v>91.396501457725947</v>
      </c>
      <c r="GY7" s="32">
        <v>3.7401585041617</v>
      </c>
      <c r="GZ7" s="32">
        <v>2.3381924198250732</v>
      </c>
      <c r="HA7" s="32">
        <v>9.6602540378443855</v>
      </c>
      <c r="HB7" s="32">
        <v>4.1720116618075798</v>
      </c>
      <c r="HC7" s="32">
        <v>7.0823732062775377</v>
      </c>
      <c r="HD7" s="32">
        <v>10.311044327573251</v>
      </c>
      <c r="HE7" s="32">
        <v>5.0747148627992109</v>
      </c>
      <c r="HF7" s="32">
        <v>13.772351615326819</v>
      </c>
      <c r="HG7" s="32">
        <v>3.5660011963983362</v>
      </c>
      <c r="HH7" s="32">
        <v>18</v>
      </c>
      <c r="HI7" s="32">
        <v>2.4849543960638525</v>
      </c>
      <c r="HJ7" s="32">
        <v>13.772351615326819</v>
      </c>
      <c r="HK7" s="32">
        <v>1.7602966507846922</v>
      </c>
      <c r="HL7" s="32">
        <v>10.311044327573251</v>
      </c>
      <c r="HM7" s="32">
        <v>7.5394440270473329</v>
      </c>
      <c r="HN7" s="32">
        <v>5.3809166040570995</v>
      </c>
      <c r="HO7" s="32">
        <v>3.7588279489105929</v>
      </c>
      <c r="HP7" s="32">
        <v>0</v>
      </c>
      <c r="HQ7" s="32">
        <v>0</v>
      </c>
      <c r="HR7" s="32">
        <v>0</v>
      </c>
      <c r="HS7" s="32">
        <v>0</v>
      </c>
      <c r="HT7" s="32">
        <v>0</v>
      </c>
      <c r="HU7" s="32">
        <v>0</v>
      </c>
      <c r="HV7" s="32">
        <v>0</v>
      </c>
      <c r="HW7" s="32">
        <v>0</v>
      </c>
      <c r="HX7" s="32">
        <v>0</v>
      </c>
      <c r="HY7" s="32">
        <v>0</v>
      </c>
      <c r="HZ7" s="32">
        <v>0</v>
      </c>
      <c r="IA7" s="32">
        <v>0</v>
      </c>
      <c r="IB7" s="32">
        <v>0</v>
      </c>
      <c r="IC7" s="32">
        <v>0</v>
      </c>
      <c r="ID7" s="32">
        <v>0</v>
      </c>
      <c r="IE7" s="32">
        <v>0</v>
      </c>
      <c r="IF7" s="32">
        <v>0</v>
      </c>
      <c r="IG7" s="32">
        <v>0</v>
      </c>
      <c r="IH7" s="32">
        <v>0</v>
      </c>
      <c r="II7" s="32">
        <v>0</v>
      </c>
      <c r="IJ7" s="32">
        <v>0</v>
      </c>
      <c r="IK7" s="32">
        <v>0</v>
      </c>
      <c r="IL7" s="32">
        <v>0</v>
      </c>
      <c r="IM7" s="32">
        <v>0</v>
      </c>
      <c r="IN7" s="32">
        <v>0</v>
      </c>
      <c r="IO7" s="32">
        <v>0</v>
      </c>
      <c r="IP7" s="32">
        <v>0</v>
      </c>
      <c r="IQ7" s="32">
        <v>0</v>
      </c>
      <c r="IR7" s="32">
        <v>0</v>
      </c>
      <c r="IS7" s="32">
        <v>0</v>
      </c>
      <c r="IT7" s="32">
        <v>0</v>
      </c>
      <c r="IU7" s="32">
        <v>0</v>
      </c>
      <c r="IV7" s="32">
        <v>0</v>
      </c>
      <c r="IW7" s="32">
        <v>0</v>
      </c>
      <c r="IX7" s="32">
        <v>0</v>
      </c>
      <c r="IY7" s="32">
        <v>0</v>
      </c>
      <c r="IZ7" s="32">
        <v>0</v>
      </c>
      <c r="JA7" s="32">
        <v>0</v>
      </c>
      <c r="JB7" s="32">
        <v>0</v>
      </c>
      <c r="JC7" s="32">
        <v>0</v>
      </c>
      <c r="JD7" s="32">
        <v>0</v>
      </c>
      <c r="JE7" s="32">
        <v>0</v>
      </c>
      <c r="JF7" s="32">
        <v>0</v>
      </c>
      <c r="JG7" s="32">
        <v>0</v>
      </c>
      <c r="JH7" s="32">
        <v>0</v>
      </c>
      <c r="JI7" s="32">
        <v>1</v>
      </c>
      <c r="JJ7" s="32">
        <v>26</v>
      </c>
      <c r="JK7" s="32">
        <v>1.0338291173353296</v>
      </c>
      <c r="JL7" s="32">
        <v>51.049562682215743</v>
      </c>
      <c r="JM7" s="32">
        <v>1.5412658773652741</v>
      </c>
      <c r="JN7" s="32">
        <v>91.396501457725947</v>
      </c>
      <c r="JO7" s="32">
        <v>3.7401585041617</v>
      </c>
      <c r="JP7" s="32">
        <v>2.3381924198250732</v>
      </c>
      <c r="JQ7" s="32">
        <v>9.6602540378443855</v>
      </c>
      <c r="JR7" s="32">
        <v>4.1720116618075798</v>
      </c>
      <c r="JS7" s="32">
        <v>7.0823732062775377</v>
      </c>
      <c r="JT7" s="32">
        <v>10.311044327573251</v>
      </c>
      <c r="JU7" s="32">
        <v>5.0747148627992109</v>
      </c>
      <c r="JV7" s="32">
        <v>13.772351615326819</v>
      </c>
      <c r="JW7" s="32">
        <v>3.5660011963983362</v>
      </c>
      <c r="JX7" s="32">
        <v>18</v>
      </c>
      <c r="JY7" s="32">
        <v>2.4849543960638525</v>
      </c>
      <c r="JZ7" s="32">
        <v>13.772351615326819</v>
      </c>
      <c r="KA7" s="32">
        <v>1.7602966507846922</v>
      </c>
      <c r="KB7" s="32">
        <v>10.311044327573251</v>
      </c>
      <c r="KC7" s="32">
        <v>7.5394440270473329</v>
      </c>
      <c r="KD7" s="32">
        <v>5.3809166040570995</v>
      </c>
      <c r="KE7" s="32">
        <v>3.7588279489105929</v>
      </c>
      <c r="KF7" s="32">
        <v>0</v>
      </c>
      <c r="KG7" s="32">
        <v>0</v>
      </c>
      <c r="KH7" s="32">
        <v>0</v>
      </c>
      <c r="KI7" s="32">
        <v>0</v>
      </c>
      <c r="KJ7" s="32">
        <v>0</v>
      </c>
      <c r="KK7" s="32">
        <v>0</v>
      </c>
      <c r="KL7" s="32">
        <v>0</v>
      </c>
      <c r="KM7" s="32">
        <v>0</v>
      </c>
      <c r="KN7" s="32">
        <v>0</v>
      </c>
      <c r="KO7" s="32">
        <v>0</v>
      </c>
      <c r="KP7" s="32">
        <v>0</v>
      </c>
      <c r="KQ7" s="32">
        <v>0</v>
      </c>
      <c r="KR7" s="32">
        <v>0</v>
      </c>
      <c r="KS7" s="32">
        <v>0</v>
      </c>
      <c r="KT7" s="32">
        <v>0</v>
      </c>
      <c r="KU7" s="32">
        <v>0</v>
      </c>
      <c r="KV7" s="32">
        <v>0</v>
      </c>
      <c r="KW7" s="32">
        <v>0</v>
      </c>
      <c r="KX7" s="32">
        <v>0</v>
      </c>
      <c r="KY7" s="32">
        <v>0</v>
      </c>
      <c r="KZ7" s="32">
        <v>0</v>
      </c>
      <c r="LA7" s="32">
        <v>0</v>
      </c>
      <c r="LB7" s="32">
        <v>0</v>
      </c>
      <c r="LC7" s="32">
        <v>0</v>
      </c>
      <c r="LD7" s="32">
        <v>0</v>
      </c>
      <c r="LE7" s="32">
        <v>0</v>
      </c>
      <c r="LF7" s="32">
        <v>0</v>
      </c>
      <c r="LG7" s="32">
        <v>0</v>
      </c>
      <c r="LH7" s="32">
        <v>0</v>
      </c>
      <c r="LI7" s="32">
        <v>0</v>
      </c>
      <c r="LJ7" s="32">
        <v>0</v>
      </c>
      <c r="LK7" s="32">
        <v>0</v>
      </c>
      <c r="LL7" s="32">
        <v>0</v>
      </c>
      <c r="LM7" s="32">
        <v>0</v>
      </c>
      <c r="LN7" s="32">
        <v>0</v>
      </c>
      <c r="LO7" s="32">
        <v>0</v>
      </c>
      <c r="LP7" s="32">
        <v>0</v>
      </c>
      <c r="LQ7" s="32">
        <v>0</v>
      </c>
      <c r="LR7" s="32">
        <v>0</v>
      </c>
      <c r="LS7" s="32">
        <v>0</v>
      </c>
      <c r="LT7" s="32">
        <v>0</v>
      </c>
      <c r="LU7" s="32">
        <v>0</v>
      </c>
      <c r="LV7" s="32">
        <v>0</v>
      </c>
      <c r="LW7" s="32">
        <v>0</v>
      </c>
      <c r="LX7" s="32">
        <v>0</v>
      </c>
    </row>
    <row r="8" spans="1:337" s="32" customFormat="1" ht="14.25" x14ac:dyDescent="0.2">
      <c r="A8" s="5">
        <v>2</v>
      </c>
      <c r="B8" s="27" t="s">
        <v>670</v>
      </c>
      <c r="C8" s="27" t="s">
        <v>297</v>
      </c>
      <c r="D8" s="27" t="s">
        <v>298</v>
      </c>
      <c r="E8" s="27" t="s">
        <v>297</v>
      </c>
      <c r="F8" s="28" t="s">
        <v>299</v>
      </c>
      <c r="G8" s="28" t="s">
        <v>300</v>
      </c>
      <c r="H8" s="29">
        <v>-1</v>
      </c>
      <c r="I8" s="30">
        <v>5.07</v>
      </c>
      <c r="J8" s="31">
        <v>13.745123460666669</v>
      </c>
      <c r="K8" s="29" t="s">
        <v>301</v>
      </c>
      <c r="L8" s="16">
        <v>0</v>
      </c>
      <c r="M8" s="16">
        <v>2</v>
      </c>
      <c r="N8" s="27" t="s">
        <v>297</v>
      </c>
      <c r="O8" s="27">
        <v>0</v>
      </c>
      <c r="P8" s="27">
        <v>0</v>
      </c>
      <c r="Q8" s="27">
        <v>0</v>
      </c>
      <c r="R8" s="27">
        <v>0</v>
      </c>
      <c r="S8" s="27">
        <v>0</v>
      </c>
      <c r="T8" s="27">
        <v>20</v>
      </c>
      <c r="U8" s="27">
        <v>0</v>
      </c>
      <c r="V8" s="27">
        <v>20</v>
      </c>
      <c r="W8" s="27">
        <v>1</v>
      </c>
      <c r="X8" s="27" t="s">
        <v>297</v>
      </c>
      <c r="Y8" s="17">
        <v>524.34800694980004</v>
      </c>
      <c r="Z8" s="17">
        <v>506.33744694980004</v>
      </c>
      <c r="AA8" s="17">
        <v>526.36364694979989</v>
      </c>
      <c r="AB8" s="17">
        <v>508.35308694979989</v>
      </c>
      <c r="AC8" s="17">
        <v>805.6686269498</v>
      </c>
      <c r="AD8" s="17">
        <v>731.63184751740005</v>
      </c>
      <c r="AE8" s="17">
        <v>0</v>
      </c>
      <c r="AF8" s="17">
        <v>527.3712757262</v>
      </c>
      <c r="AG8" s="17">
        <v>453.33449629379999</v>
      </c>
      <c r="AH8" s="17">
        <v>339.36268610079998</v>
      </c>
      <c r="AI8" s="17">
        <v>357.37325078479995</v>
      </c>
      <c r="AJ8" s="17">
        <v>0</v>
      </c>
      <c r="AK8" s="17">
        <v>0</v>
      </c>
      <c r="AL8" s="17">
        <v>0</v>
      </c>
      <c r="AM8" s="17">
        <v>247.0582794382</v>
      </c>
      <c r="AN8" s="17">
        <v>229.0477147542</v>
      </c>
      <c r="AO8" s="17">
        <v>0</v>
      </c>
      <c r="AP8" s="17">
        <v>0</v>
      </c>
      <c r="AQ8" s="17">
        <v>173.021500038</v>
      </c>
      <c r="AR8" s="17">
        <v>155.010935354</v>
      </c>
      <c r="AS8" s="32">
        <v>281.32082128799999</v>
      </c>
      <c r="AT8" s="32">
        <v>279.30517122359998</v>
      </c>
      <c r="AU8" s="32">
        <v>55.0547752254</v>
      </c>
      <c r="AV8" s="32">
        <v>57.070425289800006</v>
      </c>
      <c r="AW8" s="32">
        <v>69.070425289799999</v>
      </c>
      <c r="AX8" s="32">
        <v>71.086075354200005</v>
      </c>
      <c r="AY8" s="32">
        <v>83.086075354200005</v>
      </c>
      <c r="AZ8" s="32">
        <v>85.101725418599997</v>
      </c>
      <c r="BA8" s="32">
        <v>97.101725418599997</v>
      </c>
      <c r="BB8" s="32">
        <v>99.117375483000004</v>
      </c>
      <c r="BC8" s="32">
        <v>111.117375483</v>
      </c>
      <c r="BD8" s="32">
        <v>113.13302554740001</v>
      </c>
      <c r="BE8" s="32">
        <v>125.13302554740001</v>
      </c>
      <c r="BF8" s="32">
        <v>127.1486756118</v>
      </c>
      <c r="BG8" s="32">
        <v>139.1486756118</v>
      </c>
      <c r="BH8" s="32">
        <v>141.16432567620001</v>
      </c>
      <c r="BI8" s="32">
        <v>153.16432567620001</v>
      </c>
      <c r="BJ8" s="32">
        <v>155.17997574060001</v>
      </c>
      <c r="BK8" s="32">
        <v>167.17997574060001</v>
      </c>
      <c r="BL8" s="32">
        <v>169.19562580499999</v>
      </c>
      <c r="BM8" s="32">
        <v>181.19562580499999</v>
      </c>
      <c r="BN8" s="32">
        <v>183.2112758694</v>
      </c>
      <c r="BO8" s="32">
        <v>197.2269259338</v>
      </c>
      <c r="BP8" s="32">
        <v>211.24257599820001</v>
      </c>
      <c r="BQ8" s="32">
        <v>225.25822606260002</v>
      </c>
      <c r="BR8" s="32">
        <v>0</v>
      </c>
      <c r="BS8" s="32">
        <v>0</v>
      </c>
      <c r="BT8" s="32">
        <v>0</v>
      </c>
      <c r="BU8" s="32">
        <v>0</v>
      </c>
      <c r="BV8" s="32">
        <v>0</v>
      </c>
      <c r="BW8" s="32">
        <v>0</v>
      </c>
      <c r="BX8" s="32">
        <v>0</v>
      </c>
      <c r="BY8" s="32">
        <v>0</v>
      </c>
      <c r="BZ8" s="32">
        <v>0</v>
      </c>
      <c r="CA8" s="32">
        <v>0</v>
      </c>
      <c r="CB8" s="32">
        <v>0</v>
      </c>
      <c r="CC8" s="32">
        <v>0</v>
      </c>
      <c r="CD8" s="32">
        <v>0</v>
      </c>
      <c r="CE8" s="32">
        <v>0</v>
      </c>
      <c r="CF8" s="32">
        <v>0</v>
      </c>
      <c r="CG8" s="32">
        <v>0</v>
      </c>
      <c r="CH8" s="32">
        <v>0</v>
      </c>
      <c r="CI8" s="32">
        <v>0</v>
      </c>
      <c r="CJ8" s="32">
        <v>0</v>
      </c>
      <c r="CK8" s="32">
        <v>0</v>
      </c>
      <c r="CL8" s="32">
        <v>0</v>
      </c>
      <c r="CM8" s="32">
        <v>0</v>
      </c>
      <c r="CN8" s="32">
        <v>0</v>
      </c>
      <c r="CO8" s="32">
        <v>0</v>
      </c>
      <c r="CP8" s="32">
        <v>0</v>
      </c>
      <c r="CQ8" s="32">
        <v>0</v>
      </c>
      <c r="CR8" s="32">
        <v>0</v>
      </c>
      <c r="CS8" s="32">
        <v>0</v>
      </c>
      <c r="CT8" s="32">
        <v>0</v>
      </c>
      <c r="CU8" s="32">
        <v>0</v>
      </c>
      <c r="CV8" s="32">
        <v>0</v>
      </c>
      <c r="CW8" s="32">
        <v>0</v>
      </c>
      <c r="CX8" s="32">
        <v>0</v>
      </c>
      <c r="CY8" s="32">
        <v>0</v>
      </c>
      <c r="CZ8" s="32">
        <v>0</v>
      </c>
      <c r="DA8" s="32">
        <v>0</v>
      </c>
      <c r="DB8" s="32">
        <v>0</v>
      </c>
      <c r="DC8" s="32">
        <v>0</v>
      </c>
      <c r="DD8" s="32">
        <v>0</v>
      </c>
      <c r="DE8" s="32">
        <v>0</v>
      </c>
      <c r="DF8" s="32">
        <v>0</v>
      </c>
      <c r="DG8" s="32">
        <v>0</v>
      </c>
      <c r="DH8" s="32">
        <v>0</v>
      </c>
      <c r="DI8" s="32">
        <v>0</v>
      </c>
      <c r="DJ8" s="32">
        <v>0</v>
      </c>
      <c r="DK8" s="32">
        <v>55.0547752254</v>
      </c>
      <c r="DL8" s="32">
        <v>57.070425289800006</v>
      </c>
      <c r="DM8" s="32">
        <v>69.070425289799999</v>
      </c>
      <c r="DN8" s="32">
        <v>71.086075354200005</v>
      </c>
      <c r="DO8" s="32">
        <v>81.070425289799999</v>
      </c>
      <c r="DP8" s="32">
        <v>83.086075354200005</v>
      </c>
      <c r="DQ8" s="32">
        <v>85.101725418599997</v>
      </c>
      <c r="DR8" s="32">
        <v>95.086075354200005</v>
      </c>
      <c r="DS8" s="32">
        <v>97.101725418599997</v>
      </c>
      <c r="DT8" s="32">
        <v>99.117375483000004</v>
      </c>
      <c r="DU8" s="32">
        <v>109.1017254186</v>
      </c>
      <c r="DV8" s="32">
        <v>111.117375483</v>
      </c>
      <c r="DW8" s="32">
        <v>113.13302554740001</v>
      </c>
      <c r="DX8" s="32">
        <v>123.117375483</v>
      </c>
      <c r="DY8" s="32">
        <v>125.13302554740001</v>
      </c>
      <c r="DZ8" s="32">
        <v>127.1486756118</v>
      </c>
      <c r="EA8" s="32">
        <v>137.1330255474</v>
      </c>
      <c r="EB8" s="32">
        <v>139.1486756118</v>
      </c>
      <c r="EC8" s="32">
        <v>141.16432567620001</v>
      </c>
      <c r="ED8" s="32">
        <v>151.1486756118</v>
      </c>
      <c r="EE8" s="32">
        <v>153.16432567620001</v>
      </c>
      <c r="EF8" s="32">
        <v>155.17997574060001</v>
      </c>
      <c r="EG8" s="32">
        <v>165.16432567620001</v>
      </c>
      <c r="EH8" s="32">
        <v>167.17997574060001</v>
      </c>
      <c r="EI8" s="32">
        <v>169.19562580499999</v>
      </c>
      <c r="EJ8" s="32">
        <v>179.17997574060001</v>
      </c>
      <c r="EK8" s="32">
        <v>181.19562580499999</v>
      </c>
      <c r="EL8" s="32">
        <v>183.2112758694</v>
      </c>
      <c r="EM8" s="32">
        <v>195.2112758694</v>
      </c>
      <c r="EN8" s="32">
        <v>197.2269259338</v>
      </c>
      <c r="EO8" s="32">
        <v>209.2269259338</v>
      </c>
      <c r="EP8" s="32">
        <v>211.24257599820001</v>
      </c>
      <c r="EQ8" s="32">
        <v>223.24257599820001</v>
      </c>
      <c r="ER8" s="32">
        <v>225.25822606260002</v>
      </c>
      <c r="ES8" s="32">
        <v>0</v>
      </c>
      <c r="ET8" s="32">
        <v>0</v>
      </c>
      <c r="EU8" s="32">
        <v>0</v>
      </c>
      <c r="EV8" s="32">
        <v>0</v>
      </c>
      <c r="EW8" s="32">
        <v>0</v>
      </c>
      <c r="EX8" s="32">
        <v>0</v>
      </c>
      <c r="EY8" s="32">
        <v>0</v>
      </c>
      <c r="EZ8" s="32">
        <v>0</v>
      </c>
      <c r="FA8" s="32">
        <v>0</v>
      </c>
      <c r="FB8" s="32">
        <v>0</v>
      </c>
      <c r="FC8" s="32">
        <v>0</v>
      </c>
      <c r="FD8" s="32">
        <v>0</v>
      </c>
      <c r="FE8" s="32">
        <v>0</v>
      </c>
      <c r="FF8" s="32">
        <v>0</v>
      </c>
      <c r="FG8" s="32">
        <v>0</v>
      </c>
      <c r="FH8" s="32">
        <v>0</v>
      </c>
      <c r="FI8" s="32">
        <v>0</v>
      </c>
      <c r="FJ8" s="32">
        <v>0</v>
      </c>
      <c r="FK8" s="32">
        <v>0</v>
      </c>
      <c r="FL8" s="32">
        <v>0</v>
      </c>
      <c r="FM8" s="32">
        <v>0</v>
      </c>
      <c r="FN8" s="32">
        <v>0</v>
      </c>
      <c r="FO8" s="32">
        <v>0</v>
      </c>
      <c r="FP8" s="32">
        <v>0</v>
      </c>
      <c r="FQ8" s="32">
        <v>0</v>
      </c>
      <c r="FR8" s="32">
        <v>0</v>
      </c>
      <c r="FS8" s="32">
        <v>0</v>
      </c>
      <c r="FT8" s="32">
        <v>0</v>
      </c>
      <c r="FU8" s="32">
        <v>0</v>
      </c>
      <c r="FV8" s="32">
        <v>0</v>
      </c>
      <c r="FW8" s="32">
        <v>0</v>
      </c>
      <c r="FX8" s="32">
        <v>0</v>
      </c>
      <c r="FY8" s="32">
        <v>0</v>
      </c>
      <c r="FZ8" s="32">
        <v>0</v>
      </c>
      <c r="GA8" s="3">
        <v>27</v>
      </c>
      <c r="GB8" s="32">
        <v>2.7</v>
      </c>
      <c r="GC8" s="32">
        <v>0</v>
      </c>
      <c r="GD8" s="32">
        <v>19</v>
      </c>
      <c r="GE8" s="32">
        <v>5</v>
      </c>
      <c r="GF8" s="32">
        <v>9</v>
      </c>
      <c r="GG8" s="32">
        <v>4.5</v>
      </c>
      <c r="GH8" s="32">
        <v>0</v>
      </c>
      <c r="GI8" s="32">
        <v>0</v>
      </c>
      <c r="GJ8" s="32">
        <v>0</v>
      </c>
      <c r="GK8" s="32">
        <v>3.6</v>
      </c>
      <c r="GL8" s="32">
        <v>0</v>
      </c>
      <c r="GM8" s="32">
        <v>0</v>
      </c>
      <c r="GN8" s="32">
        <v>0</v>
      </c>
      <c r="GO8" s="32">
        <v>30</v>
      </c>
      <c r="GP8" s="32">
        <v>10</v>
      </c>
      <c r="GQ8" s="32">
        <v>1.3</v>
      </c>
      <c r="GR8" s="32">
        <v>2.2999999999999998</v>
      </c>
      <c r="GS8" s="32">
        <v>1</v>
      </c>
      <c r="GT8" s="32">
        <v>26</v>
      </c>
      <c r="GU8" s="32">
        <v>1.0338291173353296</v>
      </c>
      <c r="GV8" s="32">
        <v>51.049562682215743</v>
      </c>
      <c r="GW8" s="32">
        <v>1.5412658773652741</v>
      </c>
      <c r="GX8" s="32">
        <v>91.396501457725947</v>
      </c>
      <c r="GY8" s="32">
        <v>3.7401585041617</v>
      </c>
      <c r="GZ8" s="32">
        <v>2.3381924198250732</v>
      </c>
      <c r="HA8" s="32">
        <v>9.6602540378443855</v>
      </c>
      <c r="HB8" s="32">
        <v>4.1720116618075798</v>
      </c>
      <c r="HC8" s="32">
        <v>7.0823732062775377</v>
      </c>
      <c r="HD8" s="32">
        <v>10.311044327573251</v>
      </c>
      <c r="HE8" s="32">
        <v>5.0747148627992109</v>
      </c>
      <c r="HF8" s="32">
        <v>13.772351615326819</v>
      </c>
      <c r="HG8" s="32">
        <v>3.5660011963983362</v>
      </c>
      <c r="HH8" s="32">
        <v>18</v>
      </c>
      <c r="HI8" s="32">
        <v>2.4849543960638525</v>
      </c>
      <c r="HJ8" s="32">
        <v>13.772351615326819</v>
      </c>
      <c r="HK8" s="32">
        <v>1.7602966507846922</v>
      </c>
      <c r="HL8" s="32">
        <v>10.311044327573251</v>
      </c>
      <c r="HM8" s="32">
        <v>7.5394440270473329</v>
      </c>
      <c r="HN8" s="32">
        <v>5.3809166040570995</v>
      </c>
      <c r="HO8" s="32">
        <v>3.7588279489105929</v>
      </c>
      <c r="HP8" s="32">
        <v>0</v>
      </c>
      <c r="HQ8" s="32">
        <v>0</v>
      </c>
      <c r="HR8" s="32">
        <v>0</v>
      </c>
      <c r="HS8" s="32">
        <v>0</v>
      </c>
      <c r="HT8" s="32">
        <v>0</v>
      </c>
      <c r="HU8" s="32">
        <v>0</v>
      </c>
      <c r="HV8" s="32">
        <v>0</v>
      </c>
      <c r="HW8" s="32">
        <v>0</v>
      </c>
      <c r="HX8" s="32">
        <v>0</v>
      </c>
      <c r="HY8" s="32">
        <v>0</v>
      </c>
      <c r="HZ8" s="32">
        <v>0</v>
      </c>
      <c r="IA8" s="32">
        <v>0</v>
      </c>
      <c r="IB8" s="32">
        <v>0</v>
      </c>
      <c r="IC8" s="32">
        <v>0</v>
      </c>
      <c r="ID8" s="32">
        <v>0</v>
      </c>
      <c r="IE8" s="32">
        <v>0</v>
      </c>
      <c r="IF8" s="32">
        <v>0</v>
      </c>
      <c r="IG8" s="32">
        <v>0</v>
      </c>
      <c r="IH8" s="32">
        <v>0</v>
      </c>
      <c r="II8" s="32">
        <v>0</v>
      </c>
      <c r="IJ8" s="32">
        <v>0</v>
      </c>
      <c r="IK8" s="32">
        <v>0</v>
      </c>
      <c r="IL8" s="32">
        <v>0</v>
      </c>
      <c r="IM8" s="32">
        <v>0</v>
      </c>
      <c r="IN8" s="32">
        <v>0</v>
      </c>
      <c r="IO8" s="32">
        <v>0</v>
      </c>
      <c r="IP8" s="32">
        <v>0</v>
      </c>
      <c r="IQ8" s="32">
        <v>0</v>
      </c>
      <c r="IR8" s="32">
        <v>0</v>
      </c>
      <c r="IS8" s="32">
        <v>0</v>
      </c>
      <c r="IT8" s="32">
        <v>0</v>
      </c>
      <c r="IU8" s="32">
        <v>0</v>
      </c>
      <c r="IV8" s="32">
        <v>0</v>
      </c>
      <c r="IW8" s="32">
        <v>0</v>
      </c>
      <c r="IX8" s="32">
        <v>0</v>
      </c>
      <c r="IY8" s="32">
        <v>0</v>
      </c>
      <c r="IZ8" s="32">
        <v>0</v>
      </c>
      <c r="JA8" s="32">
        <v>0</v>
      </c>
      <c r="JB8" s="32">
        <v>0</v>
      </c>
      <c r="JC8" s="32">
        <v>0</v>
      </c>
      <c r="JD8" s="32">
        <v>0</v>
      </c>
      <c r="JE8" s="32">
        <v>0</v>
      </c>
      <c r="JF8" s="32">
        <v>0</v>
      </c>
      <c r="JG8" s="32">
        <v>0</v>
      </c>
      <c r="JH8" s="32">
        <v>0</v>
      </c>
      <c r="JI8" s="32">
        <v>1</v>
      </c>
      <c r="JJ8" s="32">
        <v>4.125</v>
      </c>
      <c r="JK8" s="32">
        <v>1.095683193077468</v>
      </c>
      <c r="JL8" s="32">
        <v>7.2623906705539358</v>
      </c>
      <c r="JM8" s="32">
        <v>1.1728000000000001</v>
      </c>
      <c r="JN8" s="32">
        <v>2.5309310892394863</v>
      </c>
      <c r="JO8" s="32">
        <v>12.349125364431487</v>
      </c>
      <c r="JP8" s="32">
        <v>1.7281777777777778</v>
      </c>
      <c r="JQ8" s="32">
        <v>13.164746412555075</v>
      </c>
      <c r="JR8" s="32">
        <v>1.3345481049562684</v>
      </c>
      <c r="JS8" s="32">
        <v>9.8888888888888893</v>
      </c>
      <c r="JT8" s="32">
        <v>18.320508075688771</v>
      </c>
      <c r="JU8" s="32">
        <v>2.6348610067618332</v>
      </c>
      <c r="JV8" s="32">
        <v>6.5492895730664351</v>
      </c>
      <c r="JW8" s="32">
        <v>13.164746412555075</v>
      </c>
      <c r="JX8" s="32">
        <v>3.3277610818933128</v>
      </c>
      <c r="JY8" s="32">
        <v>4.2528916662432898</v>
      </c>
      <c r="JZ8" s="32">
        <v>9.1494297255984218</v>
      </c>
      <c r="KA8" s="32">
        <v>4.1930879038317048</v>
      </c>
      <c r="KB8" s="32">
        <v>2.7558299039780527</v>
      </c>
      <c r="KC8" s="32">
        <v>6.1320023927966725</v>
      </c>
      <c r="KD8" s="32">
        <v>5.25</v>
      </c>
      <c r="KE8" s="32">
        <v>1.8467543904215145</v>
      </c>
      <c r="KF8" s="32">
        <v>3.969908792127705</v>
      </c>
      <c r="KG8" s="32">
        <v>4.1930879038317048</v>
      </c>
      <c r="KH8" s="32">
        <v>1.3468305983166522</v>
      </c>
      <c r="KI8" s="32">
        <v>2.5205933015693844</v>
      </c>
      <c r="KJ8" s="32">
        <v>3.3277610818933128</v>
      </c>
      <c r="KK8" s="32">
        <v>1.6415002990995839</v>
      </c>
      <c r="KL8" s="32">
        <v>2.6348610067618332</v>
      </c>
      <c r="KM8" s="32">
        <v>1.1900741626961731</v>
      </c>
      <c r="KN8" s="32">
        <v>2.0952291510142746</v>
      </c>
      <c r="KO8" s="32">
        <v>1.0237592703370215</v>
      </c>
      <c r="KP8" s="32">
        <v>1.6897069872276482</v>
      </c>
      <c r="KQ8" s="32">
        <v>0</v>
      </c>
      <c r="KR8" s="32">
        <v>0</v>
      </c>
      <c r="KS8" s="32">
        <v>0</v>
      </c>
      <c r="KT8" s="32">
        <v>0</v>
      </c>
      <c r="KU8" s="32">
        <v>0</v>
      </c>
      <c r="KV8" s="32">
        <v>0</v>
      </c>
      <c r="KW8" s="32">
        <v>0</v>
      </c>
      <c r="KX8" s="32">
        <v>0</v>
      </c>
      <c r="KY8" s="32">
        <v>0</v>
      </c>
      <c r="KZ8" s="32">
        <v>0</v>
      </c>
      <c r="LA8" s="32">
        <v>0</v>
      </c>
      <c r="LB8" s="32">
        <v>0</v>
      </c>
      <c r="LC8" s="32">
        <v>0</v>
      </c>
      <c r="LD8" s="32">
        <v>0</v>
      </c>
      <c r="LE8" s="32">
        <v>0</v>
      </c>
      <c r="LF8" s="32">
        <v>0</v>
      </c>
      <c r="LG8" s="32">
        <v>0</v>
      </c>
      <c r="LH8" s="32">
        <v>0</v>
      </c>
      <c r="LI8" s="32">
        <v>0</v>
      </c>
      <c r="LJ8" s="32">
        <v>0</v>
      </c>
      <c r="LK8" s="32">
        <v>0</v>
      </c>
      <c r="LL8" s="32">
        <v>0</v>
      </c>
      <c r="LM8" s="32">
        <v>0</v>
      </c>
      <c r="LN8" s="32">
        <v>0</v>
      </c>
      <c r="LO8" s="32">
        <v>0</v>
      </c>
      <c r="LP8" s="32">
        <v>0</v>
      </c>
      <c r="LQ8" s="32">
        <v>0</v>
      </c>
      <c r="LR8" s="32">
        <v>0</v>
      </c>
      <c r="LS8" s="32">
        <v>0</v>
      </c>
      <c r="LT8" s="32">
        <v>0</v>
      </c>
      <c r="LU8" s="32">
        <v>0</v>
      </c>
      <c r="LV8" s="32">
        <v>0</v>
      </c>
      <c r="LW8" s="32">
        <v>0</v>
      </c>
      <c r="LX8" s="32">
        <v>0</v>
      </c>
    </row>
    <row r="9" spans="1:337" s="32" customFormat="1" ht="14.25" x14ac:dyDescent="0.2">
      <c r="A9" s="5">
        <v>3</v>
      </c>
      <c r="B9" s="27" t="s">
        <v>671</v>
      </c>
      <c r="C9" s="27" t="s">
        <v>302</v>
      </c>
      <c r="D9" s="27" t="s">
        <v>303</v>
      </c>
      <c r="E9" s="27" t="s">
        <v>302</v>
      </c>
      <c r="F9" s="28" t="s">
        <v>304</v>
      </c>
      <c r="G9" s="28" t="s">
        <v>305</v>
      </c>
      <c r="H9" s="29">
        <v>-1</v>
      </c>
      <c r="I9" s="30">
        <v>4.09</v>
      </c>
      <c r="J9" s="31">
        <v>13.339543979333335</v>
      </c>
      <c r="K9" s="29" t="s">
        <v>306</v>
      </c>
      <c r="L9" s="16">
        <v>0</v>
      </c>
      <c r="M9" s="16">
        <v>2</v>
      </c>
      <c r="N9" s="27" t="s">
        <v>302</v>
      </c>
      <c r="O9" s="27">
        <v>0</v>
      </c>
      <c r="P9" s="27">
        <v>0</v>
      </c>
      <c r="Q9" s="27">
        <v>0</v>
      </c>
      <c r="R9" s="27">
        <v>0</v>
      </c>
      <c r="S9" s="27">
        <v>0</v>
      </c>
      <c r="T9" s="27">
        <v>20</v>
      </c>
      <c r="U9" s="27">
        <v>0</v>
      </c>
      <c r="V9" s="27">
        <v>20</v>
      </c>
      <c r="W9" s="27">
        <v>2</v>
      </c>
      <c r="X9" s="27" t="s">
        <v>302</v>
      </c>
      <c r="Y9" s="17">
        <v>522.33235688540003</v>
      </c>
      <c r="Z9" s="17">
        <v>504.32179688540003</v>
      </c>
      <c r="AA9" s="17">
        <v>526.36363688539996</v>
      </c>
      <c r="AB9" s="17">
        <v>508.35307688539996</v>
      </c>
      <c r="AC9" s="17">
        <v>803.65297688539999</v>
      </c>
      <c r="AD9" s="17">
        <v>729.61619745300004</v>
      </c>
      <c r="AE9" s="17">
        <v>0</v>
      </c>
      <c r="AF9" s="17">
        <v>527.3712757262</v>
      </c>
      <c r="AG9" s="17">
        <v>453.33449629379999</v>
      </c>
      <c r="AH9" s="17">
        <v>339.36268610079998</v>
      </c>
      <c r="AI9" s="17">
        <v>357.37325078479995</v>
      </c>
      <c r="AJ9" s="17">
        <v>0</v>
      </c>
      <c r="AK9" s="17">
        <v>0</v>
      </c>
      <c r="AL9" s="17">
        <v>0</v>
      </c>
      <c r="AM9" s="17">
        <v>247.0582794382</v>
      </c>
      <c r="AN9" s="17">
        <v>229.0477147542</v>
      </c>
      <c r="AO9" s="17">
        <v>0</v>
      </c>
      <c r="AP9" s="17">
        <v>0</v>
      </c>
      <c r="AQ9" s="17">
        <v>173.021500038</v>
      </c>
      <c r="AR9" s="17">
        <v>155.010935354</v>
      </c>
      <c r="AS9" s="32">
        <v>281.32082128799999</v>
      </c>
      <c r="AT9" s="32">
        <v>277.28952115919998</v>
      </c>
      <c r="AU9" s="32">
        <v>55.0547752254</v>
      </c>
      <c r="AV9" s="32">
        <v>57.070425289800006</v>
      </c>
      <c r="AW9" s="32">
        <v>69.070425289799999</v>
      </c>
      <c r="AX9" s="32">
        <v>71.086075354200005</v>
      </c>
      <c r="AY9" s="32">
        <v>83.086075354200005</v>
      </c>
      <c r="AZ9" s="32">
        <v>85.101725418599997</v>
      </c>
      <c r="BA9" s="32">
        <v>97.101725418599997</v>
      </c>
      <c r="BB9" s="32">
        <v>99.117375483000004</v>
      </c>
      <c r="BC9" s="32">
        <v>111.117375483</v>
      </c>
      <c r="BD9" s="32">
        <v>113.13302554740001</v>
      </c>
      <c r="BE9" s="32">
        <v>125.13302554740001</v>
      </c>
      <c r="BF9" s="32">
        <v>127.1486756118</v>
      </c>
      <c r="BG9" s="32">
        <v>139.1486756118</v>
      </c>
      <c r="BH9" s="32">
        <v>141.16432567620001</v>
      </c>
      <c r="BI9" s="32">
        <v>153.16432567620001</v>
      </c>
      <c r="BJ9" s="32">
        <v>155.17997574060001</v>
      </c>
      <c r="BK9" s="32">
        <v>167.17997574060001</v>
      </c>
      <c r="BL9" s="32">
        <v>169.19562580499999</v>
      </c>
      <c r="BM9" s="32">
        <v>181.19562580499999</v>
      </c>
      <c r="BN9" s="32">
        <v>183.2112758694</v>
      </c>
      <c r="BO9" s="32">
        <v>197.2269259338</v>
      </c>
      <c r="BP9" s="32">
        <v>211.24257599820001</v>
      </c>
      <c r="BQ9" s="32">
        <v>225.25822606260002</v>
      </c>
      <c r="BR9" s="32">
        <v>0</v>
      </c>
      <c r="BS9" s="32">
        <v>0</v>
      </c>
      <c r="BT9" s="32">
        <v>0</v>
      </c>
      <c r="BU9" s="32">
        <v>0</v>
      </c>
      <c r="BV9" s="32">
        <v>0</v>
      </c>
      <c r="BW9" s="32">
        <v>0</v>
      </c>
      <c r="BX9" s="32">
        <v>0</v>
      </c>
      <c r="BY9" s="32">
        <v>0</v>
      </c>
      <c r="BZ9" s="32">
        <v>0</v>
      </c>
      <c r="CA9" s="32">
        <v>0</v>
      </c>
      <c r="CB9" s="32">
        <v>0</v>
      </c>
      <c r="CC9" s="32">
        <v>0</v>
      </c>
      <c r="CD9" s="32">
        <v>0</v>
      </c>
      <c r="CE9" s="32">
        <v>0</v>
      </c>
      <c r="CF9" s="32">
        <v>0</v>
      </c>
      <c r="CG9" s="32">
        <v>0</v>
      </c>
      <c r="CH9" s="32">
        <v>0</v>
      </c>
      <c r="CI9" s="32">
        <v>0</v>
      </c>
      <c r="CJ9" s="32">
        <v>0</v>
      </c>
      <c r="CK9" s="32">
        <v>0</v>
      </c>
      <c r="CL9" s="32">
        <v>0</v>
      </c>
      <c r="CM9" s="32">
        <v>0</v>
      </c>
      <c r="CN9" s="32">
        <v>0</v>
      </c>
      <c r="CO9" s="32">
        <v>0</v>
      </c>
      <c r="CP9" s="32">
        <v>0</v>
      </c>
      <c r="CQ9" s="32">
        <v>0</v>
      </c>
      <c r="CR9" s="32">
        <v>0</v>
      </c>
      <c r="CS9" s="32">
        <v>0</v>
      </c>
      <c r="CT9" s="32">
        <v>0</v>
      </c>
      <c r="CU9" s="32">
        <v>0</v>
      </c>
      <c r="CV9" s="32">
        <v>0</v>
      </c>
      <c r="CW9" s="32">
        <v>0</v>
      </c>
      <c r="CX9" s="32">
        <v>0</v>
      </c>
      <c r="CY9" s="32">
        <v>0</v>
      </c>
      <c r="CZ9" s="32">
        <v>0</v>
      </c>
      <c r="DA9" s="32">
        <v>0</v>
      </c>
      <c r="DB9" s="32">
        <v>0</v>
      </c>
      <c r="DC9" s="32">
        <v>0</v>
      </c>
      <c r="DD9" s="32">
        <v>0</v>
      </c>
      <c r="DE9" s="32">
        <v>0</v>
      </c>
      <c r="DF9" s="32">
        <v>0</v>
      </c>
      <c r="DG9" s="32">
        <v>0</v>
      </c>
      <c r="DH9" s="32">
        <v>0</v>
      </c>
      <c r="DI9" s="32">
        <v>0</v>
      </c>
      <c r="DJ9" s="32">
        <v>0</v>
      </c>
      <c r="DK9" s="32">
        <v>55.0547752254</v>
      </c>
      <c r="DL9" s="32">
        <v>57.070425289800006</v>
      </c>
      <c r="DM9" s="32">
        <v>69.070425289799999</v>
      </c>
      <c r="DN9" s="32">
        <v>71.086075354200005</v>
      </c>
      <c r="DO9" s="32">
        <v>81.070425289799999</v>
      </c>
      <c r="DP9" s="32">
        <v>83.086075354200005</v>
      </c>
      <c r="DQ9" s="32">
        <v>85.101725418599997</v>
      </c>
      <c r="DR9" s="32">
        <v>95.086075354200005</v>
      </c>
      <c r="DS9" s="32">
        <v>97.101725418599997</v>
      </c>
      <c r="DT9" s="32">
        <v>99.117375483000004</v>
      </c>
      <c r="DU9" s="32">
        <v>109.1017254186</v>
      </c>
      <c r="DV9" s="32">
        <v>111.117375483</v>
      </c>
      <c r="DW9" s="32">
        <v>113.13302554740001</v>
      </c>
      <c r="DX9" s="32">
        <v>123.117375483</v>
      </c>
      <c r="DY9" s="32">
        <v>125.13302554740001</v>
      </c>
      <c r="DZ9" s="32">
        <v>127.1486756118</v>
      </c>
      <c r="EA9" s="32">
        <v>137.1330255474</v>
      </c>
      <c r="EB9" s="32">
        <v>139.1486756118</v>
      </c>
      <c r="EC9" s="32">
        <v>141.16432567620001</v>
      </c>
      <c r="ED9" s="32">
        <v>149.1330255474</v>
      </c>
      <c r="EE9" s="32">
        <v>151.1486756118</v>
      </c>
      <c r="EF9" s="32">
        <v>153.16432567620001</v>
      </c>
      <c r="EG9" s="32">
        <v>155.17997574060001</v>
      </c>
      <c r="EH9" s="32">
        <v>163.1486756118</v>
      </c>
      <c r="EI9" s="32">
        <v>165.16432567620001</v>
      </c>
      <c r="EJ9" s="32">
        <v>167.17997574060001</v>
      </c>
      <c r="EK9" s="32">
        <v>169.19562580499999</v>
      </c>
      <c r="EL9" s="32">
        <v>177.16432567620001</v>
      </c>
      <c r="EM9" s="32">
        <v>179.17997574060001</v>
      </c>
      <c r="EN9" s="32">
        <v>181.19562580499999</v>
      </c>
      <c r="EO9" s="32">
        <v>183.2112758694</v>
      </c>
      <c r="EP9" s="32">
        <v>193.19562580499999</v>
      </c>
      <c r="EQ9" s="32">
        <v>195.2112758694</v>
      </c>
      <c r="ER9" s="32">
        <v>207.2112758694</v>
      </c>
      <c r="ES9" s="32">
        <v>209.2269259338</v>
      </c>
      <c r="ET9" s="32">
        <v>221.2269259338</v>
      </c>
      <c r="EU9" s="32">
        <v>223.24257599820001</v>
      </c>
      <c r="EV9" s="32">
        <v>0</v>
      </c>
      <c r="EW9" s="32">
        <v>0</v>
      </c>
      <c r="EX9" s="32">
        <v>0</v>
      </c>
      <c r="EY9" s="32">
        <v>0</v>
      </c>
      <c r="EZ9" s="32">
        <v>0</v>
      </c>
      <c r="FA9" s="32">
        <v>0</v>
      </c>
      <c r="FB9" s="32">
        <v>0</v>
      </c>
      <c r="FC9" s="32">
        <v>0</v>
      </c>
      <c r="FD9" s="32">
        <v>0</v>
      </c>
      <c r="FE9" s="32">
        <v>0</v>
      </c>
      <c r="FF9" s="32">
        <v>0</v>
      </c>
      <c r="FG9" s="32">
        <v>0</v>
      </c>
      <c r="FH9" s="32">
        <v>0</v>
      </c>
      <c r="FI9" s="32">
        <v>0</v>
      </c>
      <c r="FJ9" s="32">
        <v>0</v>
      </c>
      <c r="FK9" s="32">
        <v>0</v>
      </c>
      <c r="FL9" s="32">
        <v>0</v>
      </c>
      <c r="FM9" s="32">
        <v>0</v>
      </c>
      <c r="FN9" s="32">
        <v>0</v>
      </c>
      <c r="FO9" s="32">
        <v>0</v>
      </c>
      <c r="FP9" s="32">
        <v>0</v>
      </c>
      <c r="FQ9" s="32">
        <v>0</v>
      </c>
      <c r="FR9" s="32">
        <v>0</v>
      </c>
      <c r="FS9" s="32">
        <v>0</v>
      </c>
      <c r="FT9" s="32">
        <v>0</v>
      </c>
      <c r="FU9" s="32">
        <v>0</v>
      </c>
      <c r="FV9" s="32">
        <v>0</v>
      </c>
      <c r="FW9" s="32">
        <v>0</v>
      </c>
      <c r="FX9" s="32">
        <v>0</v>
      </c>
      <c r="FY9" s="32">
        <v>0</v>
      </c>
      <c r="FZ9" s="32">
        <v>0</v>
      </c>
      <c r="GA9" s="3">
        <v>24.3</v>
      </c>
      <c r="GB9" s="32">
        <v>2.4300000000000002</v>
      </c>
      <c r="GC9" s="32">
        <v>0</v>
      </c>
      <c r="GD9" s="32">
        <v>18.05</v>
      </c>
      <c r="GE9" s="32">
        <v>5</v>
      </c>
      <c r="GF9" s="32">
        <v>8.1000000000000014</v>
      </c>
      <c r="GG9" s="32">
        <v>4.0500000000000007</v>
      </c>
      <c r="GH9" s="32">
        <v>0</v>
      </c>
      <c r="GI9" s="32">
        <v>0</v>
      </c>
      <c r="GJ9" s="32">
        <v>0</v>
      </c>
      <c r="GK9" s="32">
        <v>6.48</v>
      </c>
      <c r="GL9" s="32">
        <v>0</v>
      </c>
      <c r="GM9" s="32">
        <v>0</v>
      </c>
      <c r="GN9" s="32">
        <v>0</v>
      </c>
      <c r="GO9" s="32">
        <v>30</v>
      </c>
      <c r="GP9" s="32">
        <v>10</v>
      </c>
      <c r="GQ9" s="32">
        <v>1.6900000000000002</v>
      </c>
      <c r="GR9" s="32">
        <v>5.2899999999999991</v>
      </c>
      <c r="GS9" s="32">
        <v>1</v>
      </c>
      <c r="GT9" s="32">
        <v>26</v>
      </c>
      <c r="GU9" s="32">
        <v>1.0338291173353296</v>
      </c>
      <c r="GV9" s="32">
        <v>51.049562682215743</v>
      </c>
      <c r="GW9" s="32">
        <v>1.5412658773652741</v>
      </c>
      <c r="GX9" s="32">
        <v>91.396501457725947</v>
      </c>
      <c r="GY9" s="32">
        <v>3.7401585041617</v>
      </c>
      <c r="GZ9" s="32">
        <v>2.3381924198250732</v>
      </c>
      <c r="HA9" s="32">
        <v>9.6602540378443855</v>
      </c>
      <c r="HB9" s="32">
        <v>4.1720116618075798</v>
      </c>
      <c r="HC9" s="32">
        <v>7.0823732062775377</v>
      </c>
      <c r="HD9" s="32">
        <v>10.311044327573251</v>
      </c>
      <c r="HE9" s="32">
        <v>5.0747148627992109</v>
      </c>
      <c r="HF9" s="32">
        <v>13.772351615326819</v>
      </c>
      <c r="HG9" s="32">
        <v>3.5660011963983362</v>
      </c>
      <c r="HH9" s="32">
        <v>18</v>
      </c>
      <c r="HI9" s="32">
        <v>2.4849543960638525</v>
      </c>
      <c r="HJ9" s="32">
        <v>13.772351615326819</v>
      </c>
      <c r="HK9" s="32">
        <v>1.7602966507846922</v>
      </c>
      <c r="HL9" s="32">
        <v>10.311044327573251</v>
      </c>
      <c r="HM9" s="32">
        <v>7.5394440270473329</v>
      </c>
      <c r="HN9" s="32">
        <v>5.3809166040570995</v>
      </c>
      <c r="HO9" s="32">
        <v>3.7588279489105929</v>
      </c>
      <c r="HP9" s="32">
        <v>0</v>
      </c>
      <c r="HQ9" s="32">
        <v>0</v>
      </c>
      <c r="HR9" s="32">
        <v>0</v>
      </c>
      <c r="HS9" s="32">
        <v>0</v>
      </c>
      <c r="HT9" s="32">
        <v>0</v>
      </c>
      <c r="HU9" s="32">
        <v>0</v>
      </c>
      <c r="HV9" s="32">
        <v>0</v>
      </c>
      <c r="HW9" s="32">
        <v>0</v>
      </c>
      <c r="HX9" s="32">
        <v>0</v>
      </c>
      <c r="HY9" s="32">
        <v>0</v>
      </c>
      <c r="HZ9" s="32">
        <v>0</v>
      </c>
      <c r="IA9" s="32">
        <v>0</v>
      </c>
      <c r="IB9" s="32">
        <v>0</v>
      </c>
      <c r="IC9" s="32">
        <v>0</v>
      </c>
      <c r="ID9" s="32">
        <v>0</v>
      </c>
      <c r="IE9" s="32">
        <v>0</v>
      </c>
      <c r="IF9" s="32">
        <v>0</v>
      </c>
      <c r="IG9" s="32">
        <v>0</v>
      </c>
      <c r="IH9" s="32">
        <v>0</v>
      </c>
      <c r="II9" s="32">
        <v>0</v>
      </c>
      <c r="IJ9" s="32">
        <v>0</v>
      </c>
      <c r="IK9" s="32">
        <v>0</v>
      </c>
      <c r="IL9" s="32">
        <v>0</v>
      </c>
      <c r="IM9" s="32">
        <v>0</v>
      </c>
      <c r="IN9" s="32">
        <v>0</v>
      </c>
      <c r="IO9" s="32">
        <v>0</v>
      </c>
      <c r="IP9" s="32">
        <v>0</v>
      </c>
      <c r="IQ9" s="32">
        <v>0</v>
      </c>
      <c r="IR9" s="32">
        <v>0</v>
      </c>
      <c r="IS9" s="32">
        <v>0</v>
      </c>
      <c r="IT9" s="32">
        <v>0</v>
      </c>
      <c r="IU9" s="32">
        <v>0</v>
      </c>
      <c r="IV9" s="32">
        <v>0</v>
      </c>
      <c r="IW9" s="32">
        <v>0</v>
      </c>
      <c r="IX9" s="32">
        <v>0</v>
      </c>
      <c r="IY9" s="32">
        <v>0</v>
      </c>
      <c r="IZ9" s="32">
        <v>0</v>
      </c>
      <c r="JA9" s="32">
        <v>0</v>
      </c>
      <c r="JB9" s="32">
        <v>0</v>
      </c>
      <c r="JC9" s="32">
        <v>0</v>
      </c>
      <c r="JD9" s="32">
        <v>0</v>
      </c>
      <c r="JE9" s="32">
        <v>0</v>
      </c>
      <c r="JF9" s="32">
        <v>0</v>
      </c>
      <c r="JG9" s="32">
        <v>0</v>
      </c>
      <c r="JH9" s="32">
        <v>0</v>
      </c>
      <c r="JI9" s="32">
        <v>1</v>
      </c>
      <c r="JJ9" s="32">
        <v>1.925925925925926</v>
      </c>
      <c r="JK9" s="32">
        <v>1.17578125</v>
      </c>
      <c r="JL9" s="32">
        <v>2.8573588165424901</v>
      </c>
      <c r="JM9" s="32">
        <v>1.6911999999999998</v>
      </c>
      <c r="JN9" s="32">
        <v>3.8125</v>
      </c>
      <c r="JO9" s="32">
        <v>4.3773890508584383</v>
      </c>
      <c r="JP9" s="32">
        <v>3.9127111111111117</v>
      </c>
      <c r="JQ9" s="32">
        <v>19.247119618832613</v>
      </c>
      <c r="JR9" s="32">
        <v>1.1486880466472305</v>
      </c>
      <c r="JS9" s="32">
        <v>21</v>
      </c>
      <c r="JT9" s="32">
        <v>26.98076211353316</v>
      </c>
      <c r="JU9" s="32">
        <v>1.7266048918941481</v>
      </c>
      <c r="JV9" s="32">
        <v>13.48590153939948</v>
      </c>
      <c r="JW9" s="32">
        <v>19.247119618832613</v>
      </c>
      <c r="JX9" s="32">
        <v>2.0345604808414723</v>
      </c>
      <c r="JY9" s="32">
        <v>8.3190062490474013</v>
      </c>
      <c r="JZ9" s="32">
        <v>13.224144588397632</v>
      </c>
      <c r="KA9" s="32">
        <v>2.4191501794807575</v>
      </c>
      <c r="KB9" s="32">
        <v>5.5460041660316008</v>
      </c>
      <c r="KC9" s="32">
        <v>4.9506172839506188</v>
      </c>
      <c r="KD9" s="32">
        <v>8.6980035891950074</v>
      </c>
      <c r="KE9" s="32">
        <v>2.8888888888888888</v>
      </c>
      <c r="KF9" s="32">
        <v>3.300411522633746</v>
      </c>
      <c r="KG9" s="32">
        <v>2.9051973784484075</v>
      </c>
      <c r="KH9" s="32">
        <v>5.4548631881915579</v>
      </c>
      <c r="KI9" s="32">
        <v>2.4191501794807575</v>
      </c>
      <c r="KJ9" s="32">
        <v>1.9367982522989384</v>
      </c>
      <c r="KK9" s="32">
        <v>1.7803688462124674</v>
      </c>
      <c r="KL9" s="32">
        <v>3.2808899523540767</v>
      </c>
      <c r="KM9" s="32">
        <v>2.0345604808414723</v>
      </c>
      <c r="KN9" s="32">
        <v>1.2469135802469138</v>
      </c>
      <c r="KO9" s="32">
        <v>1.9622504486493759</v>
      </c>
      <c r="KP9" s="32">
        <v>1.0487730528882793</v>
      </c>
      <c r="KQ9" s="32">
        <v>1.2851112440442596</v>
      </c>
      <c r="KR9" s="32">
        <v>1.0030483158055175</v>
      </c>
      <c r="KS9" s="32">
        <v>1.0356389055055324</v>
      </c>
      <c r="KT9" s="32">
        <v>0</v>
      </c>
      <c r="KU9" s="32">
        <v>0</v>
      </c>
      <c r="KV9" s="32">
        <v>0</v>
      </c>
      <c r="KW9" s="32">
        <v>0</v>
      </c>
      <c r="KX9" s="32">
        <v>0</v>
      </c>
      <c r="KY9" s="32">
        <v>0</v>
      </c>
      <c r="KZ9" s="32">
        <v>0</v>
      </c>
      <c r="LA9" s="32">
        <v>0</v>
      </c>
      <c r="LB9" s="32">
        <v>0</v>
      </c>
      <c r="LC9" s="32">
        <v>0</v>
      </c>
      <c r="LD9" s="32">
        <v>0</v>
      </c>
      <c r="LE9" s="32">
        <v>0</v>
      </c>
      <c r="LF9" s="32">
        <v>0</v>
      </c>
      <c r="LG9" s="32">
        <v>0</v>
      </c>
      <c r="LH9" s="32">
        <v>0</v>
      </c>
      <c r="LI9" s="32">
        <v>0</v>
      </c>
      <c r="LJ9" s="32">
        <v>0</v>
      </c>
      <c r="LK9" s="32">
        <v>0</v>
      </c>
      <c r="LL9" s="32">
        <v>0</v>
      </c>
      <c r="LM9" s="32">
        <v>0</v>
      </c>
      <c r="LN9" s="32">
        <v>0</v>
      </c>
      <c r="LO9" s="32">
        <v>0</v>
      </c>
      <c r="LP9" s="32">
        <v>0</v>
      </c>
      <c r="LQ9" s="32">
        <v>0</v>
      </c>
      <c r="LR9" s="32">
        <v>0</v>
      </c>
      <c r="LS9" s="32">
        <v>0</v>
      </c>
      <c r="LT9" s="32">
        <v>0</v>
      </c>
      <c r="LU9" s="32">
        <v>0</v>
      </c>
      <c r="LV9" s="32">
        <v>0</v>
      </c>
      <c r="LW9" s="32">
        <v>0</v>
      </c>
      <c r="LX9" s="32">
        <v>0</v>
      </c>
    </row>
    <row r="10" spans="1:337" s="32" customFormat="1" ht="14.25" x14ac:dyDescent="0.2">
      <c r="A10" s="5">
        <v>4</v>
      </c>
      <c r="B10" s="27" t="s">
        <v>672</v>
      </c>
      <c r="C10" s="27" t="s">
        <v>307</v>
      </c>
      <c r="D10" s="27" t="s">
        <v>308</v>
      </c>
      <c r="E10" s="27" t="s">
        <v>307</v>
      </c>
      <c r="F10" s="28" t="s">
        <v>309</v>
      </c>
      <c r="G10" s="28" t="s">
        <v>310</v>
      </c>
      <c r="H10" s="29">
        <v>-1</v>
      </c>
      <c r="I10" s="30">
        <v>3.11</v>
      </c>
      <c r="J10" s="31">
        <v>12.933964498000002</v>
      </c>
      <c r="K10" s="29" t="s">
        <v>311</v>
      </c>
      <c r="L10" s="16">
        <v>0</v>
      </c>
      <c r="M10" s="16">
        <v>2</v>
      </c>
      <c r="N10" s="27" t="s">
        <v>307</v>
      </c>
      <c r="O10" s="27">
        <v>0</v>
      </c>
      <c r="P10" s="27">
        <v>0</v>
      </c>
      <c r="Q10" s="27">
        <v>0</v>
      </c>
      <c r="R10" s="27">
        <v>0</v>
      </c>
      <c r="S10" s="27">
        <v>0</v>
      </c>
      <c r="T10" s="27">
        <v>20</v>
      </c>
      <c r="U10" s="27">
        <v>0</v>
      </c>
      <c r="V10" s="27">
        <v>20</v>
      </c>
      <c r="W10" s="27">
        <v>3</v>
      </c>
      <c r="X10" s="27" t="s">
        <v>307</v>
      </c>
      <c r="Y10" s="17">
        <v>520.31670682100003</v>
      </c>
      <c r="Z10" s="17">
        <v>502.30614682100003</v>
      </c>
      <c r="AA10" s="17">
        <v>526.36362682100003</v>
      </c>
      <c r="AB10" s="17">
        <v>508.35306682100003</v>
      </c>
      <c r="AC10" s="17">
        <v>801.63732682099999</v>
      </c>
      <c r="AD10" s="17">
        <v>727.60054738860003</v>
      </c>
      <c r="AE10" s="17">
        <v>0</v>
      </c>
      <c r="AF10" s="17">
        <v>527.3712757262</v>
      </c>
      <c r="AG10" s="17">
        <v>453.33449629379999</v>
      </c>
      <c r="AH10" s="17">
        <v>339.36268610079998</v>
      </c>
      <c r="AI10" s="17">
        <v>357.37325078479995</v>
      </c>
      <c r="AJ10" s="17">
        <v>0</v>
      </c>
      <c r="AK10" s="17">
        <v>0</v>
      </c>
      <c r="AL10" s="17">
        <v>555.58686738279994</v>
      </c>
      <c r="AM10" s="17">
        <v>247.0582794382</v>
      </c>
      <c r="AN10" s="17">
        <v>229.0477147542</v>
      </c>
      <c r="AO10" s="17">
        <v>0</v>
      </c>
      <c r="AP10" s="17">
        <v>0</v>
      </c>
      <c r="AQ10" s="17">
        <v>173.021500038</v>
      </c>
      <c r="AR10" s="17">
        <v>155.010935354</v>
      </c>
      <c r="AS10" s="32">
        <v>281.32082128799999</v>
      </c>
      <c r="AT10" s="32">
        <v>275.27387109479997</v>
      </c>
      <c r="AU10" s="32">
        <v>55.0547752254</v>
      </c>
      <c r="AV10" s="32">
        <v>57.070425289800006</v>
      </c>
      <c r="AW10" s="32">
        <v>69.070425289799999</v>
      </c>
      <c r="AX10" s="32">
        <v>71.086075354200005</v>
      </c>
      <c r="AY10" s="32">
        <v>83.086075354200005</v>
      </c>
      <c r="AZ10" s="32">
        <v>85.101725418599997</v>
      </c>
      <c r="BA10" s="32">
        <v>97.101725418599997</v>
      </c>
      <c r="BB10" s="32">
        <v>99.117375483000004</v>
      </c>
      <c r="BC10" s="32">
        <v>111.117375483</v>
      </c>
      <c r="BD10" s="32">
        <v>113.13302554740001</v>
      </c>
      <c r="BE10" s="32">
        <v>125.13302554740001</v>
      </c>
      <c r="BF10" s="32">
        <v>127.1486756118</v>
      </c>
      <c r="BG10" s="32">
        <v>139.1486756118</v>
      </c>
      <c r="BH10" s="32">
        <v>141.16432567620001</v>
      </c>
      <c r="BI10" s="32">
        <v>153.16432567620001</v>
      </c>
      <c r="BJ10" s="32">
        <v>155.17997574060001</v>
      </c>
      <c r="BK10" s="32">
        <v>167.17997574060001</v>
      </c>
      <c r="BL10" s="32">
        <v>169.19562580499999</v>
      </c>
      <c r="BM10" s="32">
        <v>181.19562580499999</v>
      </c>
      <c r="BN10" s="32">
        <v>183.2112758694</v>
      </c>
      <c r="BO10" s="32">
        <v>197.2269259338</v>
      </c>
      <c r="BP10" s="32">
        <v>211.24257599820001</v>
      </c>
      <c r="BQ10" s="32">
        <v>225.25822606260002</v>
      </c>
      <c r="BR10" s="32">
        <v>0</v>
      </c>
      <c r="BS10" s="32">
        <v>0</v>
      </c>
      <c r="BT10" s="32">
        <v>0</v>
      </c>
      <c r="BU10" s="32">
        <v>0</v>
      </c>
      <c r="BV10" s="32">
        <v>0</v>
      </c>
      <c r="BW10" s="32">
        <v>0</v>
      </c>
      <c r="BX10" s="32">
        <v>0</v>
      </c>
      <c r="BY10" s="32">
        <v>0</v>
      </c>
      <c r="BZ10" s="32">
        <v>0</v>
      </c>
      <c r="CA10" s="32">
        <v>0</v>
      </c>
      <c r="CB10" s="32">
        <v>0</v>
      </c>
      <c r="CC10" s="32">
        <v>0</v>
      </c>
      <c r="CD10" s="32">
        <v>0</v>
      </c>
      <c r="CE10" s="32">
        <v>0</v>
      </c>
      <c r="CF10" s="32">
        <v>0</v>
      </c>
      <c r="CG10" s="32">
        <v>0</v>
      </c>
      <c r="CH10" s="32">
        <v>0</v>
      </c>
      <c r="CI10" s="32">
        <v>0</v>
      </c>
      <c r="CJ10" s="32">
        <v>0</v>
      </c>
      <c r="CK10" s="32">
        <v>0</v>
      </c>
      <c r="CL10" s="32">
        <v>0</v>
      </c>
      <c r="CM10" s="32">
        <v>0</v>
      </c>
      <c r="CN10" s="32">
        <v>0</v>
      </c>
      <c r="CO10" s="32">
        <v>0</v>
      </c>
      <c r="CP10" s="32">
        <v>0</v>
      </c>
      <c r="CQ10" s="32">
        <v>0</v>
      </c>
      <c r="CR10" s="32">
        <v>0</v>
      </c>
      <c r="CS10" s="32">
        <v>0</v>
      </c>
      <c r="CT10" s="32">
        <v>0</v>
      </c>
      <c r="CU10" s="32">
        <v>0</v>
      </c>
      <c r="CV10" s="32">
        <v>0</v>
      </c>
      <c r="CW10" s="32">
        <v>0</v>
      </c>
      <c r="CX10" s="32">
        <v>0</v>
      </c>
      <c r="CY10" s="32">
        <v>0</v>
      </c>
      <c r="CZ10" s="32">
        <v>0</v>
      </c>
      <c r="DA10" s="32">
        <v>0</v>
      </c>
      <c r="DB10" s="32">
        <v>0</v>
      </c>
      <c r="DC10" s="32">
        <v>0</v>
      </c>
      <c r="DD10" s="32">
        <v>0</v>
      </c>
      <c r="DE10" s="32">
        <v>0</v>
      </c>
      <c r="DF10" s="32">
        <v>0</v>
      </c>
      <c r="DG10" s="32">
        <v>0</v>
      </c>
      <c r="DH10" s="32">
        <v>0</v>
      </c>
      <c r="DI10" s="32">
        <v>0</v>
      </c>
      <c r="DJ10" s="32">
        <v>0</v>
      </c>
      <c r="DK10" s="32">
        <v>55.0547752254</v>
      </c>
      <c r="DL10" s="32">
        <v>57.070425289800006</v>
      </c>
      <c r="DM10" s="32">
        <v>69.070425289799999</v>
      </c>
      <c r="DN10" s="32">
        <v>71.086075354200005</v>
      </c>
      <c r="DO10" s="32">
        <v>81.070425289799999</v>
      </c>
      <c r="DP10" s="32">
        <v>83.086075354200005</v>
      </c>
      <c r="DQ10" s="32">
        <v>85.101725418599997</v>
      </c>
      <c r="DR10" s="32">
        <v>95.086075354200005</v>
      </c>
      <c r="DS10" s="32">
        <v>97.101725418599997</v>
      </c>
      <c r="DT10" s="32">
        <v>99.117375483000004</v>
      </c>
      <c r="DU10" s="32">
        <v>109.1017254186</v>
      </c>
      <c r="DV10" s="32">
        <v>111.117375483</v>
      </c>
      <c r="DW10" s="32">
        <v>113.13302554740001</v>
      </c>
      <c r="DX10" s="32">
        <v>123.117375483</v>
      </c>
      <c r="DY10" s="32">
        <v>125.13302554740001</v>
      </c>
      <c r="DZ10" s="32">
        <v>137.1330255474</v>
      </c>
      <c r="EA10" s="32">
        <v>139.1486756118</v>
      </c>
      <c r="EB10" s="32">
        <v>149.1330255474</v>
      </c>
      <c r="EC10" s="32">
        <v>151.1486756118</v>
      </c>
      <c r="ED10" s="32">
        <v>153.16432567620001</v>
      </c>
      <c r="EE10" s="32">
        <v>163.1486756118</v>
      </c>
      <c r="EF10" s="32">
        <v>165.16432567620001</v>
      </c>
      <c r="EG10" s="32">
        <v>167.17997574060001</v>
      </c>
      <c r="EH10" s="32">
        <v>177.16432567620001</v>
      </c>
      <c r="EI10" s="32">
        <v>179.17997574060001</v>
      </c>
      <c r="EJ10" s="32">
        <v>181.19562580499999</v>
      </c>
      <c r="EK10" s="32">
        <v>191.17997574060001</v>
      </c>
      <c r="EL10" s="32">
        <v>193.19562580499999</v>
      </c>
      <c r="EM10" s="32">
        <v>205.19562580499999</v>
      </c>
      <c r="EN10" s="32">
        <v>207.2112758694</v>
      </c>
      <c r="EO10" s="32">
        <v>219.2112758694</v>
      </c>
      <c r="EP10" s="32">
        <v>221.2269259338</v>
      </c>
      <c r="EQ10" s="32">
        <v>0</v>
      </c>
      <c r="ER10" s="32">
        <v>0</v>
      </c>
      <c r="ES10" s="32">
        <v>0</v>
      </c>
      <c r="ET10" s="32">
        <v>0</v>
      </c>
      <c r="EU10" s="32">
        <v>0</v>
      </c>
      <c r="EV10" s="32">
        <v>0</v>
      </c>
      <c r="EW10" s="32">
        <v>0</v>
      </c>
      <c r="EX10" s="32">
        <v>0</v>
      </c>
      <c r="EY10" s="32">
        <v>0</v>
      </c>
      <c r="EZ10" s="32">
        <v>0</v>
      </c>
      <c r="FA10" s="32">
        <v>0</v>
      </c>
      <c r="FB10" s="32">
        <v>0</v>
      </c>
      <c r="FC10" s="32">
        <v>0</v>
      </c>
      <c r="FD10" s="32">
        <v>0</v>
      </c>
      <c r="FE10" s="32">
        <v>0</v>
      </c>
      <c r="FF10" s="32">
        <v>0</v>
      </c>
      <c r="FG10" s="32">
        <v>0</v>
      </c>
      <c r="FH10" s="32">
        <v>0</v>
      </c>
      <c r="FI10" s="32">
        <v>0</v>
      </c>
      <c r="FJ10" s="32">
        <v>0</v>
      </c>
      <c r="FK10" s="32">
        <v>0</v>
      </c>
      <c r="FL10" s="32">
        <v>0</v>
      </c>
      <c r="FM10" s="32">
        <v>0</v>
      </c>
      <c r="FN10" s="32">
        <v>0</v>
      </c>
      <c r="FO10" s="32">
        <v>0</v>
      </c>
      <c r="FP10" s="32">
        <v>0</v>
      </c>
      <c r="FQ10" s="32">
        <v>0</v>
      </c>
      <c r="FR10" s="32">
        <v>0</v>
      </c>
      <c r="FS10" s="32">
        <v>0</v>
      </c>
      <c r="FT10" s="32">
        <v>0</v>
      </c>
      <c r="FU10" s="32">
        <v>0</v>
      </c>
      <c r="FV10" s="32">
        <v>0</v>
      </c>
      <c r="FW10" s="32">
        <v>0</v>
      </c>
      <c r="FX10" s="32">
        <v>0</v>
      </c>
      <c r="FY10" s="32">
        <v>0</v>
      </c>
      <c r="FZ10" s="32">
        <v>0</v>
      </c>
      <c r="GA10" s="3">
        <v>21.870000000000005</v>
      </c>
      <c r="GB10" s="32">
        <v>2.1870000000000003</v>
      </c>
      <c r="GC10" s="32">
        <v>0</v>
      </c>
      <c r="GD10" s="32">
        <v>17.147499999999997</v>
      </c>
      <c r="GE10" s="32">
        <v>5</v>
      </c>
      <c r="GF10" s="32">
        <v>7.2900000000000009</v>
      </c>
      <c r="GG10" s="32">
        <v>3.6450000000000005</v>
      </c>
      <c r="GH10" s="32">
        <v>0</v>
      </c>
      <c r="GI10" s="32">
        <v>0</v>
      </c>
      <c r="GJ10" s="32">
        <v>0</v>
      </c>
      <c r="GK10" s="32">
        <v>11.664000000000001</v>
      </c>
      <c r="GL10" s="32">
        <v>0</v>
      </c>
      <c r="GM10" s="32">
        <v>0</v>
      </c>
      <c r="GN10" s="32">
        <v>0</v>
      </c>
      <c r="GO10" s="32">
        <v>30</v>
      </c>
      <c r="GP10" s="32">
        <v>10</v>
      </c>
      <c r="GQ10" s="32">
        <v>2.1970000000000005</v>
      </c>
      <c r="GR10" s="32">
        <v>12.166999999999996</v>
      </c>
      <c r="GS10" s="32">
        <v>1</v>
      </c>
      <c r="GT10" s="32">
        <v>26</v>
      </c>
      <c r="GU10" s="32">
        <v>1.0338291173353296</v>
      </c>
      <c r="GV10" s="32">
        <v>51.049562682215743</v>
      </c>
      <c r="GW10" s="32">
        <v>1.5412658773652741</v>
      </c>
      <c r="GX10" s="32">
        <v>91.396501457725947</v>
      </c>
      <c r="GY10" s="32">
        <v>3.7401585041617</v>
      </c>
      <c r="GZ10" s="32">
        <v>2.3381924198250732</v>
      </c>
      <c r="HA10" s="32">
        <v>9.6602540378443855</v>
      </c>
      <c r="HB10" s="32">
        <v>4.1720116618075798</v>
      </c>
      <c r="HC10" s="32">
        <v>7.0823732062775377</v>
      </c>
      <c r="HD10" s="32">
        <v>10.311044327573251</v>
      </c>
      <c r="HE10" s="32">
        <v>5.0747148627992109</v>
      </c>
      <c r="HF10" s="32">
        <v>13.772351615326819</v>
      </c>
      <c r="HG10" s="32">
        <v>3.5660011963983362</v>
      </c>
      <c r="HH10" s="32">
        <v>18</v>
      </c>
      <c r="HI10" s="32">
        <v>2.4849543960638525</v>
      </c>
      <c r="HJ10" s="32">
        <v>13.772351615326819</v>
      </c>
      <c r="HK10" s="32">
        <v>1.7602966507846922</v>
      </c>
      <c r="HL10" s="32">
        <v>10.311044327573251</v>
      </c>
      <c r="HM10" s="32">
        <v>7.5394440270473329</v>
      </c>
      <c r="HN10" s="32">
        <v>5.3809166040570995</v>
      </c>
      <c r="HO10" s="32">
        <v>3.7588279489105929</v>
      </c>
      <c r="HP10" s="32">
        <v>0</v>
      </c>
      <c r="HQ10" s="32">
        <v>0</v>
      </c>
      <c r="HR10" s="32">
        <v>0</v>
      </c>
      <c r="HS10" s="32">
        <v>0</v>
      </c>
      <c r="HT10" s="32">
        <v>0</v>
      </c>
      <c r="HU10" s="32">
        <v>0</v>
      </c>
      <c r="HV10" s="32">
        <v>0</v>
      </c>
      <c r="HW10" s="32">
        <v>0</v>
      </c>
      <c r="HX10" s="32">
        <v>0</v>
      </c>
      <c r="HY10" s="32">
        <v>0</v>
      </c>
      <c r="HZ10" s="32">
        <v>0</v>
      </c>
      <c r="IA10" s="32">
        <v>0</v>
      </c>
      <c r="IB10" s="32">
        <v>0</v>
      </c>
      <c r="IC10" s="32">
        <v>0</v>
      </c>
      <c r="ID10" s="32">
        <v>0</v>
      </c>
      <c r="IE10" s="32">
        <v>0</v>
      </c>
      <c r="IF10" s="32">
        <v>0</v>
      </c>
      <c r="IG10" s="32">
        <v>0</v>
      </c>
      <c r="IH10" s="32">
        <v>0</v>
      </c>
      <c r="II10" s="32">
        <v>0</v>
      </c>
      <c r="IJ10" s="32">
        <v>0</v>
      </c>
      <c r="IK10" s="32">
        <v>0</v>
      </c>
      <c r="IL10" s="32">
        <v>0</v>
      </c>
      <c r="IM10" s="32">
        <v>0</v>
      </c>
      <c r="IN10" s="32">
        <v>0</v>
      </c>
      <c r="IO10" s="32">
        <v>0</v>
      </c>
      <c r="IP10" s="32">
        <v>0</v>
      </c>
      <c r="IQ10" s="32">
        <v>0</v>
      </c>
      <c r="IR10" s="32">
        <v>0</v>
      </c>
      <c r="IS10" s="32">
        <v>0</v>
      </c>
      <c r="IT10" s="32">
        <v>0</v>
      </c>
      <c r="IU10" s="32">
        <v>0</v>
      </c>
      <c r="IV10" s="32">
        <v>0</v>
      </c>
      <c r="IW10" s="32">
        <v>0</v>
      </c>
      <c r="IX10" s="32">
        <v>0</v>
      </c>
      <c r="IY10" s="32">
        <v>0</v>
      </c>
      <c r="IZ10" s="32">
        <v>0</v>
      </c>
      <c r="JA10" s="32">
        <v>0</v>
      </c>
      <c r="JB10" s="32">
        <v>0</v>
      </c>
      <c r="JC10" s="32">
        <v>0</v>
      </c>
      <c r="JD10" s="32">
        <v>0</v>
      </c>
      <c r="JE10" s="32">
        <v>0</v>
      </c>
      <c r="JF10" s="32">
        <v>0</v>
      </c>
      <c r="JG10" s="32">
        <v>0</v>
      </c>
      <c r="JH10" s="32">
        <v>0</v>
      </c>
      <c r="JI10" s="32">
        <v>1</v>
      </c>
      <c r="JJ10" s="32">
        <v>1.390625</v>
      </c>
      <c r="JK10" s="32">
        <v>1.095683193077468</v>
      </c>
      <c r="JL10" s="32">
        <v>1.784347667638484</v>
      </c>
      <c r="JM10" s="32">
        <v>2.5551999999999997</v>
      </c>
      <c r="JN10" s="32">
        <v>2.5309310892394863</v>
      </c>
      <c r="JO10" s="32">
        <v>2.4310313411078717</v>
      </c>
      <c r="JP10" s="32">
        <v>7.5536000000000012</v>
      </c>
      <c r="JQ10" s="32">
        <v>13.164746412555075</v>
      </c>
      <c r="JR10" s="32">
        <v>1.0836370262390671</v>
      </c>
      <c r="JS10" s="32">
        <v>36.555555555555557</v>
      </c>
      <c r="JT10" s="32">
        <v>18.320508075688771</v>
      </c>
      <c r="JU10" s="32">
        <v>1.4087152516904582</v>
      </c>
      <c r="JV10" s="32">
        <v>23.19715829226574</v>
      </c>
      <c r="JW10" s="32">
        <v>13.164746412555075</v>
      </c>
      <c r="JX10" s="32">
        <v>14.011566664973158</v>
      </c>
      <c r="JY10" s="32">
        <v>9.1494297255984218</v>
      </c>
      <c r="JZ10" s="32">
        <v>8.7764976083700503</v>
      </c>
      <c r="KA10" s="32">
        <v>8.0233196159122109</v>
      </c>
      <c r="KB10" s="32">
        <v>6.1320023927966725</v>
      </c>
      <c r="KC10" s="32">
        <v>5.8509984055800333</v>
      </c>
      <c r="KD10" s="32">
        <v>4.3870175616860578</v>
      </c>
      <c r="KE10" s="32">
        <v>3.969908792127705</v>
      </c>
      <c r="KF10" s="32">
        <v>3.900665603720022</v>
      </c>
      <c r="KG10" s="32">
        <v>2.3873223932666088</v>
      </c>
      <c r="KH10" s="32">
        <v>2.5205933015693844</v>
      </c>
      <c r="KI10" s="32">
        <v>2.6004437358133479</v>
      </c>
      <c r="KJ10" s="32">
        <v>1.4389574759945132</v>
      </c>
      <c r="KK10" s="32">
        <v>1.6803955343795896</v>
      </c>
      <c r="KL10" s="32">
        <v>1.086707649579163</v>
      </c>
      <c r="KM10" s="32">
        <v>0.95930498399634212</v>
      </c>
      <c r="KN10" s="32">
        <v>1.0054192280986978</v>
      </c>
      <c r="KO10" s="32">
        <v>0</v>
      </c>
      <c r="KP10" s="32">
        <v>0</v>
      </c>
      <c r="KQ10" s="32">
        <v>0</v>
      </c>
      <c r="KR10" s="32">
        <v>0</v>
      </c>
      <c r="KS10" s="32">
        <v>0</v>
      </c>
      <c r="KT10" s="32">
        <v>0</v>
      </c>
      <c r="KU10" s="32">
        <v>0</v>
      </c>
      <c r="KV10" s="32">
        <v>0</v>
      </c>
      <c r="KW10" s="32">
        <v>0</v>
      </c>
      <c r="KX10" s="32">
        <v>0</v>
      </c>
      <c r="KY10" s="32">
        <v>0</v>
      </c>
      <c r="KZ10" s="32">
        <v>0</v>
      </c>
      <c r="LA10" s="32">
        <v>0</v>
      </c>
      <c r="LB10" s="32">
        <v>0</v>
      </c>
      <c r="LC10" s="32">
        <v>0</v>
      </c>
      <c r="LD10" s="32">
        <v>0</v>
      </c>
      <c r="LE10" s="32">
        <v>0</v>
      </c>
      <c r="LF10" s="32">
        <v>0</v>
      </c>
      <c r="LG10" s="32">
        <v>0</v>
      </c>
      <c r="LH10" s="32">
        <v>0</v>
      </c>
      <c r="LI10" s="32">
        <v>0</v>
      </c>
      <c r="LJ10" s="32">
        <v>0</v>
      </c>
      <c r="LK10" s="32">
        <v>0</v>
      </c>
      <c r="LL10" s="32">
        <v>0</v>
      </c>
      <c r="LM10" s="32">
        <v>0</v>
      </c>
      <c r="LN10" s="32">
        <v>0</v>
      </c>
      <c r="LO10" s="32">
        <v>0</v>
      </c>
      <c r="LP10" s="32">
        <v>0</v>
      </c>
      <c r="LQ10" s="32">
        <v>0</v>
      </c>
      <c r="LR10" s="32">
        <v>0</v>
      </c>
      <c r="LS10" s="32">
        <v>0</v>
      </c>
      <c r="LT10" s="32">
        <v>0</v>
      </c>
      <c r="LU10" s="32">
        <v>0</v>
      </c>
      <c r="LV10" s="32">
        <v>0</v>
      </c>
      <c r="LW10" s="32">
        <v>0</v>
      </c>
      <c r="LX10" s="32">
        <v>0</v>
      </c>
    </row>
    <row r="11" spans="1:337" s="32" customFormat="1" ht="14.25" x14ac:dyDescent="0.2">
      <c r="A11" s="5">
        <v>5</v>
      </c>
      <c r="B11" s="27" t="s">
        <v>673</v>
      </c>
      <c r="C11" s="27" t="s">
        <v>312</v>
      </c>
      <c r="D11" s="27" t="s">
        <v>313</v>
      </c>
      <c r="E11" s="27" t="s">
        <v>312</v>
      </c>
      <c r="F11" s="28" t="s">
        <v>314</v>
      </c>
      <c r="G11" s="28" t="s">
        <v>315</v>
      </c>
      <c r="H11" s="29">
        <v>-1</v>
      </c>
      <c r="I11" s="30">
        <v>2.1</v>
      </c>
      <c r="J11" s="31">
        <v>12.528385016666668</v>
      </c>
      <c r="K11" s="29" t="s">
        <v>316</v>
      </c>
      <c r="L11" s="16">
        <v>0</v>
      </c>
      <c r="M11" s="16">
        <v>2</v>
      </c>
      <c r="N11" s="27" t="s">
        <v>312</v>
      </c>
      <c r="O11" s="27">
        <v>0</v>
      </c>
      <c r="P11" s="27">
        <v>0</v>
      </c>
      <c r="Q11" s="27">
        <v>0</v>
      </c>
      <c r="R11" s="27">
        <v>0</v>
      </c>
      <c r="S11" s="27">
        <v>0</v>
      </c>
      <c r="T11" s="27">
        <v>20</v>
      </c>
      <c r="U11" s="27">
        <v>0</v>
      </c>
      <c r="V11" s="27">
        <v>20</v>
      </c>
      <c r="W11" s="27">
        <v>4</v>
      </c>
      <c r="X11" s="27" t="s">
        <v>312</v>
      </c>
      <c r="Y11" s="17">
        <v>518.30105675660002</v>
      </c>
      <c r="Z11" s="17">
        <v>500.29049675660002</v>
      </c>
      <c r="AA11" s="17">
        <v>526.36361675659987</v>
      </c>
      <c r="AB11" s="17">
        <v>508.35305675659987</v>
      </c>
      <c r="AC11" s="17">
        <v>799.62167675659998</v>
      </c>
      <c r="AD11" s="17">
        <v>725.58489732420003</v>
      </c>
      <c r="AE11" s="17">
        <v>0</v>
      </c>
      <c r="AF11" s="17">
        <v>527.3712757262</v>
      </c>
      <c r="AG11" s="17">
        <v>453.33449629379999</v>
      </c>
      <c r="AH11" s="17">
        <v>339.36268610079998</v>
      </c>
      <c r="AI11" s="17">
        <v>357.37325078479995</v>
      </c>
      <c r="AJ11" s="17">
        <v>0</v>
      </c>
      <c r="AK11" s="17">
        <v>0</v>
      </c>
      <c r="AL11" s="17">
        <v>553.57121731839993</v>
      </c>
      <c r="AM11" s="17">
        <v>247.0582794382</v>
      </c>
      <c r="AN11" s="17">
        <v>229.0477147542</v>
      </c>
      <c r="AO11" s="17">
        <v>0</v>
      </c>
      <c r="AP11" s="17">
        <v>0</v>
      </c>
      <c r="AQ11" s="17">
        <v>173.021500038</v>
      </c>
      <c r="AR11" s="17">
        <v>155.010935354</v>
      </c>
      <c r="AS11" s="32">
        <v>281.32082128799999</v>
      </c>
      <c r="AT11" s="32">
        <v>273.25822103039997</v>
      </c>
      <c r="AU11" s="32">
        <v>55.0547752254</v>
      </c>
      <c r="AV11" s="32">
        <v>57.070425289800006</v>
      </c>
      <c r="AW11" s="32">
        <v>69.070425289799999</v>
      </c>
      <c r="AX11" s="32">
        <v>71.086075354200005</v>
      </c>
      <c r="AY11" s="32">
        <v>83.086075354200005</v>
      </c>
      <c r="AZ11" s="32">
        <v>85.101725418599997</v>
      </c>
      <c r="BA11" s="32">
        <v>97.101725418599997</v>
      </c>
      <c r="BB11" s="32">
        <v>99.117375483000004</v>
      </c>
      <c r="BC11" s="32">
        <v>111.117375483</v>
      </c>
      <c r="BD11" s="32">
        <v>113.13302554740001</v>
      </c>
      <c r="BE11" s="32">
        <v>125.13302554740001</v>
      </c>
      <c r="BF11" s="32">
        <v>127.1486756118</v>
      </c>
      <c r="BG11" s="32">
        <v>139.1486756118</v>
      </c>
      <c r="BH11" s="32">
        <v>141.16432567620001</v>
      </c>
      <c r="BI11" s="32">
        <v>153.16432567620001</v>
      </c>
      <c r="BJ11" s="32">
        <v>155.17997574060001</v>
      </c>
      <c r="BK11" s="32">
        <v>167.17997574060001</v>
      </c>
      <c r="BL11" s="32">
        <v>169.19562580499999</v>
      </c>
      <c r="BM11" s="32">
        <v>181.19562580499999</v>
      </c>
      <c r="BN11" s="32">
        <v>183.2112758694</v>
      </c>
      <c r="BO11" s="32">
        <v>197.2269259338</v>
      </c>
      <c r="BP11" s="32">
        <v>211.24257599820001</v>
      </c>
      <c r="BQ11" s="32">
        <v>225.25822606260002</v>
      </c>
      <c r="BR11" s="32">
        <v>0</v>
      </c>
      <c r="BS11" s="32">
        <v>0</v>
      </c>
      <c r="BT11" s="32">
        <v>0</v>
      </c>
      <c r="BU11" s="32">
        <v>0</v>
      </c>
      <c r="BV11" s="32">
        <v>0</v>
      </c>
      <c r="BW11" s="32">
        <v>0</v>
      </c>
      <c r="BX11" s="32">
        <v>0</v>
      </c>
      <c r="BY11" s="32">
        <v>0</v>
      </c>
      <c r="BZ11" s="32">
        <v>0</v>
      </c>
      <c r="CA11" s="32">
        <v>0</v>
      </c>
      <c r="CB11" s="32">
        <v>0</v>
      </c>
      <c r="CC11" s="32">
        <v>0</v>
      </c>
      <c r="CD11" s="32">
        <v>0</v>
      </c>
      <c r="CE11" s="32">
        <v>0</v>
      </c>
      <c r="CF11" s="32">
        <v>0</v>
      </c>
      <c r="CG11" s="32">
        <v>0</v>
      </c>
      <c r="CH11" s="32">
        <v>0</v>
      </c>
      <c r="CI11" s="32">
        <v>0</v>
      </c>
      <c r="CJ11" s="32">
        <v>0</v>
      </c>
      <c r="CK11" s="32">
        <v>0</v>
      </c>
      <c r="CL11" s="32">
        <v>0</v>
      </c>
      <c r="CM11" s="32">
        <v>0</v>
      </c>
      <c r="CN11" s="32">
        <v>0</v>
      </c>
      <c r="CO11" s="32">
        <v>0</v>
      </c>
      <c r="CP11" s="32">
        <v>0</v>
      </c>
      <c r="CQ11" s="32">
        <v>0</v>
      </c>
      <c r="CR11" s="32">
        <v>0</v>
      </c>
      <c r="CS11" s="32">
        <v>0</v>
      </c>
      <c r="CT11" s="32">
        <v>0</v>
      </c>
      <c r="CU11" s="32">
        <v>0</v>
      </c>
      <c r="CV11" s="32">
        <v>0</v>
      </c>
      <c r="CW11" s="32">
        <v>0</v>
      </c>
      <c r="CX11" s="32">
        <v>0</v>
      </c>
      <c r="CY11" s="32">
        <v>0</v>
      </c>
      <c r="CZ11" s="32">
        <v>0</v>
      </c>
      <c r="DA11" s="32">
        <v>0</v>
      </c>
      <c r="DB11" s="32">
        <v>0</v>
      </c>
      <c r="DC11" s="32">
        <v>0</v>
      </c>
      <c r="DD11" s="32">
        <v>0</v>
      </c>
      <c r="DE11" s="32">
        <v>0</v>
      </c>
      <c r="DF11" s="32">
        <v>0</v>
      </c>
      <c r="DG11" s="32">
        <v>0</v>
      </c>
      <c r="DH11" s="32">
        <v>0</v>
      </c>
      <c r="DI11" s="32">
        <v>0</v>
      </c>
      <c r="DJ11" s="32">
        <v>0</v>
      </c>
      <c r="DK11" s="32">
        <v>55.0547752254</v>
      </c>
      <c r="DL11" s="32">
        <v>69.070425289799999</v>
      </c>
      <c r="DM11" s="32">
        <v>81.070425289799999</v>
      </c>
      <c r="DN11" s="32">
        <v>83.086075354200005</v>
      </c>
      <c r="DO11" s="32">
        <v>95.086075354200005</v>
      </c>
      <c r="DP11" s="32">
        <v>97.101725418599997</v>
      </c>
      <c r="DQ11" s="32">
        <v>109.1017254186</v>
      </c>
      <c r="DR11" s="32">
        <v>111.117375483</v>
      </c>
      <c r="DS11" s="32">
        <v>123.117375483</v>
      </c>
      <c r="DT11" s="32">
        <v>137.1330255474</v>
      </c>
      <c r="DU11" s="32">
        <v>149.1330255474</v>
      </c>
      <c r="DV11" s="32">
        <v>151.1486756118</v>
      </c>
      <c r="DW11" s="32">
        <v>163.1486756118</v>
      </c>
      <c r="DX11" s="32">
        <v>165.16432567620001</v>
      </c>
      <c r="DY11" s="32">
        <v>177.16432567620001</v>
      </c>
      <c r="DZ11" s="32">
        <v>179.17997574060001</v>
      </c>
      <c r="EA11" s="32">
        <v>191.17997574060001</v>
      </c>
      <c r="EB11" s="32">
        <v>205.19562580499999</v>
      </c>
      <c r="EC11" s="32">
        <v>217.19562580499999</v>
      </c>
      <c r="ED11" s="32">
        <v>219.2112758694</v>
      </c>
      <c r="EE11" s="32">
        <v>0</v>
      </c>
      <c r="EF11" s="32">
        <v>0</v>
      </c>
      <c r="EG11" s="32">
        <v>0</v>
      </c>
      <c r="EH11" s="32">
        <v>0</v>
      </c>
      <c r="EI11" s="32">
        <v>0</v>
      </c>
      <c r="EJ11" s="32">
        <v>0</v>
      </c>
      <c r="EK11" s="32">
        <v>0</v>
      </c>
      <c r="EL11" s="32">
        <v>0</v>
      </c>
      <c r="EM11" s="32">
        <v>0</v>
      </c>
      <c r="EN11" s="32">
        <v>0</v>
      </c>
      <c r="EO11" s="32">
        <v>0</v>
      </c>
      <c r="EP11" s="32">
        <v>0</v>
      </c>
      <c r="EQ11" s="32">
        <v>0</v>
      </c>
      <c r="ER11" s="32">
        <v>0</v>
      </c>
      <c r="ES11" s="32">
        <v>0</v>
      </c>
      <c r="ET11" s="32">
        <v>0</v>
      </c>
      <c r="EU11" s="32">
        <v>0</v>
      </c>
      <c r="EV11" s="32">
        <v>0</v>
      </c>
      <c r="EW11" s="32">
        <v>0</v>
      </c>
      <c r="EX11" s="32">
        <v>0</v>
      </c>
      <c r="EY11" s="32">
        <v>0</v>
      </c>
      <c r="EZ11" s="32">
        <v>0</v>
      </c>
      <c r="FA11" s="32">
        <v>0</v>
      </c>
      <c r="FB11" s="32">
        <v>0</v>
      </c>
      <c r="FC11" s="32">
        <v>0</v>
      </c>
      <c r="FD11" s="32">
        <v>0</v>
      </c>
      <c r="FE11" s="32">
        <v>0</v>
      </c>
      <c r="FF11" s="32">
        <v>0</v>
      </c>
      <c r="FG11" s="32">
        <v>0</v>
      </c>
      <c r="FH11" s="32">
        <v>0</v>
      </c>
      <c r="FI11" s="32">
        <v>0</v>
      </c>
      <c r="FJ11" s="32">
        <v>0</v>
      </c>
      <c r="FK11" s="32">
        <v>0</v>
      </c>
      <c r="FL11" s="32">
        <v>0</v>
      </c>
      <c r="FM11" s="32">
        <v>0</v>
      </c>
      <c r="FN11" s="32">
        <v>0</v>
      </c>
      <c r="FO11" s="32">
        <v>0</v>
      </c>
      <c r="FP11" s="32">
        <v>0</v>
      </c>
      <c r="FQ11" s="32">
        <v>0</v>
      </c>
      <c r="FR11" s="32">
        <v>0</v>
      </c>
      <c r="FS11" s="32">
        <v>0</v>
      </c>
      <c r="FT11" s="32">
        <v>0</v>
      </c>
      <c r="FU11" s="32">
        <v>0</v>
      </c>
      <c r="FV11" s="32">
        <v>0</v>
      </c>
      <c r="FW11" s="32">
        <v>0</v>
      </c>
      <c r="FX11" s="32">
        <v>0</v>
      </c>
      <c r="FY11" s="32">
        <v>0</v>
      </c>
      <c r="FZ11" s="32">
        <v>0</v>
      </c>
      <c r="GA11" s="3">
        <v>19.683000000000003</v>
      </c>
      <c r="GB11" s="32">
        <v>1.9683000000000004</v>
      </c>
      <c r="GC11" s="32">
        <v>0</v>
      </c>
      <c r="GD11" s="32">
        <v>16.290125</v>
      </c>
      <c r="GE11" s="32">
        <v>5</v>
      </c>
      <c r="GF11" s="32">
        <v>6.5610000000000017</v>
      </c>
      <c r="GG11" s="32">
        <v>3.2805000000000009</v>
      </c>
      <c r="GH11" s="32">
        <v>0</v>
      </c>
      <c r="GI11" s="32">
        <v>0</v>
      </c>
      <c r="GJ11" s="32">
        <v>0</v>
      </c>
      <c r="GK11" s="32">
        <v>20.995200000000004</v>
      </c>
      <c r="GL11" s="32">
        <v>0</v>
      </c>
      <c r="GM11" s="32">
        <v>0</v>
      </c>
      <c r="GN11" s="32">
        <v>0</v>
      </c>
      <c r="GO11" s="32">
        <v>30</v>
      </c>
      <c r="GP11" s="32">
        <v>10</v>
      </c>
      <c r="GQ11" s="32">
        <v>2.8561000000000005</v>
      </c>
      <c r="GR11" s="32">
        <v>27.984099999999991</v>
      </c>
      <c r="GS11" s="32">
        <v>1</v>
      </c>
      <c r="GT11" s="32">
        <v>26</v>
      </c>
      <c r="GU11" s="32">
        <v>1.0338291173353296</v>
      </c>
      <c r="GV11" s="32">
        <v>51.049562682215743</v>
      </c>
      <c r="GW11" s="32">
        <v>1.5412658773652741</v>
      </c>
      <c r="GX11" s="32">
        <v>91.396501457725947</v>
      </c>
      <c r="GY11" s="32">
        <v>3.7401585041617</v>
      </c>
      <c r="GZ11" s="32">
        <v>2.3381924198250732</v>
      </c>
      <c r="HA11" s="32">
        <v>9.6602540378443855</v>
      </c>
      <c r="HB11" s="32">
        <v>4.1720116618075798</v>
      </c>
      <c r="HC11" s="32">
        <v>7.0823732062775377</v>
      </c>
      <c r="HD11" s="32">
        <v>10.311044327573251</v>
      </c>
      <c r="HE11" s="32">
        <v>5.0747148627992109</v>
      </c>
      <c r="HF11" s="32">
        <v>13.772351615326819</v>
      </c>
      <c r="HG11" s="32">
        <v>3.5660011963983362</v>
      </c>
      <c r="HH11" s="32">
        <v>18</v>
      </c>
      <c r="HI11" s="32">
        <v>2.4849543960638525</v>
      </c>
      <c r="HJ11" s="32">
        <v>13.772351615326819</v>
      </c>
      <c r="HK11" s="32">
        <v>1.7602966507846922</v>
      </c>
      <c r="HL11" s="32">
        <v>10.311044327573251</v>
      </c>
      <c r="HM11" s="32">
        <v>7.5394440270473329</v>
      </c>
      <c r="HN11" s="32">
        <v>5.3809166040570995</v>
      </c>
      <c r="HO11" s="32">
        <v>3.7588279489105929</v>
      </c>
      <c r="HP11" s="32">
        <v>0</v>
      </c>
      <c r="HQ11" s="32">
        <v>0</v>
      </c>
      <c r="HR11" s="32">
        <v>0</v>
      </c>
      <c r="HS11" s="32">
        <v>0</v>
      </c>
      <c r="HT11" s="32">
        <v>0</v>
      </c>
      <c r="HU11" s="32">
        <v>0</v>
      </c>
      <c r="HV11" s="32">
        <v>0</v>
      </c>
      <c r="HW11" s="32">
        <v>0</v>
      </c>
      <c r="HX11" s="32">
        <v>0</v>
      </c>
      <c r="HY11" s="32">
        <v>0</v>
      </c>
      <c r="HZ11" s="32">
        <v>0</v>
      </c>
      <c r="IA11" s="32">
        <v>0</v>
      </c>
      <c r="IB11" s="32">
        <v>0</v>
      </c>
      <c r="IC11" s="32">
        <v>0</v>
      </c>
      <c r="ID11" s="32">
        <v>0</v>
      </c>
      <c r="IE11" s="32">
        <v>0</v>
      </c>
      <c r="IF11" s="32">
        <v>0</v>
      </c>
      <c r="IG11" s="32">
        <v>0</v>
      </c>
      <c r="IH11" s="32">
        <v>0</v>
      </c>
      <c r="II11" s="32">
        <v>0</v>
      </c>
      <c r="IJ11" s="32">
        <v>0</v>
      </c>
      <c r="IK11" s="32">
        <v>0</v>
      </c>
      <c r="IL11" s="32">
        <v>0</v>
      </c>
      <c r="IM11" s="32">
        <v>0</v>
      </c>
      <c r="IN11" s="32">
        <v>0</v>
      </c>
      <c r="IO11" s="32">
        <v>0</v>
      </c>
      <c r="IP11" s="32">
        <v>0</v>
      </c>
      <c r="IQ11" s="32">
        <v>0</v>
      </c>
      <c r="IR11" s="32">
        <v>0</v>
      </c>
      <c r="IS11" s="32">
        <v>0</v>
      </c>
      <c r="IT11" s="32">
        <v>0</v>
      </c>
      <c r="IU11" s="32">
        <v>0</v>
      </c>
      <c r="IV11" s="32">
        <v>0</v>
      </c>
      <c r="IW11" s="32">
        <v>0</v>
      </c>
      <c r="IX11" s="32">
        <v>0</v>
      </c>
      <c r="IY11" s="32">
        <v>0</v>
      </c>
      <c r="IZ11" s="32">
        <v>0</v>
      </c>
      <c r="JA11" s="32">
        <v>0</v>
      </c>
      <c r="JB11" s="32">
        <v>0</v>
      </c>
      <c r="JC11" s="32">
        <v>0</v>
      </c>
      <c r="JD11" s="32">
        <v>0</v>
      </c>
      <c r="JE11" s="32">
        <v>0</v>
      </c>
      <c r="JF11" s="32">
        <v>0</v>
      </c>
      <c r="JG11" s="32">
        <v>0</v>
      </c>
      <c r="JH11" s="32">
        <v>0</v>
      </c>
      <c r="JI11" s="32">
        <v>1</v>
      </c>
      <c r="JJ11" s="32">
        <v>1.0338291173353296</v>
      </c>
      <c r="JK11" s="32">
        <v>1.6911999999999998</v>
      </c>
      <c r="JL11" s="32">
        <v>1.5412658773652741</v>
      </c>
      <c r="JM11" s="32">
        <v>3.9127111111111117</v>
      </c>
      <c r="JN11" s="32">
        <v>3.7401585041617</v>
      </c>
      <c r="JO11" s="32">
        <v>9.8888888888888893</v>
      </c>
      <c r="JP11" s="32">
        <v>9.6602540378443855</v>
      </c>
      <c r="JQ11" s="32">
        <v>13.48590153939948</v>
      </c>
      <c r="JR11" s="32">
        <v>8.3190062490474013</v>
      </c>
      <c r="JS11" s="32">
        <v>6.4401693585629234</v>
      </c>
      <c r="JT11" s="32">
        <v>4.9506172839506188</v>
      </c>
      <c r="JU11" s="32">
        <v>5.5460041660316008</v>
      </c>
      <c r="JV11" s="32">
        <v>2.9051973784484075</v>
      </c>
      <c r="JW11" s="32">
        <v>3.300411522633746</v>
      </c>
      <c r="JX11" s="32">
        <v>1.7803688462124674</v>
      </c>
      <c r="JY11" s="32">
        <v>1.9367982522989384</v>
      </c>
      <c r="JZ11" s="32">
        <v>2.2002743484224974</v>
      </c>
      <c r="KA11" s="32">
        <v>1.1869125641416449</v>
      </c>
      <c r="KB11" s="32">
        <v>1.2911988348659589</v>
      </c>
      <c r="KC11" s="32">
        <v>0</v>
      </c>
      <c r="KD11" s="32">
        <v>0</v>
      </c>
      <c r="KE11" s="32">
        <v>0</v>
      </c>
      <c r="KF11" s="32">
        <v>0</v>
      </c>
      <c r="KG11" s="32">
        <v>0</v>
      </c>
      <c r="KH11" s="32">
        <v>0</v>
      </c>
      <c r="KI11" s="32">
        <v>0</v>
      </c>
      <c r="KJ11" s="32">
        <v>0</v>
      </c>
      <c r="KK11" s="32">
        <v>0</v>
      </c>
      <c r="KL11" s="32">
        <v>0</v>
      </c>
      <c r="KM11" s="32">
        <v>0</v>
      </c>
      <c r="KN11" s="32">
        <v>0</v>
      </c>
      <c r="KO11" s="32">
        <v>0</v>
      </c>
      <c r="KP11" s="32">
        <v>0</v>
      </c>
      <c r="KQ11" s="32">
        <v>0</v>
      </c>
      <c r="KR11" s="32">
        <v>0</v>
      </c>
      <c r="KS11" s="32">
        <v>0</v>
      </c>
      <c r="KT11" s="32">
        <v>0</v>
      </c>
      <c r="KU11" s="32">
        <v>0</v>
      </c>
      <c r="KV11" s="32">
        <v>0</v>
      </c>
      <c r="KW11" s="32">
        <v>0</v>
      </c>
      <c r="KX11" s="32">
        <v>0</v>
      </c>
      <c r="KY11" s="32">
        <v>0</v>
      </c>
      <c r="KZ11" s="32">
        <v>0</v>
      </c>
      <c r="LA11" s="32">
        <v>0</v>
      </c>
      <c r="LB11" s="32">
        <v>0</v>
      </c>
      <c r="LC11" s="32">
        <v>0</v>
      </c>
      <c r="LD11" s="32">
        <v>0</v>
      </c>
      <c r="LE11" s="32">
        <v>0</v>
      </c>
      <c r="LF11" s="32">
        <v>0</v>
      </c>
      <c r="LG11" s="32">
        <v>0</v>
      </c>
      <c r="LH11" s="32">
        <v>0</v>
      </c>
      <c r="LI11" s="32">
        <v>0</v>
      </c>
      <c r="LJ11" s="32">
        <v>0</v>
      </c>
      <c r="LK11" s="32">
        <v>0</v>
      </c>
      <c r="LL11" s="32">
        <v>0</v>
      </c>
      <c r="LM11" s="32">
        <v>0</v>
      </c>
      <c r="LN11" s="32">
        <v>0</v>
      </c>
      <c r="LO11" s="32">
        <v>0</v>
      </c>
      <c r="LP11" s="32">
        <v>0</v>
      </c>
      <c r="LQ11" s="32">
        <v>0</v>
      </c>
      <c r="LR11" s="32">
        <v>0</v>
      </c>
      <c r="LS11" s="32">
        <v>0</v>
      </c>
      <c r="LT11" s="32">
        <v>0</v>
      </c>
      <c r="LU11" s="32">
        <v>0</v>
      </c>
      <c r="LV11" s="32">
        <v>0</v>
      </c>
      <c r="LW11" s="32">
        <v>0</v>
      </c>
      <c r="LX11" s="32">
        <v>0</v>
      </c>
    </row>
    <row r="12" spans="1:337" s="32" customFormat="1" ht="14.25" x14ac:dyDescent="0.2">
      <c r="A12" s="5">
        <v>6</v>
      </c>
      <c r="B12" s="27" t="s">
        <v>671</v>
      </c>
      <c r="C12" s="27" t="s">
        <v>317</v>
      </c>
      <c r="D12" s="27" t="s">
        <v>303</v>
      </c>
      <c r="E12" s="27" t="s">
        <v>317</v>
      </c>
      <c r="F12" s="28" t="s">
        <v>318</v>
      </c>
      <c r="G12" s="28" t="s">
        <v>319</v>
      </c>
      <c r="H12" s="29">
        <v>-1</v>
      </c>
      <c r="I12" s="30">
        <v>4.03</v>
      </c>
      <c r="J12" s="31">
        <v>13.495451439333335</v>
      </c>
      <c r="K12" s="29" t="s">
        <v>320</v>
      </c>
      <c r="L12" s="16">
        <v>0</v>
      </c>
      <c r="M12" s="16">
        <v>2</v>
      </c>
      <c r="N12" s="27" t="s">
        <v>317</v>
      </c>
      <c r="O12" s="27">
        <v>0</v>
      </c>
      <c r="P12" s="27">
        <v>0</v>
      </c>
      <c r="Q12" s="27">
        <v>0</v>
      </c>
      <c r="R12" s="27">
        <v>0</v>
      </c>
      <c r="S12" s="27">
        <v>0</v>
      </c>
      <c r="T12" s="27">
        <v>20</v>
      </c>
      <c r="U12" s="27">
        <v>1</v>
      </c>
      <c r="V12" s="27">
        <v>20</v>
      </c>
      <c r="W12" s="27">
        <v>1</v>
      </c>
      <c r="X12" s="27" t="s">
        <v>317</v>
      </c>
      <c r="Y12" s="17">
        <v>524.34799688539988</v>
      </c>
      <c r="Z12" s="17">
        <v>506.33743688539988</v>
      </c>
      <c r="AA12" s="17">
        <v>524.34799688539988</v>
      </c>
      <c r="AB12" s="17">
        <v>506.33743688539988</v>
      </c>
      <c r="AC12" s="17">
        <v>803.65297688539999</v>
      </c>
      <c r="AD12" s="17">
        <v>729.61619745300004</v>
      </c>
      <c r="AE12" s="17">
        <v>0</v>
      </c>
      <c r="AF12" s="17">
        <v>525.35562566179999</v>
      </c>
      <c r="AG12" s="17">
        <v>451.31884622939998</v>
      </c>
      <c r="AH12" s="17">
        <v>337.34703603639997</v>
      </c>
      <c r="AI12" s="17">
        <v>355.35760072039994</v>
      </c>
      <c r="AJ12" s="17">
        <v>0</v>
      </c>
      <c r="AK12" s="17">
        <v>0</v>
      </c>
      <c r="AL12" s="17">
        <v>0</v>
      </c>
      <c r="AM12" s="17">
        <v>247.0582794382</v>
      </c>
      <c r="AN12" s="17">
        <v>229.0477147542</v>
      </c>
      <c r="AO12" s="17">
        <v>0</v>
      </c>
      <c r="AP12" s="17">
        <v>0</v>
      </c>
      <c r="AQ12" s="17">
        <v>173.021500038</v>
      </c>
      <c r="AR12" s="17">
        <v>155.010935354</v>
      </c>
      <c r="AS12" s="32">
        <v>279.30517122359998</v>
      </c>
      <c r="AT12" s="32">
        <v>279.30517122359998</v>
      </c>
      <c r="AU12" s="32">
        <v>55.0547752254</v>
      </c>
      <c r="AV12" s="32">
        <v>57.070425289800006</v>
      </c>
      <c r="AW12" s="32">
        <v>69.070425289799999</v>
      </c>
      <c r="AX12" s="32">
        <v>71.086075354200005</v>
      </c>
      <c r="AY12" s="32">
        <v>81.070425289799999</v>
      </c>
      <c r="AZ12" s="32">
        <v>83.086075354200005</v>
      </c>
      <c r="BA12" s="32">
        <v>85.101725418599997</v>
      </c>
      <c r="BB12" s="32">
        <v>95.086075354200005</v>
      </c>
      <c r="BC12" s="32">
        <v>97.101725418599997</v>
      </c>
      <c r="BD12" s="32">
        <v>99.117375483000004</v>
      </c>
      <c r="BE12" s="32">
        <v>109.1017254186</v>
      </c>
      <c r="BF12" s="32">
        <v>111.117375483</v>
      </c>
      <c r="BG12" s="32">
        <v>113.13302554740001</v>
      </c>
      <c r="BH12" s="32">
        <v>123.117375483</v>
      </c>
      <c r="BI12" s="32">
        <v>125.13302554740001</v>
      </c>
      <c r="BJ12" s="32">
        <v>127.1486756118</v>
      </c>
      <c r="BK12" s="32">
        <v>137.1330255474</v>
      </c>
      <c r="BL12" s="32">
        <v>139.1486756118</v>
      </c>
      <c r="BM12" s="32">
        <v>141.16432567620001</v>
      </c>
      <c r="BN12" s="32">
        <v>151.1486756118</v>
      </c>
      <c r="BO12" s="32">
        <v>153.16432567620001</v>
      </c>
      <c r="BP12" s="32">
        <v>155.17997574060001</v>
      </c>
      <c r="BQ12" s="32">
        <v>165.16432567620001</v>
      </c>
      <c r="BR12" s="32">
        <v>167.17997574060001</v>
      </c>
      <c r="BS12" s="32">
        <v>169.19562580499999</v>
      </c>
      <c r="BT12" s="32">
        <v>179.17997574060001</v>
      </c>
      <c r="BU12" s="32">
        <v>181.19562580499999</v>
      </c>
      <c r="BV12" s="32">
        <v>183.2112758694</v>
      </c>
      <c r="BW12" s="32">
        <v>195.2112758694</v>
      </c>
      <c r="BX12" s="32">
        <v>197.2269259338</v>
      </c>
      <c r="BY12" s="32">
        <v>209.2269259338</v>
      </c>
      <c r="BZ12" s="32">
        <v>211.24257599820001</v>
      </c>
      <c r="CA12" s="32">
        <v>223.24257599820001</v>
      </c>
      <c r="CB12" s="32">
        <v>225.25822606260002</v>
      </c>
      <c r="CC12" s="32">
        <v>0</v>
      </c>
      <c r="CD12" s="32">
        <v>0</v>
      </c>
      <c r="CE12" s="32">
        <v>0</v>
      </c>
      <c r="CF12" s="32">
        <v>0</v>
      </c>
      <c r="CG12" s="32">
        <v>0</v>
      </c>
      <c r="CH12" s="32">
        <v>0</v>
      </c>
      <c r="CI12" s="32">
        <v>0</v>
      </c>
      <c r="CJ12" s="32">
        <v>0</v>
      </c>
      <c r="CK12" s="32">
        <v>0</v>
      </c>
      <c r="CL12" s="32">
        <v>0</v>
      </c>
      <c r="CM12" s="32">
        <v>0</v>
      </c>
      <c r="CN12" s="32">
        <v>0</v>
      </c>
      <c r="CO12" s="32">
        <v>0</v>
      </c>
      <c r="CP12" s="32">
        <v>0</v>
      </c>
      <c r="CQ12" s="32">
        <v>0</v>
      </c>
      <c r="CR12" s="32">
        <v>0</v>
      </c>
      <c r="CS12" s="32">
        <v>0</v>
      </c>
      <c r="CT12" s="32">
        <v>0</v>
      </c>
      <c r="CU12" s="32">
        <v>0</v>
      </c>
      <c r="CV12" s="32">
        <v>0</v>
      </c>
      <c r="CW12" s="32">
        <v>0</v>
      </c>
      <c r="CX12" s="32">
        <v>0</v>
      </c>
      <c r="CY12" s="32">
        <v>0</v>
      </c>
      <c r="CZ12" s="32">
        <v>0</v>
      </c>
      <c r="DA12" s="32">
        <v>0</v>
      </c>
      <c r="DB12" s="32">
        <v>0</v>
      </c>
      <c r="DC12" s="32">
        <v>0</v>
      </c>
      <c r="DD12" s="32">
        <v>0</v>
      </c>
      <c r="DE12" s="32">
        <v>0</v>
      </c>
      <c r="DF12" s="32">
        <v>0</v>
      </c>
      <c r="DG12" s="32">
        <v>0</v>
      </c>
      <c r="DH12" s="32">
        <v>0</v>
      </c>
      <c r="DI12" s="32">
        <v>0</v>
      </c>
      <c r="DJ12" s="32">
        <v>0</v>
      </c>
      <c r="DK12" s="32">
        <v>55.0547752254</v>
      </c>
      <c r="DL12" s="32">
        <v>57.070425289800006</v>
      </c>
      <c r="DM12" s="32">
        <v>69.070425289799999</v>
      </c>
      <c r="DN12" s="32">
        <v>71.086075354200005</v>
      </c>
      <c r="DO12" s="32">
        <v>81.070425289799999</v>
      </c>
      <c r="DP12" s="32">
        <v>83.086075354200005</v>
      </c>
      <c r="DQ12" s="32">
        <v>85.101725418599997</v>
      </c>
      <c r="DR12" s="32">
        <v>95.086075354200005</v>
      </c>
      <c r="DS12" s="32">
        <v>97.101725418599997</v>
      </c>
      <c r="DT12" s="32">
        <v>99.117375483000004</v>
      </c>
      <c r="DU12" s="32">
        <v>109.1017254186</v>
      </c>
      <c r="DV12" s="32">
        <v>111.117375483</v>
      </c>
      <c r="DW12" s="32">
        <v>113.13302554740001</v>
      </c>
      <c r="DX12" s="32">
        <v>123.117375483</v>
      </c>
      <c r="DY12" s="32">
        <v>125.13302554740001</v>
      </c>
      <c r="DZ12" s="32">
        <v>127.1486756118</v>
      </c>
      <c r="EA12" s="32">
        <v>137.1330255474</v>
      </c>
      <c r="EB12" s="32">
        <v>139.1486756118</v>
      </c>
      <c r="EC12" s="32">
        <v>141.16432567620001</v>
      </c>
      <c r="ED12" s="32">
        <v>151.1486756118</v>
      </c>
      <c r="EE12" s="32">
        <v>153.16432567620001</v>
      </c>
      <c r="EF12" s="32">
        <v>155.17997574060001</v>
      </c>
      <c r="EG12" s="32">
        <v>165.16432567620001</v>
      </c>
      <c r="EH12" s="32">
        <v>167.17997574060001</v>
      </c>
      <c r="EI12" s="32">
        <v>169.19562580499999</v>
      </c>
      <c r="EJ12" s="32">
        <v>179.17997574060001</v>
      </c>
      <c r="EK12" s="32">
        <v>181.19562580499999</v>
      </c>
      <c r="EL12" s="32">
        <v>183.2112758694</v>
      </c>
      <c r="EM12" s="32">
        <v>195.2112758694</v>
      </c>
      <c r="EN12" s="32">
        <v>197.2269259338</v>
      </c>
      <c r="EO12" s="32">
        <v>209.2269259338</v>
      </c>
      <c r="EP12" s="32">
        <v>211.24257599820001</v>
      </c>
      <c r="EQ12" s="32">
        <v>223.24257599820001</v>
      </c>
      <c r="ER12" s="32">
        <v>225.25822606260002</v>
      </c>
      <c r="ES12" s="32">
        <v>0</v>
      </c>
      <c r="ET12" s="32">
        <v>0</v>
      </c>
      <c r="EU12" s="32">
        <v>0</v>
      </c>
      <c r="EV12" s="32">
        <v>0</v>
      </c>
      <c r="EW12" s="32">
        <v>0</v>
      </c>
      <c r="EX12" s="32">
        <v>0</v>
      </c>
      <c r="EY12" s="32">
        <v>0</v>
      </c>
      <c r="EZ12" s="32">
        <v>0</v>
      </c>
      <c r="FA12" s="32">
        <v>0</v>
      </c>
      <c r="FB12" s="32">
        <v>0</v>
      </c>
      <c r="FC12" s="32">
        <v>0</v>
      </c>
      <c r="FD12" s="32">
        <v>0</v>
      </c>
      <c r="FE12" s="32">
        <v>0</v>
      </c>
      <c r="FF12" s="32">
        <v>0</v>
      </c>
      <c r="FG12" s="32">
        <v>0</v>
      </c>
      <c r="FH12" s="32">
        <v>0</v>
      </c>
      <c r="FI12" s="32">
        <v>0</v>
      </c>
      <c r="FJ12" s="32">
        <v>0</v>
      </c>
      <c r="FK12" s="32">
        <v>0</v>
      </c>
      <c r="FL12" s="32">
        <v>0</v>
      </c>
      <c r="FM12" s="32">
        <v>0</v>
      </c>
      <c r="FN12" s="32">
        <v>0</v>
      </c>
      <c r="FO12" s="32">
        <v>0</v>
      </c>
      <c r="FP12" s="32">
        <v>0</v>
      </c>
      <c r="FQ12" s="32">
        <v>0</v>
      </c>
      <c r="FR12" s="32">
        <v>0</v>
      </c>
      <c r="FS12" s="32">
        <v>0</v>
      </c>
      <c r="FT12" s="32">
        <v>0</v>
      </c>
      <c r="FU12" s="32">
        <v>0</v>
      </c>
      <c r="FV12" s="32">
        <v>0</v>
      </c>
      <c r="FW12" s="32">
        <v>0</v>
      </c>
      <c r="FX12" s="32">
        <v>0</v>
      </c>
      <c r="FY12" s="32">
        <v>0</v>
      </c>
      <c r="FZ12" s="32">
        <v>0</v>
      </c>
      <c r="GA12" s="3">
        <v>24.3</v>
      </c>
      <c r="GB12" s="32">
        <v>2.4300000000000002</v>
      </c>
      <c r="GC12" s="32">
        <v>0</v>
      </c>
      <c r="GD12" s="32">
        <v>18.05</v>
      </c>
      <c r="GE12" s="32">
        <v>5</v>
      </c>
      <c r="GF12" s="32">
        <v>8.1000000000000014</v>
      </c>
      <c r="GG12" s="32">
        <v>4.0500000000000007</v>
      </c>
      <c r="GH12" s="32">
        <v>0</v>
      </c>
      <c r="GI12" s="32">
        <v>0</v>
      </c>
      <c r="GJ12" s="32">
        <v>0</v>
      </c>
      <c r="GK12" s="32">
        <v>6.48</v>
      </c>
      <c r="GL12" s="32">
        <v>0</v>
      </c>
      <c r="GM12" s="32">
        <v>0</v>
      </c>
      <c r="GN12" s="32">
        <v>0</v>
      </c>
      <c r="GO12" s="32">
        <v>30</v>
      </c>
      <c r="GP12" s="32">
        <v>10</v>
      </c>
      <c r="GQ12" s="32">
        <v>2.9899999999999998</v>
      </c>
      <c r="GR12" s="32">
        <v>2.9899999999999998</v>
      </c>
      <c r="GS12" s="32">
        <v>1</v>
      </c>
      <c r="GT12" s="32">
        <v>4.125</v>
      </c>
      <c r="GU12" s="32">
        <v>1.095683193077468</v>
      </c>
      <c r="GV12" s="32">
        <v>7.2623906705539358</v>
      </c>
      <c r="GW12" s="32">
        <v>1.1728000000000001</v>
      </c>
      <c r="GX12" s="32">
        <v>2.5309310892394863</v>
      </c>
      <c r="GY12" s="32">
        <v>12.349125364431487</v>
      </c>
      <c r="GZ12" s="32">
        <v>1.7281777777777778</v>
      </c>
      <c r="HA12" s="32">
        <v>13.164746412555075</v>
      </c>
      <c r="HB12" s="32">
        <v>1.3345481049562684</v>
      </c>
      <c r="HC12" s="32">
        <v>9.8888888888888893</v>
      </c>
      <c r="HD12" s="32">
        <v>18.320508075688771</v>
      </c>
      <c r="HE12" s="32">
        <v>2.6348610067618332</v>
      </c>
      <c r="HF12" s="32">
        <v>6.5492895730664351</v>
      </c>
      <c r="HG12" s="32">
        <v>13.164746412555075</v>
      </c>
      <c r="HH12" s="32">
        <v>3.3277610818933128</v>
      </c>
      <c r="HI12" s="32">
        <v>4.2528916662432898</v>
      </c>
      <c r="HJ12" s="32">
        <v>9.1494297255984218</v>
      </c>
      <c r="HK12" s="32">
        <v>4.1930879038317048</v>
      </c>
      <c r="HL12" s="32">
        <v>2.7558299039780527</v>
      </c>
      <c r="HM12" s="32">
        <v>6.1320023927966725</v>
      </c>
      <c r="HN12" s="32">
        <v>5.25</v>
      </c>
      <c r="HO12" s="32">
        <v>1.8467543904215145</v>
      </c>
      <c r="HP12" s="32">
        <v>3.969908792127705</v>
      </c>
      <c r="HQ12" s="32">
        <v>4.1930879038317048</v>
      </c>
      <c r="HR12" s="32">
        <v>1.3468305983166522</v>
      </c>
      <c r="HS12" s="32">
        <v>2.5205933015693844</v>
      </c>
      <c r="HT12" s="32">
        <v>3.3277610818933128</v>
      </c>
      <c r="HU12" s="32">
        <v>1.6415002990995839</v>
      </c>
      <c r="HV12" s="32">
        <v>2.6348610067618332</v>
      </c>
      <c r="HW12" s="32">
        <v>1.1900741626961731</v>
      </c>
      <c r="HX12" s="32">
        <v>2.0952291510142746</v>
      </c>
      <c r="HY12" s="32">
        <v>1.0237592703370215</v>
      </c>
      <c r="HZ12" s="32">
        <v>1.6897069872276482</v>
      </c>
      <c r="IA12" s="32">
        <v>0</v>
      </c>
      <c r="IB12" s="32">
        <v>0</v>
      </c>
      <c r="IC12" s="32">
        <v>0</v>
      </c>
      <c r="ID12" s="32">
        <v>0</v>
      </c>
      <c r="IE12" s="32">
        <v>0</v>
      </c>
      <c r="IF12" s="32">
        <v>0</v>
      </c>
      <c r="IG12" s="32">
        <v>0</v>
      </c>
      <c r="IH12" s="32">
        <v>0</v>
      </c>
      <c r="II12" s="32">
        <v>0</v>
      </c>
      <c r="IJ12" s="32">
        <v>0</v>
      </c>
      <c r="IK12" s="32">
        <v>0</v>
      </c>
      <c r="IL12" s="32">
        <v>0</v>
      </c>
      <c r="IM12" s="32">
        <v>0</v>
      </c>
      <c r="IN12" s="32">
        <v>0</v>
      </c>
      <c r="IO12" s="32">
        <v>0</v>
      </c>
      <c r="IP12" s="32">
        <v>0</v>
      </c>
      <c r="IQ12" s="32">
        <v>0</v>
      </c>
      <c r="IR12" s="32">
        <v>0</v>
      </c>
      <c r="IS12" s="32">
        <v>0</v>
      </c>
      <c r="IT12" s="32">
        <v>0</v>
      </c>
      <c r="IU12" s="32">
        <v>0</v>
      </c>
      <c r="IV12" s="32">
        <v>0</v>
      </c>
      <c r="IW12" s="32">
        <v>0</v>
      </c>
      <c r="IX12" s="32">
        <v>0</v>
      </c>
      <c r="IY12" s="32">
        <v>0</v>
      </c>
      <c r="IZ12" s="32">
        <v>0</v>
      </c>
      <c r="JA12" s="32">
        <v>0</v>
      </c>
      <c r="JB12" s="32">
        <v>0</v>
      </c>
      <c r="JC12" s="32">
        <v>0</v>
      </c>
      <c r="JD12" s="32">
        <v>0</v>
      </c>
      <c r="JE12" s="32">
        <v>0</v>
      </c>
      <c r="JF12" s="32">
        <v>0</v>
      </c>
      <c r="JG12" s="32">
        <v>0</v>
      </c>
      <c r="JH12" s="32">
        <v>0</v>
      </c>
      <c r="JI12" s="32">
        <v>1</v>
      </c>
      <c r="JJ12" s="32">
        <v>4.125</v>
      </c>
      <c r="JK12" s="32">
        <v>1.095683193077468</v>
      </c>
      <c r="JL12" s="32">
        <v>7.2623906705539358</v>
      </c>
      <c r="JM12" s="32">
        <v>1.1728000000000001</v>
      </c>
      <c r="JN12" s="32">
        <v>2.5309310892394863</v>
      </c>
      <c r="JO12" s="32">
        <v>12.349125364431487</v>
      </c>
      <c r="JP12" s="32">
        <v>1.7281777777777778</v>
      </c>
      <c r="JQ12" s="32">
        <v>13.164746412555075</v>
      </c>
      <c r="JR12" s="32">
        <v>1.3345481049562684</v>
      </c>
      <c r="JS12" s="32">
        <v>9.8888888888888893</v>
      </c>
      <c r="JT12" s="32">
        <v>18.320508075688771</v>
      </c>
      <c r="JU12" s="32">
        <v>2.6348610067618332</v>
      </c>
      <c r="JV12" s="32">
        <v>6.5492895730664351</v>
      </c>
      <c r="JW12" s="32">
        <v>13.164746412555075</v>
      </c>
      <c r="JX12" s="32">
        <v>3.3277610818933128</v>
      </c>
      <c r="JY12" s="32">
        <v>4.2528916662432898</v>
      </c>
      <c r="JZ12" s="32">
        <v>9.1494297255984218</v>
      </c>
      <c r="KA12" s="32">
        <v>4.1930879038317048</v>
      </c>
      <c r="KB12" s="32">
        <v>2.7558299039780527</v>
      </c>
      <c r="KC12" s="32">
        <v>6.1320023927966725</v>
      </c>
      <c r="KD12" s="32">
        <v>5.25</v>
      </c>
      <c r="KE12" s="32">
        <v>1.8467543904215145</v>
      </c>
      <c r="KF12" s="32">
        <v>3.969908792127705</v>
      </c>
      <c r="KG12" s="32">
        <v>4.1930879038317048</v>
      </c>
      <c r="KH12" s="32">
        <v>1.3468305983166522</v>
      </c>
      <c r="KI12" s="32">
        <v>2.5205933015693844</v>
      </c>
      <c r="KJ12" s="32">
        <v>3.3277610818933128</v>
      </c>
      <c r="KK12" s="32">
        <v>1.6415002990995839</v>
      </c>
      <c r="KL12" s="32">
        <v>2.6348610067618332</v>
      </c>
      <c r="KM12" s="32">
        <v>1.1900741626961731</v>
      </c>
      <c r="KN12" s="32">
        <v>2.0952291510142746</v>
      </c>
      <c r="KO12" s="32">
        <v>1.0237592703370215</v>
      </c>
      <c r="KP12" s="32">
        <v>1.6897069872276482</v>
      </c>
      <c r="KQ12" s="32">
        <v>0</v>
      </c>
      <c r="KR12" s="32">
        <v>0</v>
      </c>
      <c r="KS12" s="32">
        <v>0</v>
      </c>
      <c r="KT12" s="32">
        <v>0</v>
      </c>
      <c r="KU12" s="32">
        <v>0</v>
      </c>
      <c r="KV12" s="32">
        <v>0</v>
      </c>
      <c r="KW12" s="32">
        <v>0</v>
      </c>
      <c r="KX12" s="32">
        <v>0</v>
      </c>
      <c r="KY12" s="32">
        <v>0</v>
      </c>
      <c r="KZ12" s="32">
        <v>0</v>
      </c>
      <c r="LA12" s="32">
        <v>0</v>
      </c>
      <c r="LB12" s="32">
        <v>0</v>
      </c>
      <c r="LC12" s="32">
        <v>0</v>
      </c>
      <c r="LD12" s="32">
        <v>0</v>
      </c>
      <c r="LE12" s="32">
        <v>0</v>
      </c>
      <c r="LF12" s="32">
        <v>0</v>
      </c>
      <c r="LG12" s="32">
        <v>0</v>
      </c>
      <c r="LH12" s="32">
        <v>0</v>
      </c>
      <c r="LI12" s="32">
        <v>0</v>
      </c>
      <c r="LJ12" s="32">
        <v>0</v>
      </c>
      <c r="LK12" s="32">
        <v>0</v>
      </c>
      <c r="LL12" s="32">
        <v>0</v>
      </c>
      <c r="LM12" s="32">
        <v>0</v>
      </c>
      <c r="LN12" s="32">
        <v>0</v>
      </c>
      <c r="LO12" s="32">
        <v>0</v>
      </c>
      <c r="LP12" s="32">
        <v>0</v>
      </c>
      <c r="LQ12" s="32">
        <v>0</v>
      </c>
      <c r="LR12" s="32">
        <v>0</v>
      </c>
      <c r="LS12" s="32">
        <v>0</v>
      </c>
      <c r="LT12" s="32">
        <v>0</v>
      </c>
      <c r="LU12" s="32">
        <v>0</v>
      </c>
      <c r="LV12" s="32">
        <v>0</v>
      </c>
      <c r="LW12" s="32">
        <v>0</v>
      </c>
      <c r="LX12" s="32">
        <v>0</v>
      </c>
    </row>
    <row r="13" spans="1:337" s="32" customFormat="1" ht="14.25" x14ac:dyDescent="0.2">
      <c r="A13" s="5">
        <v>7</v>
      </c>
      <c r="B13" s="27" t="s">
        <v>672</v>
      </c>
      <c r="C13" s="27" t="s">
        <v>321</v>
      </c>
      <c r="D13" s="27" t="s">
        <v>308</v>
      </c>
      <c r="E13" s="27" t="s">
        <v>321</v>
      </c>
      <c r="F13" s="28" t="s">
        <v>322</v>
      </c>
      <c r="G13" s="28" t="s">
        <v>323</v>
      </c>
      <c r="H13" s="29">
        <v>-1</v>
      </c>
      <c r="I13" s="30">
        <v>3.05</v>
      </c>
      <c r="J13" s="31">
        <v>13.089871957999998</v>
      </c>
      <c r="K13" s="29" t="s">
        <v>324</v>
      </c>
      <c r="L13" s="16">
        <v>0</v>
      </c>
      <c r="M13" s="16">
        <v>2</v>
      </c>
      <c r="N13" s="27" t="s">
        <v>321</v>
      </c>
      <c r="O13" s="27">
        <v>0</v>
      </c>
      <c r="P13" s="27">
        <v>0</v>
      </c>
      <c r="Q13" s="27">
        <v>0</v>
      </c>
      <c r="R13" s="27">
        <v>0</v>
      </c>
      <c r="S13" s="27">
        <v>0</v>
      </c>
      <c r="T13" s="27">
        <v>20</v>
      </c>
      <c r="U13" s="27">
        <v>1</v>
      </c>
      <c r="V13" s="27">
        <v>20</v>
      </c>
      <c r="W13" s="27">
        <v>2</v>
      </c>
      <c r="X13" s="27" t="s">
        <v>321</v>
      </c>
      <c r="Y13" s="17">
        <v>522.33234682099987</v>
      </c>
      <c r="Z13" s="17">
        <v>504.32178682099988</v>
      </c>
      <c r="AA13" s="17">
        <v>524.34798682099995</v>
      </c>
      <c r="AB13" s="17">
        <v>506.33742682099995</v>
      </c>
      <c r="AC13" s="17">
        <v>801.63732682099999</v>
      </c>
      <c r="AD13" s="17">
        <v>727.60054738860003</v>
      </c>
      <c r="AE13" s="17">
        <v>0</v>
      </c>
      <c r="AF13" s="17">
        <v>525.35562566179999</v>
      </c>
      <c r="AG13" s="17">
        <v>451.31884622939998</v>
      </c>
      <c r="AH13" s="17">
        <v>337.34703603639997</v>
      </c>
      <c r="AI13" s="17">
        <v>355.35760072039994</v>
      </c>
      <c r="AJ13" s="17">
        <v>0</v>
      </c>
      <c r="AK13" s="17">
        <v>0</v>
      </c>
      <c r="AL13" s="17">
        <v>555.58686738279994</v>
      </c>
      <c r="AM13" s="17">
        <v>247.0582794382</v>
      </c>
      <c r="AN13" s="17">
        <v>229.0477147542</v>
      </c>
      <c r="AO13" s="17">
        <v>0</v>
      </c>
      <c r="AP13" s="17">
        <v>0</v>
      </c>
      <c r="AQ13" s="17">
        <v>173.021500038</v>
      </c>
      <c r="AR13" s="17">
        <v>155.010935354</v>
      </c>
      <c r="AS13" s="32">
        <v>279.30517122359998</v>
      </c>
      <c r="AT13" s="32">
        <v>277.28952115919998</v>
      </c>
      <c r="AU13" s="32">
        <v>55.0547752254</v>
      </c>
      <c r="AV13" s="32">
        <v>57.070425289800006</v>
      </c>
      <c r="AW13" s="32">
        <v>69.070425289799999</v>
      </c>
      <c r="AX13" s="32">
        <v>71.086075354200005</v>
      </c>
      <c r="AY13" s="32">
        <v>81.070425289799999</v>
      </c>
      <c r="AZ13" s="32">
        <v>83.086075354200005</v>
      </c>
      <c r="BA13" s="32">
        <v>85.101725418599997</v>
      </c>
      <c r="BB13" s="32">
        <v>95.086075354200005</v>
      </c>
      <c r="BC13" s="32">
        <v>97.101725418599997</v>
      </c>
      <c r="BD13" s="32">
        <v>99.117375483000004</v>
      </c>
      <c r="BE13" s="32">
        <v>109.1017254186</v>
      </c>
      <c r="BF13" s="32">
        <v>111.117375483</v>
      </c>
      <c r="BG13" s="32">
        <v>113.13302554740001</v>
      </c>
      <c r="BH13" s="32">
        <v>123.117375483</v>
      </c>
      <c r="BI13" s="32">
        <v>125.13302554740001</v>
      </c>
      <c r="BJ13" s="32">
        <v>127.1486756118</v>
      </c>
      <c r="BK13" s="32">
        <v>137.1330255474</v>
      </c>
      <c r="BL13" s="32">
        <v>139.1486756118</v>
      </c>
      <c r="BM13" s="32">
        <v>141.16432567620001</v>
      </c>
      <c r="BN13" s="32">
        <v>151.1486756118</v>
      </c>
      <c r="BO13" s="32">
        <v>153.16432567620001</v>
      </c>
      <c r="BP13" s="32">
        <v>155.17997574060001</v>
      </c>
      <c r="BQ13" s="32">
        <v>165.16432567620001</v>
      </c>
      <c r="BR13" s="32">
        <v>167.17997574060001</v>
      </c>
      <c r="BS13" s="32">
        <v>169.19562580499999</v>
      </c>
      <c r="BT13" s="32">
        <v>179.17997574060001</v>
      </c>
      <c r="BU13" s="32">
        <v>181.19562580499999</v>
      </c>
      <c r="BV13" s="32">
        <v>183.2112758694</v>
      </c>
      <c r="BW13" s="32">
        <v>195.2112758694</v>
      </c>
      <c r="BX13" s="32">
        <v>197.2269259338</v>
      </c>
      <c r="BY13" s="32">
        <v>209.2269259338</v>
      </c>
      <c r="BZ13" s="32">
        <v>211.24257599820001</v>
      </c>
      <c r="CA13" s="32">
        <v>223.24257599820001</v>
      </c>
      <c r="CB13" s="32">
        <v>225.25822606260002</v>
      </c>
      <c r="CC13" s="32">
        <v>0</v>
      </c>
      <c r="CD13" s="32">
        <v>0</v>
      </c>
      <c r="CE13" s="32">
        <v>0</v>
      </c>
      <c r="CF13" s="32">
        <v>0</v>
      </c>
      <c r="CG13" s="32">
        <v>0</v>
      </c>
      <c r="CH13" s="32">
        <v>0</v>
      </c>
      <c r="CI13" s="32">
        <v>0</v>
      </c>
      <c r="CJ13" s="32">
        <v>0</v>
      </c>
      <c r="CK13" s="32">
        <v>0</v>
      </c>
      <c r="CL13" s="32">
        <v>0</v>
      </c>
      <c r="CM13" s="32">
        <v>0</v>
      </c>
      <c r="CN13" s="32">
        <v>0</v>
      </c>
      <c r="CO13" s="32">
        <v>0</v>
      </c>
      <c r="CP13" s="32">
        <v>0</v>
      </c>
      <c r="CQ13" s="32">
        <v>0</v>
      </c>
      <c r="CR13" s="32">
        <v>0</v>
      </c>
      <c r="CS13" s="32">
        <v>0</v>
      </c>
      <c r="CT13" s="32">
        <v>0</v>
      </c>
      <c r="CU13" s="32">
        <v>0</v>
      </c>
      <c r="CV13" s="32">
        <v>0</v>
      </c>
      <c r="CW13" s="32">
        <v>0</v>
      </c>
      <c r="CX13" s="32">
        <v>0</v>
      </c>
      <c r="CY13" s="32">
        <v>0</v>
      </c>
      <c r="CZ13" s="32">
        <v>0</v>
      </c>
      <c r="DA13" s="32">
        <v>0</v>
      </c>
      <c r="DB13" s="32">
        <v>0</v>
      </c>
      <c r="DC13" s="32">
        <v>0</v>
      </c>
      <c r="DD13" s="32">
        <v>0</v>
      </c>
      <c r="DE13" s="32">
        <v>0</v>
      </c>
      <c r="DF13" s="32">
        <v>0</v>
      </c>
      <c r="DG13" s="32">
        <v>0</v>
      </c>
      <c r="DH13" s="32">
        <v>0</v>
      </c>
      <c r="DI13" s="32">
        <v>0</v>
      </c>
      <c r="DJ13" s="32">
        <v>0</v>
      </c>
      <c r="DK13" s="32">
        <v>55.0547752254</v>
      </c>
      <c r="DL13" s="32">
        <v>57.070425289800006</v>
      </c>
      <c r="DM13" s="32">
        <v>69.070425289799999</v>
      </c>
      <c r="DN13" s="32">
        <v>71.086075354200005</v>
      </c>
      <c r="DO13" s="32">
        <v>81.070425289799999</v>
      </c>
      <c r="DP13" s="32">
        <v>83.086075354200005</v>
      </c>
      <c r="DQ13" s="32">
        <v>85.101725418599997</v>
      </c>
      <c r="DR13" s="32">
        <v>95.086075354200005</v>
      </c>
      <c r="DS13" s="32">
        <v>97.101725418599997</v>
      </c>
      <c r="DT13" s="32">
        <v>99.117375483000004</v>
      </c>
      <c r="DU13" s="32">
        <v>109.1017254186</v>
      </c>
      <c r="DV13" s="32">
        <v>111.117375483</v>
      </c>
      <c r="DW13" s="32">
        <v>113.13302554740001</v>
      </c>
      <c r="DX13" s="32">
        <v>123.117375483</v>
      </c>
      <c r="DY13" s="32">
        <v>125.13302554740001</v>
      </c>
      <c r="DZ13" s="32">
        <v>127.1486756118</v>
      </c>
      <c r="EA13" s="32">
        <v>137.1330255474</v>
      </c>
      <c r="EB13" s="32">
        <v>139.1486756118</v>
      </c>
      <c r="EC13" s="32">
        <v>141.16432567620001</v>
      </c>
      <c r="ED13" s="32">
        <v>149.1330255474</v>
      </c>
      <c r="EE13" s="32">
        <v>151.1486756118</v>
      </c>
      <c r="EF13" s="32">
        <v>153.16432567620001</v>
      </c>
      <c r="EG13" s="32">
        <v>155.17997574060001</v>
      </c>
      <c r="EH13" s="32">
        <v>163.1486756118</v>
      </c>
      <c r="EI13" s="32">
        <v>165.16432567620001</v>
      </c>
      <c r="EJ13" s="32">
        <v>167.17997574060001</v>
      </c>
      <c r="EK13" s="32">
        <v>169.19562580499999</v>
      </c>
      <c r="EL13" s="32">
        <v>177.16432567620001</v>
      </c>
      <c r="EM13" s="32">
        <v>179.17997574060001</v>
      </c>
      <c r="EN13" s="32">
        <v>181.19562580499999</v>
      </c>
      <c r="EO13" s="32">
        <v>183.2112758694</v>
      </c>
      <c r="EP13" s="32">
        <v>193.19562580499999</v>
      </c>
      <c r="EQ13" s="32">
        <v>195.2112758694</v>
      </c>
      <c r="ER13" s="32">
        <v>207.2112758694</v>
      </c>
      <c r="ES13" s="32">
        <v>209.2269259338</v>
      </c>
      <c r="ET13" s="32">
        <v>221.2269259338</v>
      </c>
      <c r="EU13" s="32">
        <v>223.24257599820001</v>
      </c>
      <c r="EV13" s="32">
        <v>0</v>
      </c>
      <c r="EW13" s="32">
        <v>0</v>
      </c>
      <c r="EX13" s="32">
        <v>0</v>
      </c>
      <c r="EY13" s="32">
        <v>0</v>
      </c>
      <c r="EZ13" s="32">
        <v>0</v>
      </c>
      <c r="FA13" s="32">
        <v>0</v>
      </c>
      <c r="FB13" s="32">
        <v>0</v>
      </c>
      <c r="FC13" s="32">
        <v>0</v>
      </c>
      <c r="FD13" s="32">
        <v>0</v>
      </c>
      <c r="FE13" s="32">
        <v>0</v>
      </c>
      <c r="FF13" s="32">
        <v>0</v>
      </c>
      <c r="FG13" s="32">
        <v>0</v>
      </c>
      <c r="FH13" s="32">
        <v>0</v>
      </c>
      <c r="FI13" s="32">
        <v>0</v>
      </c>
      <c r="FJ13" s="32">
        <v>0</v>
      </c>
      <c r="FK13" s="32">
        <v>0</v>
      </c>
      <c r="FL13" s="32">
        <v>0</v>
      </c>
      <c r="FM13" s="32">
        <v>0</v>
      </c>
      <c r="FN13" s="32">
        <v>0</v>
      </c>
      <c r="FO13" s="32">
        <v>0</v>
      </c>
      <c r="FP13" s="32">
        <v>0</v>
      </c>
      <c r="FQ13" s="32">
        <v>0</v>
      </c>
      <c r="FR13" s="32">
        <v>0</v>
      </c>
      <c r="FS13" s="32">
        <v>0</v>
      </c>
      <c r="FT13" s="32">
        <v>0</v>
      </c>
      <c r="FU13" s="32">
        <v>0</v>
      </c>
      <c r="FV13" s="32">
        <v>0</v>
      </c>
      <c r="FW13" s="32">
        <v>0</v>
      </c>
      <c r="FX13" s="32">
        <v>0</v>
      </c>
      <c r="FY13" s="32">
        <v>0</v>
      </c>
      <c r="FZ13" s="32">
        <v>0</v>
      </c>
      <c r="GA13" s="3">
        <v>21.870000000000005</v>
      </c>
      <c r="GB13" s="32">
        <v>2.1870000000000003</v>
      </c>
      <c r="GC13" s="32">
        <v>0</v>
      </c>
      <c r="GD13" s="32">
        <v>17.147499999999997</v>
      </c>
      <c r="GE13" s="32">
        <v>5</v>
      </c>
      <c r="GF13" s="32">
        <v>7.2900000000000009</v>
      </c>
      <c r="GG13" s="32">
        <v>3.6450000000000005</v>
      </c>
      <c r="GH13" s="32">
        <v>0</v>
      </c>
      <c r="GI13" s="32">
        <v>0</v>
      </c>
      <c r="GJ13" s="32">
        <v>0</v>
      </c>
      <c r="GK13" s="32">
        <v>11.664000000000001</v>
      </c>
      <c r="GL13" s="32">
        <v>0</v>
      </c>
      <c r="GM13" s="32">
        <v>0</v>
      </c>
      <c r="GN13" s="32">
        <v>0</v>
      </c>
      <c r="GO13" s="32">
        <v>30</v>
      </c>
      <c r="GP13" s="32">
        <v>10</v>
      </c>
      <c r="GQ13" s="32">
        <v>3.887</v>
      </c>
      <c r="GR13" s="32">
        <v>6.8769999999999989</v>
      </c>
      <c r="GS13" s="32">
        <v>1</v>
      </c>
      <c r="GT13" s="32">
        <v>4.125</v>
      </c>
      <c r="GU13" s="32">
        <v>1.095683193077468</v>
      </c>
      <c r="GV13" s="32">
        <v>7.2623906705539358</v>
      </c>
      <c r="GW13" s="32">
        <v>1.1728000000000001</v>
      </c>
      <c r="GX13" s="32">
        <v>2.5309310892394863</v>
      </c>
      <c r="GY13" s="32">
        <v>12.349125364431487</v>
      </c>
      <c r="GZ13" s="32">
        <v>1.7281777777777778</v>
      </c>
      <c r="HA13" s="32">
        <v>13.164746412555075</v>
      </c>
      <c r="HB13" s="32">
        <v>1.3345481049562684</v>
      </c>
      <c r="HC13" s="32">
        <v>9.8888888888888893</v>
      </c>
      <c r="HD13" s="32">
        <v>18.320508075688771</v>
      </c>
      <c r="HE13" s="32">
        <v>2.6348610067618332</v>
      </c>
      <c r="HF13" s="32">
        <v>6.5492895730664351</v>
      </c>
      <c r="HG13" s="32">
        <v>13.164746412555075</v>
      </c>
      <c r="HH13" s="32">
        <v>3.3277610818933128</v>
      </c>
      <c r="HI13" s="32">
        <v>4.2528916662432898</v>
      </c>
      <c r="HJ13" s="32">
        <v>9.1494297255984218</v>
      </c>
      <c r="HK13" s="32">
        <v>4.1930879038317048</v>
      </c>
      <c r="HL13" s="32">
        <v>2.7558299039780527</v>
      </c>
      <c r="HM13" s="32">
        <v>6.1320023927966725</v>
      </c>
      <c r="HN13" s="32">
        <v>5.25</v>
      </c>
      <c r="HO13" s="32">
        <v>1.8467543904215145</v>
      </c>
      <c r="HP13" s="32">
        <v>3.969908792127705</v>
      </c>
      <c r="HQ13" s="32">
        <v>4.1930879038317048</v>
      </c>
      <c r="HR13" s="32">
        <v>1.3468305983166522</v>
      </c>
      <c r="HS13" s="32">
        <v>2.5205933015693844</v>
      </c>
      <c r="HT13" s="32">
        <v>3.3277610818933128</v>
      </c>
      <c r="HU13" s="32">
        <v>1.6415002990995839</v>
      </c>
      <c r="HV13" s="32">
        <v>2.6348610067618332</v>
      </c>
      <c r="HW13" s="32">
        <v>1.1900741626961731</v>
      </c>
      <c r="HX13" s="32">
        <v>2.0952291510142746</v>
      </c>
      <c r="HY13" s="32">
        <v>1.0237592703370215</v>
      </c>
      <c r="HZ13" s="32">
        <v>1.6897069872276482</v>
      </c>
      <c r="IA13" s="32">
        <v>0</v>
      </c>
      <c r="IB13" s="32">
        <v>0</v>
      </c>
      <c r="IC13" s="32">
        <v>0</v>
      </c>
      <c r="ID13" s="32">
        <v>0</v>
      </c>
      <c r="IE13" s="32">
        <v>0</v>
      </c>
      <c r="IF13" s="32">
        <v>0</v>
      </c>
      <c r="IG13" s="32">
        <v>0</v>
      </c>
      <c r="IH13" s="32">
        <v>0</v>
      </c>
      <c r="II13" s="32">
        <v>0</v>
      </c>
      <c r="IJ13" s="32">
        <v>0</v>
      </c>
      <c r="IK13" s="32">
        <v>0</v>
      </c>
      <c r="IL13" s="32">
        <v>0</v>
      </c>
      <c r="IM13" s="32">
        <v>0</v>
      </c>
      <c r="IN13" s="32">
        <v>0</v>
      </c>
      <c r="IO13" s="32">
        <v>0</v>
      </c>
      <c r="IP13" s="32">
        <v>0</v>
      </c>
      <c r="IQ13" s="32">
        <v>0</v>
      </c>
      <c r="IR13" s="32">
        <v>0</v>
      </c>
      <c r="IS13" s="32">
        <v>0</v>
      </c>
      <c r="IT13" s="32">
        <v>0</v>
      </c>
      <c r="IU13" s="32">
        <v>0</v>
      </c>
      <c r="IV13" s="32">
        <v>0</v>
      </c>
      <c r="IW13" s="32">
        <v>0</v>
      </c>
      <c r="IX13" s="32">
        <v>0</v>
      </c>
      <c r="IY13" s="32">
        <v>0</v>
      </c>
      <c r="IZ13" s="32">
        <v>0</v>
      </c>
      <c r="JA13" s="32">
        <v>0</v>
      </c>
      <c r="JB13" s="32">
        <v>0</v>
      </c>
      <c r="JC13" s="32">
        <v>0</v>
      </c>
      <c r="JD13" s="32">
        <v>0</v>
      </c>
      <c r="JE13" s="32">
        <v>0</v>
      </c>
      <c r="JF13" s="32">
        <v>0</v>
      </c>
      <c r="JG13" s="32">
        <v>0</v>
      </c>
      <c r="JH13" s="32">
        <v>0</v>
      </c>
      <c r="JI13" s="32">
        <v>1</v>
      </c>
      <c r="JJ13" s="32">
        <v>1.925925925925926</v>
      </c>
      <c r="JK13" s="32">
        <v>1.17578125</v>
      </c>
      <c r="JL13" s="32">
        <v>2.8573588165424901</v>
      </c>
      <c r="JM13" s="32">
        <v>1.6911999999999998</v>
      </c>
      <c r="JN13" s="32">
        <v>3.8125</v>
      </c>
      <c r="JO13" s="32">
        <v>4.3773890508584383</v>
      </c>
      <c r="JP13" s="32">
        <v>3.9127111111111117</v>
      </c>
      <c r="JQ13" s="32">
        <v>19.247119618832613</v>
      </c>
      <c r="JR13" s="32">
        <v>1.1486880466472305</v>
      </c>
      <c r="JS13" s="32">
        <v>21</v>
      </c>
      <c r="JT13" s="32">
        <v>26.98076211353316</v>
      </c>
      <c r="JU13" s="32">
        <v>1.7266048918941481</v>
      </c>
      <c r="JV13" s="32">
        <v>13.48590153939948</v>
      </c>
      <c r="JW13" s="32">
        <v>19.247119618832613</v>
      </c>
      <c r="JX13" s="32">
        <v>2.0345604808414723</v>
      </c>
      <c r="JY13" s="32">
        <v>8.3190062490474013</v>
      </c>
      <c r="JZ13" s="32">
        <v>13.224144588397632</v>
      </c>
      <c r="KA13" s="32">
        <v>2.4191501794807575</v>
      </c>
      <c r="KB13" s="32">
        <v>5.5460041660316008</v>
      </c>
      <c r="KC13" s="32">
        <v>4.9506172839506188</v>
      </c>
      <c r="KD13" s="32">
        <v>8.6980035891950074</v>
      </c>
      <c r="KE13" s="32">
        <v>2.8888888888888888</v>
      </c>
      <c r="KF13" s="32">
        <v>3.300411522633746</v>
      </c>
      <c r="KG13" s="32">
        <v>2.9051973784484075</v>
      </c>
      <c r="KH13" s="32">
        <v>5.4548631881915579</v>
      </c>
      <c r="KI13" s="32">
        <v>2.4191501794807575</v>
      </c>
      <c r="KJ13" s="32">
        <v>1.9367982522989384</v>
      </c>
      <c r="KK13" s="32">
        <v>1.7803688462124674</v>
      </c>
      <c r="KL13" s="32">
        <v>3.2808899523540767</v>
      </c>
      <c r="KM13" s="32">
        <v>2.0345604808414723</v>
      </c>
      <c r="KN13" s="32">
        <v>1.2469135802469138</v>
      </c>
      <c r="KO13" s="32">
        <v>1.9622504486493759</v>
      </c>
      <c r="KP13" s="32">
        <v>1.0487730528882793</v>
      </c>
      <c r="KQ13" s="32">
        <v>1.2851112440442596</v>
      </c>
      <c r="KR13" s="32">
        <v>1.0030483158055175</v>
      </c>
      <c r="KS13" s="32">
        <v>1.0356389055055324</v>
      </c>
      <c r="KT13" s="32">
        <v>0</v>
      </c>
      <c r="KU13" s="32">
        <v>0</v>
      </c>
      <c r="KV13" s="32">
        <v>0</v>
      </c>
      <c r="KW13" s="32">
        <v>0</v>
      </c>
      <c r="KX13" s="32">
        <v>0</v>
      </c>
      <c r="KY13" s="32">
        <v>0</v>
      </c>
      <c r="KZ13" s="32">
        <v>0</v>
      </c>
      <c r="LA13" s="32">
        <v>0</v>
      </c>
      <c r="LB13" s="32">
        <v>0</v>
      </c>
      <c r="LC13" s="32">
        <v>0</v>
      </c>
      <c r="LD13" s="32">
        <v>0</v>
      </c>
      <c r="LE13" s="32">
        <v>0</v>
      </c>
      <c r="LF13" s="32">
        <v>0</v>
      </c>
      <c r="LG13" s="32">
        <v>0</v>
      </c>
      <c r="LH13" s="32">
        <v>0</v>
      </c>
      <c r="LI13" s="32">
        <v>0</v>
      </c>
      <c r="LJ13" s="32">
        <v>0</v>
      </c>
      <c r="LK13" s="32">
        <v>0</v>
      </c>
      <c r="LL13" s="32">
        <v>0</v>
      </c>
      <c r="LM13" s="32">
        <v>0</v>
      </c>
      <c r="LN13" s="32">
        <v>0</v>
      </c>
      <c r="LO13" s="32">
        <v>0</v>
      </c>
      <c r="LP13" s="32">
        <v>0</v>
      </c>
      <c r="LQ13" s="32">
        <v>0</v>
      </c>
      <c r="LR13" s="32">
        <v>0</v>
      </c>
      <c r="LS13" s="32">
        <v>0</v>
      </c>
      <c r="LT13" s="32">
        <v>0</v>
      </c>
      <c r="LU13" s="32">
        <v>0</v>
      </c>
      <c r="LV13" s="32">
        <v>0</v>
      </c>
      <c r="LW13" s="32">
        <v>0</v>
      </c>
      <c r="LX13" s="32">
        <v>0</v>
      </c>
    </row>
    <row r="14" spans="1:337" s="32" customFormat="1" ht="14.25" x14ac:dyDescent="0.2">
      <c r="A14" s="5">
        <v>8</v>
      </c>
      <c r="B14" s="27" t="s">
        <v>673</v>
      </c>
      <c r="C14" s="27" t="s">
        <v>325</v>
      </c>
      <c r="D14" s="27" t="s">
        <v>313</v>
      </c>
      <c r="E14" s="27" t="s">
        <v>325</v>
      </c>
      <c r="F14" s="28" t="s">
        <v>326</v>
      </c>
      <c r="G14" s="28" t="s">
        <v>327</v>
      </c>
      <c r="H14" s="29">
        <v>-1</v>
      </c>
      <c r="I14" s="30">
        <v>2.0699999999999998</v>
      </c>
      <c r="J14" s="31">
        <v>12.68429247666667</v>
      </c>
      <c r="K14" s="29" t="s">
        <v>328</v>
      </c>
      <c r="L14" s="16">
        <v>0</v>
      </c>
      <c r="M14" s="16">
        <v>2</v>
      </c>
      <c r="N14" s="27" t="s">
        <v>325</v>
      </c>
      <c r="O14" s="27">
        <v>0</v>
      </c>
      <c r="P14" s="27">
        <v>0</v>
      </c>
      <c r="Q14" s="27">
        <v>0</v>
      </c>
      <c r="R14" s="27">
        <v>0</v>
      </c>
      <c r="S14" s="27">
        <v>0</v>
      </c>
      <c r="T14" s="27">
        <v>20</v>
      </c>
      <c r="U14" s="27">
        <v>1</v>
      </c>
      <c r="V14" s="27">
        <v>20</v>
      </c>
      <c r="W14" s="27">
        <v>3</v>
      </c>
      <c r="X14" s="27" t="s">
        <v>325</v>
      </c>
      <c r="Y14" s="17">
        <v>520.31669675659987</v>
      </c>
      <c r="Z14" s="17">
        <v>502.30613675659987</v>
      </c>
      <c r="AA14" s="17">
        <v>524.34797675660002</v>
      </c>
      <c r="AB14" s="17">
        <v>506.33741675660002</v>
      </c>
      <c r="AC14" s="17">
        <v>799.62167675659998</v>
      </c>
      <c r="AD14" s="17">
        <v>725.58489732420003</v>
      </c>
      <c r="AE14" s="17">
        <v>0</v>
      </c>
      <c r="AF14" s="17">
        <v>525.35562566179999</v>
      </c>
      <c r="AG14" s="17">
        <v>451.31884622939998</v>
      </c>
      <c r="AH14" s="17">
        <v>337.34703603639997</v>
      </c>
      <c r="AI14" s="17">
        <v>355.35760072039994</v>
      </c>
      <c r="AJ14" s="17">
        <v>0</v>
      </c>
      <c r="AK14" s="17">
        <v>0</v>
      </c>
      <c r="AL14" s="17">
        <v>553.57121731839993</v>
      </c>
      <c r="AM14" s="17">
        <v>247.0582794382</v>
      </c>
      <c r="AN14" s="17">
        <v>229.0477147542</v>
      </c>
      <c r="AO14" s="17">
        <v>0</v>
      </c>
      <c r="AP14" s="17">
        <v>0</v>
      </c>
      <c r="AQ14" s="17">
        <v>173.021500038</v>
      </c>
      <c r="AR14" s="17">
        <v>155.010935354</v>
      </c>
      <c r="AS14" s="32">
        <v>279.30517122359998</v>
      </c>
      <c r="AT14" s="32">
        <v>275.27387109479997</v>
      </c>
      <c r="AU14" s="32">
        <v>55.0547752254</v>
      </c>
      <c r="AV14" s="32">
        <v>57.070425289800006</v>
      </c>
      <c r="AW14" s="32">
        <v>69.070425289799999</v>
      </c>
      <c r="AX14" s="32">
        <v>71.086075354200005</v>
      </c>
      <c r="AY14" s="32">
        <v>81.070425289799999</v>
      </c>
      <c r="AZ14" s="32">
        <v>83.086075354200005</v>
      </c>
      <c r="BA14" s="32">
        <v>85.101725418599997</v>
      </c>
      <c r="BB14" s="32">
        <v>95.086075354200005</v>
      </c>
      <c r="BC14" s="32">
        <v>97.101725418599997</v>
      </c>
      <c r="BD14" s="32">
        <v>99.117375483000004</v>
      </c>
      <c r="BE14" s="32">
        <v>109.1017254186</v>
      </c>
      <c r="BF14" s="32">
        <v>111.117375483</v>
      </c>
      <c r="BG14" s="32">
        <v>113.13302554740001</v>
      </c>
      <c r="BH14" s="32">
        <v>123.117375483</v>
      </c>
      <c r="BI14" s="32">
        <v>125.13302554740001</v>
      </c>
      <c r="BJ14" s="32">
        <v>127.1486756118</v>
      </c>
      <c r="BK14" s="32">
        <v>137.1330255474</v>
      </c>
      <c r="BL14" s="32">
        <v>139.1486756118</v>
      </c>
      <c r="BM14" s="32">
        <v>141.16432567620001</v>
      </c>
      <c r="BN14" s="32">
        <v>151.1486756118</v>
      </c>
      <c r="BO14" s="32">
        <v>153.16432567620001</v>
      </c>
      <c r="BP14" s="32">
        <v>155.17997574060001</v>
      </c>
      <c r="BQ14" s="32">
        <v>165.16432567620001</v>
      </c>
      <c r="BR14" s="32">
        <v>167.17997574060001</v>
      </c>
      <c r="BS14" s="32">
        <v>169.19562580499999</v>
      </c>
      <c r="BT14" s="32">
        <v>179.17997574060001</v>
      </c>
      <c r="BU14" s="32">
        <v>181.19562580499999</v>
      </c>
      <c r="BV14" s="32">
        <v>183.2112758694</v>
      </c>
      <c r="BW14" s="32">
        <v>195.2112758694</v>
      </c>
      <c r="BX14" s="32">
        <v>197.2269259338</v>
      </c>
      <c r="BY14" s="32">
        <v>209.2269259338</v>
      </c>
      <c r="BZ14" s="32">
        <v>211.24257599820001</v>
      </c>
      <c r="CA14" s="32">
        <v>223.24257599820001</v>
      </c>
      <c r="CB14" s="32">
        <v>225.25822606260002</v>
      </c>
      <c r="CC14" s="32">
        <v>0</v>
      </c>
      <c r="CD14" s="32">
        <v>0</v>
      </c>
      <c r="CE14" s="32">
        <v>0</v>
      </c>
      <c r="CF14" s="32">
        <v>0</v>
      </c>
      <c r="CG14" s="32">
        <v>0</v>
      </c>
      <c r="CH14" s="32">
        <v>0</v>
      </c>
      <c r="CI14" s="32">
        <v>0</v>
      </c>
      <c r="CJ14" s="32">
        <v>0</v>
      </c>
      <c r="CK14" s="32">
        <v>0</v>
      </c>
      <c r="CL14" s="32">
        <v>0</v>
      </c>
      <c r="CM14" s="32">
        <v>0</v>
      </c>
      <c r="CN14" s="32">
        <v>0</v>
      </c>
      <c r="CO14" s="32">
        <v>0</v>
      </c>
      <c r="CP14" s="32">
        <v>0</v>
      </c>
      <c r="CQ14" s="32">
        <v>0</v>
      </c>
      <c r="CR14" s="32">
        <v>0</v>
      </c>
      <c r="CS14" s="32">
        <v>0</v>
      </c>
      <c r="CT14" s="32">
        <v>0</v>
      </c>
      <c r="CU14" s="32">
        <v>0</v>
      </c>
      <c r="CV14" s="32">
        <v>0</v>
      </c>
      <c r="CW14" s="32">
        <v>0</v>
      </c>
      <c r="CX14" s="32">
        <v>0</v>
      </c>
      <c r="CY14" s="32">
        <v>0</v>
      </c>
      <c r="CZ14" s="32">
        <v>0</v>
      </c>
      <c r="DA14" s="32">
        <v>0</v>
      </c>
      <c r="DB14" s="32">
        <v>0</v>
      </c>
      <c r="DC14" s="32">
        <v>0</v>
      </c>
      <c r="DD14" s="32">
        <v>0</v>
      </c>
      <c r="DE14" s="32">
        <v>0</v>
      </c>
      <c r="DF14" s="32">
        <v>0</v>
      </c>
      <c r="DG14" s="32">
        <v>0</v>
      </c>
      <c r="DH14" s="32">
        <v>0</v>
      </c>
      <c r="DI14" s="32">
        <v>0</v>
      </c>
      <c r="DJ14" s="32">
        <v>0</v>
      </c>
      <c r="DK14" s="32">
        <v>55.0547752254</v>
      </c>
      <c r="DL14" s="32">
        <v>57.070425289800006</v>
      </c>
      <c r="DM14" s="32">
        <v>69.070425289799999</v>
      </c>
      <c r="DN14" s="32">
        <v>71.086075354200005</v>
      </c>
      <c r="DO14" s="32">
        <v>81.070425289799999</v>
      </c>
      <c r="DP14" s="32">
        <v>83.086075354200005</v>
      </c>
      <c r="DQ14" s="32">
        <v>85.101725418599997</v>
      </c>
      <c r="DR14" s="32">
        <v>95.086075354200005</v>
      </c>
      <c r="DS14" s="32">
        <v>97.101725418599997</v>
      </c>
      <c r="DT14" s="32">
        <v>99.117375483000004</v>
      </c>
      <c r="DU14" s="32">
        <v>109.1017254186</v>
      </c>
      <c r="DV14" s="32">
        <v>111.117375483</v>
      </c>
      <c r="DW14" s="32">
        <v>113.13302554740001</v>
      </c>
      <c r="DX14" s="32">
        <v>123.117375483</v>
      </c>
      <c r="DY14" s="32">
        <v>125.13302554740001</v>
      </c>
      <c r="DZ14" s="32">
        <v>137.1330255474</v>
      </c>
      <c r="EA14" s="32">
        <v>139.1486756118</v>
      </c>
      <c r="EB14" s="32">
        <v>149.1330255474</v>
      </c>
      <c r="EC14" s="32">
        <v>151.1486756118</v>
      </c>
      <c r="ED14" s="32">
        <v>153.16432567620001</v>
      </c>
      <c r="EE14" s="32">
        <v>163.1486756118</v>
      </c>
      <c r="EF14" s="32">
        <v>165.16432567620001</v>
      </c>
      <c r="EG14" s="32">
        <v>167.17997574060001</v>
      </c>
      <c r="EH14" s="32">
        <v>177.16432567620001</v>
      </c>
      <c r="EI14" s="32">
        <v>179.17997574060001</v>
      </c>
      <c r="EJ14" s="32">
        <v>181.19562580499999</v>
      </c>
      <c r="EK14" s="32">
        <v>191.17997574060001</v>
      </c>
      <c r="EL14" s="32">
        <v>193.19562580499999</v>
      </c>
      <c r="EM14" s="32">
        <v>205.19562580499999</v>
      </c>
      <c r="EN14" s="32">
        <v>207.2112758694</v>
      </c>
      <c r="EO14" s="32">
        <v>219.2112758694</v>
      </c>
      <c r="EP14" s="32">
        <v>221.2269259338</v>
      </c>
      <c r="EQ14" s="32">
        <v>0</v>
      </c>
      <c r="ER14" s="32">
        <v>0</v>
      </c>
      <c r="ES14" s="32">
        <v>0</v>
      </c>
      <c r="ET14" s="32">
        <v>0</v>
      </c>
      <c r="EU14" s="32">
        <v>0</v>
      </c>
      <c r="EV14" s="32">
        <v>0</v>
      </c>
      <c r="EW14" s="32">
        <v>0</v>
      </c>
      <c r="EX14" s="32">
        <v>0</v>
      </c>
      <c r="EY14" s="32">
        <v>0</v>
      </c>
      <c r="EZ14" s="32">
        <v>0</v>
      </c>
      <c r="FA14" s="32">
        <v>0</v>
      </c>
      <c r="FB14" s="32">
        <v>0</v>
      </c>
      <c r="FC14" s="32">
        <v>0</v>
      </c>
      <c r="FD14" s="32">
        <v>0</v>
      </c>
      <c r="FE14" s="32">
        <v>0</v>
      </c>
      <c r="FF14" s="32">
        <v>0</v>
      </c>
      <c r="FG14" s="32">
        <v>0</v>
      </c>
      <c r="FH14" s="32">
        <v>0</v>
      </c>
      <c r="FI14" s="32">
        <v>0</v>
      </c>
      <c r="FJ14" s="32">
        <v>0</v>
      </c>
      <c r="FK14" s="32">
        <v>0</v>
      </c>
      <c r="FL14" s="32">
        <v>0</v>
      </c>
      <c r="FM14" s="32">
        <v>0</v>
      </c>
      <c r="FN14" s="32">
        <v>0</v>
      </c>
      <c r="FO14" s="32">
        <v>0</v>
      </c>
      <c r="FP14" s="32">
        <v>0</v>
      </c>
      <c r="FQ14" s="32">
        <v>0</v>
      </c>
      <c r="FR14" s="32">
        <v>0</v>
      </c>
      <c r="FS14" s="32">
        <v>0</v>
      </c>
      <c r="FT14" s="32">
        <v>0</v>
      </c>
      <c r="FU14" s="32">
        <v>0</v>
      </c>
      <c r="FV14" s="32">
        <v>0</v>
      </c>
      <c r="FW14" s="32">
        <v>0</v>
      </c>
      <c r="FX14" s="32">
        <v>0</v>
      </c>
      <c r="FY14" s="32">
        <v>0</v>
      </c>
      <c r="FZ14" s="32">
        <v>0</v>
      </c>
      <c r="GA14" s="3">
        <v>19.683000000000003</v>
      </c>
      <c r="GB14" s="32">
        <v>1.9683000000000004</v>
      </c>
      <c r="GC14" s="32">
        <v>0</v>
      </c>
      <c r="GD14" s="32">
        <v>16.290125</v>
      </c>
      <c r="GE14" s="32">
        <v>5</v>
      </c>
      <c r="GF14" s="32">
        <v>6.5610000000000017</v>
      </c>
      <c r="GG14" s="32">
        <v>3.2805000000000009</v>
      </c>
      <c r="GH14" s="32">
        <v>0</v>
      </c>
      <c r="GI14" s="32">
        <v>0</v>
      </c>
      <c r="GJ14" s="32">
        <v>0</v>
      </c>
      <c r="GK14" s="32">
        <v>20.995200000000004</v>
      </c>
      <c r="GL14" s="32">
        <v>0</v>
      </c>
      <c r="GM14" s="32">
        <v>0</v>
      </c>
      <c r="GN14" s="32">
        <v>0</v>
      </c>
      <c r="GO14" s="32">
        <v>30</v>
      </c>
      <c r="GP14" s="32">
        <v>10</v>
      </c>
      <c r="GQ14" s="32">
        <v>5.0531000000000006</v>
      </c>
      <c r="GR14" s="32">
        <v>15.817099999999996</v>
      </c>
      <c r="GS14" s="32">
        <v>1</v>
      </c>
      <c r="GT14" s="32">
        <v>4.125</v>
      </c>
      <c r="GU14" s="32">
        <v>1.095683193077468</v>
      </c>
      <c r="GV14" s="32">
        <v>7.2623906705539358</v>
      </c>
      <c r="GW14" s="32">
        <v>1.1728000000000001</v>
      </c>
      <c r="GX14" s="32">
        <v>2.5309310892394863</v>
      </c>
      <c r="GY14" s="32">
        <v>12.349125364431487</v>
      </c>
      <c r="GZ14" s="32">
        <v>1.7281777777777778</v>
      </c>
      <c r="HA14" s="32">
        <v>13.164746412555075</v>
      </c>
      <c r="HB14" s="32">
        <v>1.3345481049562684</v>
      </c>
      <c r="HC14" s="32">
        <v>9.8888888888888893</v>
      </c>
      <c r="HD14" s="32">
        <v>18.320508075688771</v>
      </c>
      <c r="HE14" s="32">
        <v>2.6348610067618332</v>
      </c>
      <c r="HF14" s="32">
        <v>6.5492895730664351</v>
      </c>
      <c r="HG14" s="32">
        <v>13.164746412555075</v>
      </c>
      <c r="HH14" s="32">
        <v>3.3277610818933128</v>
      </c>
      <c r="HI14" s="32">
        <v>4.2528916662432898</v>
      </c>
      <c r="HJ14" s="32">
        <v>9.1494297255984218</v>
      </c>
      <c r="HK14" s="32">
        <v>4.1930879038317048</v>
      </c>
      <c r="HL14" s="32">
        <v>2.7558299039780527</v>
      </c>
      <c r="HM14" s="32">
        <v>6.1320023927966725</v>
      </c>
      <c r="HN14" s="32">
        <v>5.25</v>
      </c>
      <c r="HO14" s="32">
        <v>1.8467543904215145</v>
      </c>
      <c r="HP14" s="32">
        <v>3.969908792127705</v>
      </c>
      <c r="HQ14" s="32">
        <v>4.1930879038317048</v>
      </c>
      <c r="HR14" s="32">
        <v>1.3468305983166522</v>
      </c>
      <c r="HS14" s="32">
        <v>2.5205933015693844</v>
      </c>
      <c r="HT14" s="32">
        <v>3.3277610818933128</v>
      </c>
      <c r="HU14" s="32">
        <v>1.6415002990995839</v>
      </c>
      <c r="HV14" s="32">
        <v>2.6348610067618332</v>
      </c>
      <c r="HW14" s="32">
        <v>1.1900741626961731</v>
      </c>
      <c r="HX14" s="32">
        <v>2.0952291510142746</v>
      </c>
      <c r="HY14" s="32">
        <v>1.0237592703370215</v>
      </c>
      <c r="HZ14" s="32">
        <v>1.6897069872276482</v>
      </c>
      <c r="IA14" s="32">
        <v>0</v>
      </c>
      <c r="IB14" s="32">
        <v>0</v>
      </c>
      <c r="IC14" s="32">
        <v>0</v>
      </c>
      <c r="ID14" s="32">
        <v>0</v>
      </c>
      <c r="IE14" s="32">
        <v>0</v>
      </c>
      <c r="IF14" s="32">
        <v>0</v>
      </c>
      <c r="IG14" s="32">
        <v>0</v>
      </c>
      <c r="IH14" s="32">
        <v>0</v>
      </c>
      <c r="II14" s="32">
        <v>0</v>
      </c>
      <c r="IJ14" s="32">
        <v>0</v>
      </c>
      <c r="IK14" s="32">
        <v>0</v>
      </c>
      <c r="IL14" s="32">
        <v>0</v>
      </c>
      <c r="IM14" s="32">
        <v>0</v>
      </c>
      <c r="IN14" s="32">
        <v>0</v>
      </c>
      <c r="IO14" s="32">
        <v>0</v>
      </c>
      <c r="IP14" s="32">
        <v>0</v>
      </c>
      <c r="IQ14" s="32">
        <v>0</v>
      </c>
      <c r="IR14" s="32">
        <v>0</v>
      </c>
      <c r="IS14" s="32">
        <v>0</v>
      </c>
      <c r="IT14" s="32">
        <v>0</v>
      </c>
      <c r="IU14" s="32">
        <v>0</v>
      </c>
      <c r="IV14" s="32">
        <v>0</v>
      </c>
      <c r="IW14" s="32">
        <v>0</v>
      </c>
      <c r="IX14" s="32">
        <v>0</v>
      </c>
      <c r="IY14" s="32">
        <v>0</v>
      </c>
      <c r="IZ14" s="32">
        <v>0</v>
      </c>
      <c r="JA14" s="32">
        <v>0</v>
      </c>
      <c r="JB14" s="32">
        <v>0</v>
      </c>
      <c r="JC14" s="32">
        <v>0</v>
      </c>
      <c r="JD14" s="32">
        <v>0</v>
      </c>
      <c r="JE14" s="32">
        <v>0</v>
      </c>
      <c r="JF14" s="32">
        <v>0</v>
      </c>
      <c r="JG14" s="32">
        <v>0</v>
      </c>
      <c r="JH14" s="32">
        <v>0</v>
      </c>
      <c r="JI14" s="32">
        <v>1</v>
      </c>
      <c r="JJ14" s="32">
        <v>1.390625</v>
      </c>
      <c r="JK14" s="32">
        <v>1.095683193077468</v>
      </c>
      <c r="JL14" s="32">
        <v>1.784347667638484</v>
      </c>
      <c r="JM14" s="32">
        <v>2.5551999999999997</v>
      </c>
      <c r="JN14" s="32">
        <v>2.5309310892394863</v>
      </c>
      <c r="JO14" s="32">
        <v>2.4310313411078717</v>
      </c>
      <c r="JP14" s="32">
        <v>7.5536000000000012</v>
      </c>
      <c r="JQ14" s="32">
        <v>13.164746412555075</v>
      </c>
      <c r="JR14" s="32">
        <v>1.0836370262390671</v>
      </c>
      <c r="JS14" s="32">
        <v>36.555555555555557</v>
      </c>
      <c r="JT14" s="32">
        <v>18.320508075688771</v>
      </c>
      <c r="JU14" s="32">
        <v>1.4087152516904582</v>
      </c>
      <c r="JV14" s="32">
        <v>23.19715829226574</v>
      </c>
      <c r="JW14" s="32">
        <v>13.164746412555075</v>
      </c>
      <c r="JX14" s="32">
        <v>14.011566664973158</v>
      </c>
      <c r="JY14" s="32">
        <v>9.1494297255984218</v>
      </c>
      <c r="JZ14" s="32">
        <v>8.7764976083700503</v>
      </c>
      <c r="KA14" s="32">
        <v>8.0233196159122109</v>
      </c>
      <c r="KB14" s="32">
        <v>6.1320023927966725</v>
      </c>
      <c r="KC14" s="32">
        <v>5.8509984055800333</v>
      </c>
      <c r="KD14" s="32">
        <v>4.3870175616860578</v>
      </c>
      <c r="KE14" s="32">
        <v>3.969908792127705</v>
      </c>
      <c r="KF14" s="32">
        <v>3.900665603720022</v>
      </c>
      <c r="KG14" s="32">
        <v>2.3873223932666088</v>
      </c>
      <c r="KH14" s="32">
        <v>2.5205933015693844</v>
      </c>
      <c r="KI14" s="32">
        <v>2.6004437358133479</v>
      </c>
      <c r="KJ14" s="32">
        <v>1.4389574759945132</v>
      </c>
      <c r="KK14" s="32">
        <v>1.6803955343795896</v>
      </c>
      <c r="KL14" s="32">
        <v>1.086707649579163</v>
      </c>
      <c r="KM14" s="32">
        <v>0.95930498399634212</v>
      </c>
      <c r="KN14" s="32">
        <v>1.0054192280986978</v>
      </c>
      <c r="KO14" s="32">
        <v>0</v>
      </c>
      <c r="KP14" s="32">
        <v>0</v>
      </c>
      <c r="KQ14" s="32">
        <v>0</v>
      </c>
      <c r="KR14" s="32">
        <v>0</v>
      </c>
      <c r="KS14" s="32">
        <v>0</v>
      </c>
      <c r="KT14" s="32">
        <v>0</v>
      </c>
      <c r="KU14" s="32">
        <v>0</v>
      </c>
      <c r="KV14" s="32">
        <v>0</v>
      </c>
      <c r="KW14" s="32">
        <v>0</v>
      </c>
      <c r="KX14" s="32">
        <v>0</v>
      </c>
      <c r="KY14" s="32">
        <v>0</v>
      </c>
      <c r="KZ14" s="32">
        <v>0</v>
      </c>
      <c r="LA14" s="32">
        <v>0</v>
      </c>
      <c r="LB14" s="32">
        <v>0</v>
      </c>
      <c r="LC14" s="32">
        <v>0</v>
      </c>
      <c r="LD14" s="32">
        <v>0</v>
      </c>
      <c r="LE14" s="32">
        <v>0</v>
      </c>
      <c r="LF14" s="32">
        <v>0</v>
      </c>
      <c r="LG14" s="32">
        <v>0</v>
      </c>
      <c r="LH14" s="32">
        <v>0</v>
      </c>
      <c r="LI14" s="32">
        <v>0</v>
      </c>
      <c r="LJ14" s="32">
        <v>0</v>
      </c>
      <c r="LK14" s="32">
        <v>0</v>
      </c>
      <c r="LL14" s="32">
        <v>0</v>
      </c>
      <c r="LM14" s="32">
        <v>0</v>
      </c>
      <c r="LN14" s="32">
        <v>0</v>
      </c>
      <c r="LO14" s="32">
        <v>0</v>
      </c>
      <c r="LP14" s="32">
        <v>0</v>
      </c>
      <c r="LQ14" s="32">
        <v>0</v>
      </c>
      <c r="LR14" s="32">
        <v>0</v>
      </c>
      <c r="LS14" s="32">
        <v>0</v>
      </c>
      <c r="LT14" s="32">
        <v>0</v>
      </c>
      <c r="LU14" s="32">
        <v>0</v>
      </c>
      <c r="LV14" s="32">
        <v>0</v>
      </c>
      <c r="LW14" s="32">
        <v>0</v>
      </c>
      <c r="LX14" s="32">
        <v>0</v>
      </c>
    </row>
    <row r="15" spans="1:337" s="32" customFormat="1" ht="14.25" x14ac:dyDescent="0.2">
      <c r="A15" s="5">
        <v>9</v>
      </c>
      <c r="B15" s="27" t="s">
        <v>674</v>
      </c>
      <c r="C15" s="27" t="s">
        <v>329</v>
      </c>
      <c r="D15" s="27" t="s">
        <v>330</v>
      </c>
      <c r="E15" s="27" t="s">
        <v>329</v>
      </c>
      <c r="F15" s="28" t="s">
        <v>331</v>
      </c>
      <c r="G15" s="28" t="s">
        <v>332</v>
      </c>
      <c r="H15" s="29">
        <v>-1</v>
      </c>
      <c r="I15" s="30">
        <v>1.07</v>
      </c>
      <c r="J15" s="31">
        <v>12.278712995333336</v>
      </c>
      <c r="K15" s="29" t="s">
        <v>333</v>
      </c>
      <c r="L15" s="16">
        <v>0</v>
      </c>
      <c r="M15" s="16">
        <v>2</v>
      </c>
      <c r="N15" s="27" t="s">
        <v>329</v>
      </c>
      <c r="O15" s="27">
        <v>0</v>
      </c>
      <c r="P15" s="27">
        <v>0</v>
      </c>
      <c r="Q15" s="27">
        <v>0</v>
      </c>
      <c r="R15" s="27">
        <v>0</v>
      </c>
      <c r="S15" s="27">
        <v>0</v>
      </c>
      <c r="T15" s="27">
        <v>20</v>
      </c>
      <c r="U15" s="27">
        <v>1</v>
      </c>
      <c r="V15" s="27">
        <v>20</v>
      </c>
      <c r="W15" s="27">
        <v>4</v>
      </c>
      <c r="X15" s="27" t="s">
        <v>329</v>
      </c>
      <c r="Y15" s="17">
        <v>518.30104669220009</v>
      </c>
      <c r="Z15" s="17">
        <v>500.29048669220009</v>
      </c>
      <c r="AA15" s="17">
        <v>524.34796669220009</v>
      </c>
      <c r="AB15" s="17">
        <v>506.33740669220009</v>
      </c>
      <c r="AC15" s="17">
        <v>797.60602669220009</v>
      </c>
      <c r="AD15" s="17">
        <v>723.56924725980002</v>
      </c>
      <c r="AE15" s="17">
        <v>0</v>
      </c>
      <c r="AF15" s="17">
        <v>525.35562566179999</v>
      </c>
      <c r="AG15" s="17">
        <v>451.31884622939998</v>
      </c>
      <c r="AH15" s="17">
        <v>337.34703603639997</v>
      </c>
      <c r="AI15" s="17">
        <v>355.35760072039994</v>
      </c>
      <c r="AJ15" s="17">
        <v>0</v>
      </c>
      <c r="AK15" s="17">
        <v>0</v>
      </c>
      <c r="AL15" s="17">
        <v>551.55556725399993</v>
      </c>
      <c r="AM15" s="17">
        <v>247.0582794382</v>
      </c>
      <c r="AN15" s="17">
        <v>229.0477147542</v>
      </c>
      <c r="AO15" s="17">
        <v>0</v>
      </c>
      <c r="AP15" s="17">
        <v>0</v>
      </c>
      <c r="AQ15" s="17">
        <v>173.021500038</v>
      </c>
      <c r="AR15" s="17">
        <v>155.010935354</v>
      </c>
      <c r="AS15" s="32">
        <v>279.30517122359998</v>
      </c>
      <c r="AT15" s="32">
        <v>273.25822103039997</v>
      </c>
      <c r="AU15" s="32">
        <v>55.0547752254</v>
      </c>
      <c r="AV15" s="32">
        <v>57.070425289800006</v>
      </c>
      <c r="AW15" s="32">
        <v>69.070425289799999</v>
      </c>
      <c r="AX15" s="32">
        <v>71.086075354200005</v>
      </c>
      <c r="AY15" s="32">
        <v>81.070425289799999</v>
      </c>
      <c r="AZ15" s="32">
        <v>83.086075354200005</v>
      </c>
      <c r="BA15" s="32">
        <v>85.101725418599997</v>
      </c>
      <c r="BB15" s="32">
        <v>95.086075354200005</v>
      </c>
      <c r="BC15" s="32">
        <v>97.101725418599997</v>
      </c>
      <c r="BD15" s="32">
        <v>99.117375483000004</v>
      </c>
      <c r="BE15" s="32">
        <v>109.1017254186</v>
      </c>
      <c r="BF15" s="32">
        <v>111.117375483</v>
      </c>
      <c r="BG15" s="32">
        <v>113.13302554740001</v>
      </c>
      <c r="BH15" s="32">
        <v>123.117375483</v>
      </c>
      <c r="BI15" s="32">
        <v>125.13302554740001</v>
      </c>
      <c r="BJ15" s="32">
        <v>127.1486756118</v>
      </c>
      <c r="BK15" s="32">
        <v>137.1330255474</v>
      </c>
      <c r="BL15" s="32">
        <v>139.1486756118</v>
      </c>
      <c r="BM15" s="32">
        <v>141.16432567620001</v>
      </c>
      <c r="BN15" s="32">
        <v>151.1486756118</v>
      </c>
      <c r="BO15" s="32">
        <v>153.16432567620001</v>
      </c>
      <c r="BP15" s="32">
        <v>155.17997574060001</v>
      </c>
      <c r="BQ15" s="32">
        <v>165.16432567620001</v>
      </c>
      <c r="BR15" s="32">
        <v>167.17997574060001</v>
      </c>
      <c r="BS15" s="32">
        <v>169.19562580499999</v>
      </c>
      <c r="BT15" s="32">
        <v>179.17997574060001</v>
      </c>
      <c r="BU15" s="32">
        <v>181.19562580499999</v>
      </c>
      <c r="BV15" s="32">
        <v>183.2112758694</v>
      </c>
      <c r="BW15" s="32">
        <v>195.2112758694</v>
      </c>
      <c r="BX15" s="32">
        <v>197.2269259338</v>
      </c>
      <c r="BY15" s="32">
        <v>209.2269259338</v>
      </c>
      <c r="BZ15" s="32">
        <v>211.24257599820001</v>
      </c>
      <c r="CA15" s="32">
        <v>223.24257599820001</v>
      </c>
      <c r="CB15" s="32">
        <v>225.25822606260002</v>
      </c>
      <c r="CC15" s="32">
        <v>0</v>
      </c>
      <c r="CD15" s="32">
        <v>0</v>
      </c>
      <c r="CE15" s="32">
        <v>0</v>
      </c>
      <c r="CF15" s="32">
        <v>0</v>
      </c>
      <c r="CG15" s="32">
        <v>0</v>
      </c>
      <c r="CH15" s="32">
        <v>0</v>
      </c>
      <c r="CI15" s="32">
        <v>0</v>
      </c>
      <c r="CJ15" s="32">
        <v>0</v>
      </c>
      <c r="CK15" s="32">
        <v>0</v>
      </c>
      <c r="CL15" s="32">
        <v>0</v>
      </c>
      <c r="CM15" s="32">
        <v>0</v>
      </c>
      <c r="CN15" s="32">
        <v>0</v>
      </c>
      <c r="CO15" s="32">
        <v>0</v>
      </c>
      <c r="CP15" s="32">
        <v>0</v>
      </c>
      <c r="CQ15" s="32">
        <v>0</v>
      </c>
      <c r="CR15" s="32">
        <v>0</v>
      </c>
      <c r="CS15" s="32">
        <v>0</v>
      </c>
      <c r="CT15" s="32">
        <v>0</v>
      </c>
      <c r="CU15" s="32">
        <v>0</v>
      </c>
      <c r="CV15" s="32">
        <v>0</v>
      </c>
      <c r="CW15" s="32">
        <v>0</v>
      </c>
      <c r="CX15" s="32">
        <v>0</v>
      </c>
      <c r="CY15" s="32">
        <v>0</v>
      </c>
      <c r="CZ15" s="32">
        <v>0</v>
      </c>
      <c r="DA15" s="32">
        <v>0</v>
      </c>
      <c r="DB15" s="32">
        <v>0</v>
      </c>
      <c r="DC15" s="32">
        <v>0</v>
      </c>
      <c r="DD15" s="32">
        <v>0</v>
      </c>
      <c r="DE15" s="32">
        <v>0</v>
      </c>
      <c r="DF15" s="32">
        <v>0</v>
      </c>
      <c r="DG15" s="32">
        <v>0</v>
      </c>
      <c r="DH15" s="32">
        <v>0</v>
      </c>
      <c r="DI15" s="32">
        <v>0</v>
      </c>
      <c r="DJ15" s="32">
        <v>0</v>
      </c>
      <c r="DK15" s="32">
        <v>55.0547752254</v>
      </c>
      <c r="DL15" s="32">
        <v>69.070425289799999</v>
      </c>
      <c r="DM15" s="32">
        <v>81.070425289799999</v>
      </c>
      <c r="DN15" s="32">
        <v>83.086075354200005</v>
      </c>
      <c r="DO15" s="32">
        <v>95.086075354200005</v>
      </c>
      <c r="DP15" s="32">
        <v>97.101725418599997</v>
      </c>
      <c r="DQ15" s="32">
        <v>109.1017254186</v>
      </c>
      <c r="DR15" s="32">
        <v>111.117375483</v>
      </c>
      <c r="DS15" s="32">
        <v>123.117375483</v>
      </c>
      <c r="DT15" s="32">
        <v>137.1330255474</v>
      </c>
      <c r="DU15" s="32">
        <v>149.1330255474</v>
      </c>
      <c r="DV15" s="32">
        <v>151.1486756118</v>
      </c>
      <c r="DW15" s="32">
        <v>163.1486756118</v>
      </c>
      <c r="DX15" s="32">
        <v>165.16432567620001</v>
      </c>
      <c r="DY15" s="32">
        <v>177.16432567620001</v>
      </c>
      <c r="DZ15" s="32">
        <v>179.17997574060001</v>
      </c>
      <c r="EA15" s="32">
        <v>191.17997574060001</v>
      </c>
      <c r="EB15" s="32">
        <v>205.19562580499999</v>
      </c>
      <c r="EC15" s="32">
        <v>217.19562580499999</v>
      </c>
      <c r="ED15" s="32">
        <v>219.2112758694</v>
      </c>
      <c r="EE15" s="32">
        <v>0</v>
      </c>
      <c r="EF15" s="32">
        <v>0</v>
      </c>
      <c r="EG15" s="32">
        <v>0</v>
      </c>
      <c r="EH15" s="32">
        <v>0</v>
      </c>
      <c r="EI15" s="32">
        <v>0</v>
      </c>
      <c r="EJ15" s="32">
        <v>0</v>
      </c>
      <c r="EK15" s="32">
        <v>0</v>
      </c>
      <c r="EL15" s="32">
        <v>0</v>
      </c>
      <c r="EM15" s="32">
        <v>0</v>
      </c>
      <c r="EN15" s="32">
        <v>0</v>
      </c>
      <c r="EO15" s="32">
        <v>0</v>
      </c>
      <c r="EP15" s="32">
        <v>0</v>
      </c>
      <c r="EQ15" s="32">
        <v>0</v>
      </c>
      <c r="ER15" s="32">
        <v>0</v>
      </c>
      <c r="ES15" s="32">
        <v>0</v>
      </c>
      <c r="ET15" s="32">
        <v>0</v>
      </c>
      <c r="EU15" s="32">
        <v>0</v>
      </c>
      <c r="EV15" s="32">
        <v>0</v>
      </c>
      <c r="EW15" s="32">
        <v>0</v>
      </c>
      <c r="EX15" s="32">
        <v>0</v>
      </c>
      <c r="EY15" s="32">
        <v>0</v>
      </c>
      <c r="EZ15" s="32">
        <v>0</v>
      </c>
      <c r="FA15" s="32">
        <v>0</v>
      </c>
      <c r="FB15" s="32">
        <v>0</v>
      </c>
      <c r="FC15" s="32">
        <v>0</v>
      </c>
      <c r="FD15" s="32">
        <v>0</v>
      </c>
      <c r="FE15" s="32">
        <v>0</v>
      </c>
      <c r="FF15" s="32">
        <v>0</v>
      </c>
      <c r="FG15" s="32">
        <v>0</v>
      </c>
      <c r="FH15" s="32">
        <v>0</v>
      </c>
      <c r="FI15" s="32">
        <v>0</v>
      </c>
      <c r="FJ15" s="32">
        <v>0</v>
      </c>
      <c r="FK15" s="32">
        <v>0</v>
      </c>
      <c r="FL15" s="32">
        <v>0</v>
      </c>
      <c r="FM15" s="32">
        <v>0</v>
      </c>
      <c r="FN15" s="32">
        <v>0</v>
      </c>
      <c r="FO15" s="32">
        <v>0</v>
      </c>
      <c r="FP15" s="32">
        <v>0</v>
      </c>
      <c r="FQ15" s="32">
        <v>0</v>
      </c>
      <c r="FR15" s="32">
        <v>0</v>
      </c>
      <c r="FS15" s="32">
        <v>0</v>
      </c>
      <c r="FT15" s="32">
        <v>0</v>
      </c>
      <c r="FU15" s="32">
        <v>0</v>
      </c>
      <c r="FV15" s="32">
        <v>0</v>
      </c>
      <c r="FW15" s="32">
        <v>0</v>
      </c>
      <c r="FX15" s="32">
        <v>0</v>
      </c>
      <c r="FY15" s="32">
        <v>0</v>
      </c>
      <c r="FZ15" s="32">
        <v>0</v>
      </c>
      <c r="GA15" s="3">
        <v>17.714700000000004</v>
      </c>
      <c r="GB15" s="32">
        <v>1.7714700000000003</v>
      </c>
      <c r="GC15" s="32">
        <v>0</v>
      </c>
      <c r="GD15" s="32">
        <v>15.475618749999999</v>
      </c>
      <c r="GE15" s="32">
        <v>5</v>
      </c>
      <c r="GF15" s="32">
        <v>5.9049000000000014</v>
      </c>
      <c r="GG15" s="32">
        <v>2.9524500000000007</v>
      </c>
      <c r="GH15" s="32">
        <v>0</v>
      </c>
      <c r="GI15" s="32">
        <v>0</v>
      </c>
      <c r="GJ15" s="32">
        <v>0</v>
      </c>
      <c r="GK15" s="32">
        <v>37.791360000000012</v>
      </c>
      <c r="GL15" s="32">
        <v>0</v>
      </c>
      <c r="GM15" s="32">
        <v>0</v>
      </c>
      <c r="GN15" s="32">
        <v>0</v>
      </c>
      <c r="GO15" s="32">
        <v>30</v>
      </c>
      <c r="GP15" s="32">
        <v>10</v>
      </c>
      <c r="GQ15" s="32">
        <v>6.5690300000000006</v>
      </c>
      <c r="GR15" s="32">
        <v>36.379329999999989</v>
      </c>
      <c r="GS15" s="32">
        <v>1</v>
      </c>
      <c r="GT15" s="32">
        <v>4.125</v>
      </c>
      <c r="GU15" s="32">
        <v>1.095683193077468</v>
      </c>
      <c r="GV15" s="32">
        <v>7.2623906705539358</v>
      </c>
      <c r="GW15" s="32">
        <v>1.1728000000000001</v>
      </c>
      <c r="GX15" s="32">
        <v>2.5309310892394863</v>
      </c>
      <c r="GY15" s="32">
        <v>12.349125364431487</v>
      </c>
      <c r="GZ15" s="32">
        <v>1.7281777777777778</v>
      </c>
      <c r="HA15" s="32">
        <v>13.164746412555075</v>
      </c>
      <c r="HB15" s="32">
        <v>1.3345481049562684</v>
      </c>
      <c r="HC15" s="32">
        <v>9.8888888888888893</v>
      </c>
      <c r="HD15" s="32">
        <v>18.320508075688771</v>
      </c>
      <c r="HE15" s="32">
        <v>2.6348610067618332</v>
      </c>
      <c r="HF15" s="32">
        <v>6.5492895730664351</v>
      </c>
      <c r="HG15" s="32">
        <v>13.164746412555075</v>
      </c>
      <c r="HH15" s="32">
        <v>3.3277610818933128</v>
      </c>
      <c r="HI15" s="32">
        <v>4.2528916662432898</v>
      </c>
      <c r="HJ15" s="32">
        <v>9.1494297255984218</v>
      </c>
      <c r="HK15" s="32">
        <v>4.1930879038317048</v>
      </c>
      <c r="HL15" s="32">
        <v>2.7558299039780527</v>
      </c>
      <c r="HM15" s="32">
        <v>6.1320023927966725</v>
      </c>
      <c r="HN15" s="32">
        <v>5.25</v>
      </c>
      <c r="HO15" s="32">
        <v>1.8467543904215145</v>
      </c>
      <c r="HP15" s="32">
        <v>3.969908792127705</v>
      </c>
      <c r="HQ15" s="32">
        <v>4.1930879038317048</v>
      </c>
      <c r="HR15" s="32">
        <v>1.3468305983166522</v>
      </c>
      <c r="HS15" s="32">
        <v>2.5205933015693844</v>
      </c>
      <c r="HT15" s="32">
        <v>3.3277610818933128</v>
      </c>
      <c r="HU15" s="32">
        <v>1.6415002990995839</v>
      </c>
      <c r="HV15" s="32">
        <v>2.6348610067618332</v>
      </c>
      <c r="HW15" s="32">
        <v>1.1900741626961731</v>
      </c>
      <c r="HX15" s="32">
        <v>2.0952291510142746</v>
      </c>
      <c r="HY15" s="32">
        <v>1.0237592703370215</v>
      </c>
      <c r="HZ15" s="32">
        <v>1.6897069872276482</v>
      </c>
      <c r="IA15" s="32">
        <v>0</v>
      </c>
      <c r="IB15" s="32">
        <v>0</v>
      </c>
      <c r="IC15" s="32">
        <v>0</v>
      </c>
      <c r="ID15" s="32">
        <v>0</v>
      </c>
      <c r="IE15" s="32">
        <v>0</v>
      </c>
      <c r="IF15" s="32">
        <v>0</v>
      </c>
      <c r="IG15" s="32">
        <v>0</v>
      </c>
      <c r="IH15" s="32">
        <v>0</v>
      </c>
      <c r="II15" s="32">
        <v>0</v>
      </c>
      <c r="IJ15" s="32">
        <v>0</v>
      </c>
      <c r="IK15" s="32">
        <v>0</v>
      </c>
      <c r="IL15" s="32">
        <v>0</v>
      </c>
      <c r="IM15" s="32">
        <v>0</v>
      </c>
      <c r="IN15" s="32">
        <v>0</v>
      </c>
      <c r="IO15" s="32">
        <v>0</v>
      </c>
      <c r="IP15" s="32">
        <v>0</v>
      </c>
      <c r="IQ15" s="32">
        <v>0</v>
      </c>
      <c r="IR15" s="32">
        <v>0</v>
      </c>
      <c r="IS15" s="32">
        <v>0</v>
      </c>
      <c r="IT15" s="32">
        <v>0</v>
      </c>
      <c r="IU15" s="32">
        <v>0</v>
      </c>
      <c r="IV15" s="32">
        <v>0</v>
      </c>
      <c r="IW15" s="32">
        <v>0</v>
      </c>
      <c r="IX15" s="32">
        <v>0</v>
      </c>
      <c r="IY15" s="32">
        <v>0</v>
      </c>
      <c r="IZ15" s="32">
        <v>0</v>
      </c>
      <c r="JA15" s="32">
        <v>0</v>
      </c>
      <c r="JB15" s="32">
        <v>0</v>
      </c>
      <c r="JC15" s="32">
        <v>0</v>
      </c>
      <c r="JD15" s="32">
        <v>0</v>
      </c>
      <c r="JE15" s="32">
        <v>0</v>
      </c>
      <c r="JF15" s="32">
        <v>0</v>
      </c>
      <c r="JG15" s="32">
        <v>0</v>
      </c>
      <c r="JH15" s="32">
        <v>0</v>
      </c>
      <c r="JI15" s="32">
        <v>1</v>
      </c>
      <c r="JJ15" s="32">
        <v>1.0338291173353296</v>
      </c>
      <c r="JK15" s="32">
        <v>1.6911999999999998</v>
      </c>
      <c r="JL15" s="32">
        <v>1.5412658773652741</v>
      </c>
      <c r="JM15" s="32">
        <v>3.9127111111111117</v>
      </c>
      <c r="JN15" s="32">
        <v>3.7401585041617</v>
      </c>
      <c r="JO15" s="32">
        <v>9.8888888888888893</v>
      </c>
      <c r="JP15" s="32">
        <v>9.6602540378443855</v>
      </c>
      <c r="JQ15" s="32">
        <v>13.48590153939948</v>
      </c>
      <c r="JR15" s="32">
        <v>8.3190062490474013</v>
      </c>
      <c r="JS15" s="32">
        <v>6.4401693585629234</v>
      </c>
      <c r="JT15" s="32">
        <v>4.9506172839506188</v>
      </c>
      <c r="JU15" s="32">
        <v>5.5460041660316008</v>
      </c>
      <c r="JV15" s="32">
        <v>2.9051973784484075</v>
      </c>
      <c r="JW15" s="32">
        <v>3.300411522633746</v>
      </c>
      <c r="JX15" s="32">
        <v>1.7803688462124674</v>
      </c>
      <c r="JY15" s="32">
        <v>1.9367982522989384</v>
      </c>
      <c r="JZ15" s="32">
        <v>2.2002743484224974</v>
      </c>
      <c r="KA15" s="32">
        <v>1.1869125641416449</v>
      </c>
      <c r="KB15" s="32">
        <v>1.2911988348659589</v>
      </c>
      <c r="KC15" s="32">
        <v>0</v>
      </c>
      <c r="KD15" s="32">
        <v>0</v>
      </c>
      <c r="KE15" s="32">
        <v>0</v>
      </c>
      <c r="KF15" s="32">
        <v>0</v>
      </c>
      <c r="KG15" s="32">
        <v>0</v>
      </c>
      <c r="KH15" s="32">
        <v>0</v>
      </c>
      <c r="KI15" s="32">
        <v>0</v>
      </c>
      <c r="KJ15" s="32">
        <v>0</v>
      </c>
      <c r="KK15" s="32">
        <v>0</v>
      </c>
      <c r="KL15" s="32">
        <v>0</v>
      </c>
      <c r="KM15" s="32">
        <v>0</v>
      </c>
      <c r="KN15" s="32">
        <v>0</v>
      </c>
      <c r="KO15" s="32">
        <v>0</v>
      </c>
      <c r="KP15" s="32">
        <v>0</v>
      </c>
      <c r="KQ15" s="32">
        <v>0</v>
      </c>
      <c r="KR15" s="32">
        <v>0</v>
      </c>
      <c r="KS15" s="32">
        <v>0</v>
      </c>
      <c r="KT15" s="32">
        <v>0</v>
      </c>
      <c r="KU15" s="32">
        <v>0</v>
      </c>
      <c r="KV15" s="32">
        <v>0</v>
      </c>
      <c r="KW15" s="32">
        <v>0</v>
      </c>
      <c r="KX15" s="32">
        <v>0</v>
      </c>
      <c r="KY15" s="32">
        <v>0</v>
      </c>
      <c r="KZ15" s="32">
        <v>0</v>
      </c>
      <c r="LA15" s="32">
        <v>0</v>
      </c>
      <c r="LB15" s="32">
        <v>0</v>
      </c>
      <c r="LC15" s="32">
        <v>0</v>
      </c>
      <c r="LD15" s="32">
        <v>0</v>
      </c>
      <c r="LE15" s="32">
        <v>0</v>
      </c>
      <c r="LF15" s="32">
        <v>0</v>
      </c>
      <c r="LG15" s="32">
        <v>0</v>
      </c>
      <c r="LH15" s="32">
        <v>0</v>
      </c>
      <c r="LI15" s="32">
        <v>0</v>
      </c>
      <c r="LJ15" s="32">
        <v>0</v>
      </c>
      <c r="LK15" s="32">
        <v>0</v>
      </c>
      <c r="LL15" s="32">
        <v>0</v>
      </c>
      <c r="LM15" s="32">
        <v>0</v>
      </c>
      <c r="LN15" s="32">
        <v>0</v>
      </c>
      <c r="LO15" s="32">
        <v>0</v>
      </c>
      <c r="LP15" s="32">
        <v>0</v>
      </c>
      <c r="LQ15" s="32">
        <v>0</v>
      </c>
      <c r="LR15" s="32">
        <v>0</v>
      </c>
      <c r="LS15" s="32">
        <v>0</v>
      </c>
      <c r="LT15" s="32">
        <v>0</v>
      </c>
      <c r="LU15" s="32">
        <v>0</v>
      </c>
      <c r="LV15" s="32">
        <v>0</v>
      </c>
      <c r="LW15" s="32">
        <v>0</v>
      </c>
      <c r="LX15" s="32">
        <v>0</v>
      </c>
    </row>
    <row r="16" spans="1:337" s="32" customFormat="1" ht="14.25" x14ac:dyDescent="0.2">
      <c r="A16" s="5">
        <v>10</v>
      </c>
      <c r="B16" s="27" t="s">
        <v>673</v>
      </c>
      <c r="C16" s="27" t="s">
        <v>334</v>
      </c>
      <c r="D16" s="27" t="s">
        <v>313</v>
      </c>
      <c r="E16" s="27" t="s">
        <v>334</v>
      </c>
      <c r="F16" s="28" t="s">
        <v>335</v>
      </c>
      <c r="G16" s="28" t="s">
        <v>336</v>
      </c>
      <c r="H16" s="29">
        <v>-1</v>
      </c>
      <c r="I16" s="30">
        <v>2.0699999999999998</v>
      </c>
      <c r="J16" s="31">
        <v>12.68429247666667</v>
      </c>
      <c r="K16" s="29" t="s">
        <v>337</v>
      </c>
      <c r="L16" s="16">
        <v>0</v>
      </c>
      <c r="M16" s="16">
        <v>2</v>
      </c>
      <c r="N16" s="27" t="s">
        <v>334</v>
      </c>
      <c r="O16" s="27">
        <v>0</v>
      </c>
      <c r="P16" s="27">
        <v>0</v>
      </c>
      <c r="Q16" s="27">
        <v>0</v>
      </c>
      <c r="R16" s="27">
        <v>0</v>
      </c>
      <c r="S16" s="27">
        <v>0</v>
      </c>
      <c r="T16" s="27">
        <v>20</v>
      </c>
      <c r="U16" s="27">
        <v>2</v>
      </c>
      <c r="V16" s="27">
        <v>20</v>
      </c>
      <c r="W16" s="27">
        <v>2</v>
      </c>
      <c r="X16" s="27" t="s">
        <v>334</v>
      </c>
      <c r="Y16" s="17">
        <v>522.33233675659994</v>
      </c>
      <c r="Z16" s="17">
        <v>504.32177675659995</v>
      </c>
      <c r="AA16" s="17">
        <v>522.33233675659994</v>
      </c>
      <c r="AB16" s="17">
        <v>504.32177675659995</v>
      </c>
      <c r="AC16" s="17">
        <v>799.62167675659998</v>
      </c>
      <c r="AD16" s="17">
        <v>725.58489732420003</v>
      </c>
      <c r="AE16" s="17">
        <v>0</v>
      </c>
      <c r="AF16" s="17">
        <v>523.33997559739998</v>
      </c>
      <c r="AG16" s="17">
        <v>449.30319616499997</v>
      </c>
      <c r="AH16" s="17">
        <v>335.33138597199996</v>
      </c>
      <c r="AI16" s="17">
        <v>353.34195065599994</v>
      </c>
      <c r="AJ16" s="17">
        <v>0</v>
      </c>
      <c r="AK16" s="17">
        <v>0</v>
      </c>
      <c r="AL16" s="17">
        <v>553.57121731839993</v>
      </c>
      <c r="AM16" s="17">
        <v>247.0582794382</v>
      </c>
      <c r="AN16" s="17">
        <v>229.0477147542</v>
      </c>
      <c r="AO16" s="17">
        <v>0</v>
      </c>
      <c r="AP16" s="17">
        <v>0</v>
      </c>
      <c r="AQ16" s="17">
        <v>173.021500038</v>
      </c>
      <c r="AR16" s="17">
        <v>155.010935354</v>
      </c>
      <c r="AS16" s="32">
        <v>277.28952115919998</v>
      </c>
      <c r="AT16" s="32">
        <v>277.28952115919998</v>
      </c>
      <c r="AU16" s="32">
        <v>55.0547752254</v>
      </c>
      <c r="AV16" s="32">
        <v>57.070425289800006</v>
      </c>
      <c r="AW16" s="32">
        <v>69.070425289799999</v>
      </c>
      <c r="AX16" s="32">
        <v>71.086075354200005</v>
      </c>
      <c r="AY16" s="32">
        <v>81.070425289799999</v>
      </c>
      <c r="AZ16" s="32">
        <v>83.086075354200005</v>
      </c>
      <c r="BA16" s="32">
        <v>85.101725418599997</v>
      </c>
      <c r="BB16" s="32">
        <v>95.086075354200005</v>
      </c>
      <c r="BC16" s="32">
        <v>97.101725418599997</v>
      </c>
      <c r="BD16" s="32">
        <v>99.117375483000004</v>
      </c>
      <c r="BE16" s="32">
        <v>109.1017254186</v>
      </c>
      <c r="BF16" s="32">
        <v>111.117375483</v>
      </c>
      <c r="BG16" s="32">
        <v>113.13302554740001</v>
      </c>
      <c r="BH16" s="32">
        <v>123.117375483</v>
      </c>
      <c r="BI16" s="32">
        <v>125.13302554740001</v>
      </c>
      <c r="BJ16" s="32">
        <v>127.1486756118</v>
      </c>
      <c r="BK16" s="32">
        <v>137.1330255474</v>
      </c>
      <c r="BL16" s="32">
        <v>139.1486756118</v>
      </c>
      <c r="BM16" s="32">
        <v>141.16432567620001</v>
      </c>
      <c r="BN16" s="32">
        <v>149.1330255474</v>
      </c>
      <c r="BO16" s="32">
        <v>151.1486756118</v>
      </c>
      <c r="BP16" s="32">
        <v>153.16432567620001</v>
      </c>
      <c r="BQ16" s="32">
        <v>155.17997574060001</v>
      </c>
      <c r="BR16" s="32">
        <v>163.1486756118</v>
      </c>
      <c r="BS16" s="32">
        <v>165.16432567620001</v>
      </c>
      <c r="BT16" s="32">
        <v>167.17997574060001</v>
      </c>
      <c r="BU16" s="32">
        <v>169.19562580499999</v>
      </c>
      <c r="BV16" s="32">
        <v>177.16432567620001</v>
      </c>
      <c r="BW16" s="32">
        <v>179.17997574060001</v>
      </c>
      <c r="BX16" s="32">
        <v>181.19562580499999</v>
      </c>
      <c r="BY16" s="32">
        <v>183.2112758694</v>
      </c>
      <c r="BZ16" s="32">
        <v>193.19562580499999</v>
      </c>
      <c r="CA16" s="32">
        <v>195.2112758694</v>
      </c>
      <c r="CB16" s="32">
        <v>207.2112758694</v>
      </c>
      <c r="CC16" s="32">
        <v>209.2269259338</v>
      </c>
      <c r="CD16" s="32">
        <v>221.2269259338</v>
      </c>
      <c r="CE16" s="32">
        <v>223.24257599820001</v>
      </c>
      <c r="CF16" s="32">
        <v>0</v>
      </c>
      <c r="CG16" s="32">
        <v>0</v>
      </c>
      <c r="CH16" s="32">
        <v>0</v>
      </c>
      <c r="CI16" s="32">
        <v>0</v>
      </c>
      <c r="CJ16" s="32">
        <v>0</v>
      </c>
      <c r="CK16" s="32">
        <v>0</v>
      </c>
      <c r="CL16" s="32">
        <v>0</v>
      </c>
      <c r="CM16" s="32">
        <v>0</v>
      </c>
      <c r="CN16" s="32">
        <v>0</v>
      </c>
      <c r="CO16" s="32">
        <v>0</v>
      </c>
      <c r="CP16" s="32">
        <v>0</v>
      </c>
      <c r="CQ16" s="32">
        <v>0</v>
      </c>
      <c r="CR16" s="32">
        <v>0</v>
      </c>
      <c r="CS16" s="32">
        <v>0</v>
      </c>
      <c r="CT16" s="32">
        <v>0</v>
      </c>
      <c r="CU16" s="32">
        <v>0</v>
      </c>
      <c r="CV16" s="32">
        <v>0</v>
      </c>
      <c r="CW16" s="32">
        <v>0</v>
      </c>
      <c r="CX16" s="32">
        <v>0</v>
      </c>
      <c r="CY16" s="32">
        <v>0</v>
      </c>
      <c r="CZ16" s="32">
        <v>0</v>
      </c>
      <c r="DA16" s="32">
        <v>0</v>
      </c>
      <c r="DB16" s="32">
        <v>0</v>
      </c>
      <c r="DC16" s="32">
        <v>0</v>
      </c>
      <c r="DD16" s="32">
        <v>0</v>
      </c>
      <c r="DE16" s="32">
        <v>0</v>
      </c>
      <c r="DF16" s="32">
        <v>0</v>
      </c>
      <c r="DG16" s="32">
        <v>0</v>
      </c>
      <c r="DH16" s="32">
        <v>0</v>
      </c>
      <c r="DI16" s="32">
        <v>0</v>
      </c>
      <c r="DJ16" s="32">
        <v>0</v>
      </c>
      <c r="DK16" s="32">
        <v>55.0547752254</v>
      </c>
      <c r="DL16" s="32">
        <v>57.070425289800006</v>
      </c>
      <c r="DM16" s="32">
        <v>69.070425289799999</v>
      </c>
      <c r="DN16" s="32">
        <v>71.086075354200005</v>
      </c>
      <c r="DO16" s="32">
        <v>81.070425289799999</v>
      </c>
      <c r="DP16" s="32">
        <v>83.086075354200005</v>
      </c>
      <c r="DQ16" s="32">
        <v>85.101725418599997</v>
      </c>
      <c r="DR16" s="32">
        <v>95.086075354200005</v>
      </c>
      <c r="DS16" s="32">
        <v>97.101725418599997</v>
      </c>
      <c r="DT16" s="32">
        <v>99.117375483000004</v>
      </c>
      <c r="DU16" s="32">
        <v>109.1017254186</v>
      </c>
      <c r="DV16" s="32">
        <v>111.117375483</v>
      </c>
      <c r="DW16" s="32">
        <v>113.13302554740001</v>
      </c>
      <c r="DX16" s="32">
        <v>123.117375483</v>
      </c>
      <c r="DY16" s="32">
        <v>125.13302554740001</v>
      </c>
      <c r="DZ16" s="32">
        <v>127.1486756118</v>
      </c>
      <c r="EA16" s="32">
        <v>137.1330255474</v>
      </c>
      <c r="EB16" s="32">
        <v>139.1486756118</v>
      </c>
      <c r="EC16" s="32">
        <v>141.16432567620001</v>
      </c>
      <c r="ED16" s="32">
        <v>149.1330255474</v>
      </c>
      <c r="EE16" s="32">
        <v>151.1486756118</v>
      </c>
      <c r="EF16" s="32">
        <v>153.16432567620001</v>
      </c>
      <c r="EG16" s="32">
        <v>155.17997574060001</v>
      </c>
      <c r="EH16" s="32">
        <v>163.1486756118</v>
      </c>
      <c r="EI16" s="32">
        <v>165.16432567620001</v>
      </c>
      <c r="EJ16" s="32">
        <v>167.17997574060001</v>
      </c>
      <c r="EK16" s="32">
        <v>169.19562580499999</v>
      </c>
      <c r="EL16" s="32">
        <v>177.16432567620001</v>
      </c>
      <c r="EM16" s="32">
        <v>179.17997574060001</v>
      </c>
      <c r="EN16" s="32">
        <v>181.19562580499999</v>
      </c>
      <c r="EO16" s="32">
        <v>183.2112758694</v>
      </c>
      <c r="EP16" s="32">
        <v>193.19562580499999</v>
      </c>
      <c r="EQ16" s="32">
        <v>195.2112758694</v>
      </c>
      <c r="ER16" s="32">
        <v>207.2112758694</v>
      </c>
      <c r="ES16" s="32">
        <v>209.2269259338</v>
      </c>
      <c r="ET16" s="32">
        <v>221.2269259338</v>
      </c>
      <c r="EU16" s="32">
        <v>223.24257599820001</v>
      </c>
      <c r="EV16" s="32">
        <v>0</v>
      </c>
      <c r="EW16" s="32">
        <v>0</v>
      </c>
      <c r="EX16" s="32">
        <v>0</v>
      </c>
      <c r="EY16" s="32">
        <v>0</v>
      </c>
      <c r="EZ16" s="32">
        <v>0</v>
      </c>
      <c r="FA16" s="32">
        <v>0</v>
      </c>
      <c r="FB16" s="32">
        <v>0</v>
      </c>
      <c r="FC16" s="32">
        <v>0</v>
      </c>
      <c r="FD16" s="32">
        <v>0</v>
      </c>
      <c r="FE16" s="32">
        <v>0</v>
      </c>
      <c r="FF16" s="32">
        <v>0</v>
      </c>
      <c r="FG16" s="32">
        <v>0</v>
      </c>
      <c r="FH16" s="32">
        <v>0</v>
      </c>
      <c r="FI16" s="32">
        <v>0</v>
      </c>
      <c r="FJ16" s="32">
        <v>0</v>
      </c>
      <c r="FK16" s="32">
        <v>0</v>
      </c>
      <c r="FL16" s="32">
        <v>0</v>
      </c>
      <c r="FM16" s="32">
        <v>0</v>
      </c>
      <c r="FN16" s="32">
        <v>0</v>
      </c>
      <c r="FO16" s="32">
        <v>0</v>
      </c>
      <c r="FP16" s="32">
        <v>0</v>
      </c>
      <c r="FQ16" s="32">
        <v>0</v>
      </c>
      <c r="FR16" s="32">
        <v>0</v>
      </c>
      <c r="FS16" s="32">
        <v>0</v>
      </c>
      <c r="FT16" s="32">
        <v>0</v>
      </c>
      <c r="FU16" s="32">
        <v>0</v>
      </c>
      <c r="FV16" s="32">
        <v>0</v>
      </c>
      <c r="FW16" s="32">
        <v>0</v>
      </c>
      <c r="FX16" s="32">
        <v>0</v>
      </c>
      <c r="FY16" s="32">
        <v>0</v>
      </c>
      <c r="FZ16" s="32">
        <v>0</v>
      </c>
      <c r="GA16" s="3">
        <v>19.683000000000003</v>
      </c>
      <c r="GB16" s="32">
        <v>1.9683000000000004</v>
      </c>
      <c r="GC16" s="32">
        <v>0</v>
      </c>
      <c r="GD16" s="32">
        <v>16.290125</v>
      </c>
      <c r="GE16" s="32">
        <v>5</v>
      </c>
      <c r="GF16" s="32">
        <v>6.5610000000000017</v>
      </c>
      <c r="GG16" s="32">
        <v>3.2805000000000009</v>
      </c>
      <c r="GH16" s="32">
        <v>0</v>
      </c>
      <c r="GI16" s="32">
        <v>0</v>
      </c>
      <c r="GJ16" s="32">
        <v>0</v>
      </c>
      <c r="GK16" s="32">
        <v>20.995200000000004</v>
      </c>
      <c r="GL16" s="32">
        <v>0</v>
      </c>
      <c r="GM16" s="32">
        <v>0</v>
      </c>
      <c r="GN16" s="32">
        <v>0</v>
      </c>
      <c r="GO16" s="32">
        <v>30</v>
      </c>
      <c r="GP16" s="32">
        <v>10</v>
      </c>
      <c r="GQ16" s="32">
        <v>8.9400999999999993</v>
      </c>
      <c r="GR16" s="32">
        <v>8.9400999999999993</v>
      </c>
      <c r="GS16" s="32">
        <v>1</v>
      </c>
      <c r="GT16" s="32">
        <v>1.925925925925926</v>
      </c>
      <c r="GU16" s="32">
        <v>1.17578125</v>
      </c>
      <c r="GV16" s="32">
        <v>2.8573588165424901</v>
      </c>
      <c r="GW16" s="32">
        <v>1.6911999999999998</v>
      </c>
      <c r="GX16" s="32">
        <v>3.8125</v>
      </c>
      <c r="GY16" s="32">
        <v>4.3773890508584383</v>
      </c>
      <c r="GZ16" s="32">
        <v>3.9127111111111117</v>
      </c>
      <c r="HA16" s="32">
        <v>19.247119618832613</v>
      </c>
      <c r="HB16" s="32">
        <v>1.1486880466472305</v>
      </c>
      <c r="HC16" s="32">
        <v>21</v>
      </c>
      <c r="HD16" s="32">
        <v>26.98076211353316</v>
      </c>
      <c r="HE16" s="32">
        <v>1.7266048918941481</v>
      </c>
      <c r="HF16" s="32">
        <v>13.48590153939948</v>
      </c>
      <c r="HG16" s="32">
        <v>19.247119618832613</v>
      </c>
      <c r="HH16" s="32">
        <v>2.0345604808414723</v>
      </c>
      <c r="HI16" s="32">
        <v>8.3190062490474013</v>
      </c>
      <c r="HJ16" s="32">
        <v>13.224144588397632</v>
      </c>
      <c r="HK16" s="32">
        <v>2.4191501794807575</v>
      </c>
      <c r="HL16" s="32">
        <v>5.5460041660316008</v>
      </c>
      <c r="HM16" s="32">
        <v>4.9506172839506188</v>
      </c>
      <c r="HN16" s="32">
        <v>8.6980035891950074</v>
      </c>
      <c r="HO16" s="32">
        <v>2.8888888888888888</v>
      </c>
      <c r="HP16" s="32">
        <v>3.300411522633746</v>
      </c>
      <c r="HQ16" s="32">
        <v>2.9051973784484075</v>
      </c>
      <c r="HR16" s="32">
        <v>5.4548631881915579</v>
      </c>
      <c r="HS16" s="32">
        <v>2.4191501794807575</v>
      </c>
      <c r="HT16" s="32">
        <v>1.9367982522989384</v>
      </c>
      <c r="HU16" s="32">
        <v>1.7803688462124674</v>
      </c>
      <c r="HV16" s="32">
        <v>3.2808899523540767</v>
      </c>
      <c r="HW16" s="32">
        <v>2.0345604808414723</v>
      </c>
      <c r="HX16" s="32">
        <v>1.2469135802469138</v>
      </c>
      <c r="HY16" s="32">
        <v>1.9622504486493759</v>
      </c>
      <c r="HZ16" s="32">
        <v>1.0487730528882793</v>
      </c>
      <c r="IA16" s="32">
        <v>1.2851112440442596</v>
      </c>
      <c r="IB16" s="32">
        <v>1.0030483158055175</v>
      </c>
      <c r="IC16" s="32">
        <v>1.0356389055055324</v>
      </c>
      <c r="ID16" s="32">
        <v>0</v>
      </c>
      <c r="IE16" s="32">
        <v>0</v>
      </c>
      <c r="IF16" s="32">
        <v>0</v>
      </c>
      <c r="IG16" s="32">
        <v>0</v>
      </c>
      <c r="IH16" s="32">
        <v>0</v>
      </c>
      <c r="II16" s="32">
        <v>0</v>
      </c>
      <c r="IJ16" s="32">
        <v>0</v>
      </c>
      <c r="IK16" s="32">
        <v>0</v>
      </c>
      <c r="IL16" s="32">
        <v>0</v>
      </c>
      <c r="IM16" s="32">
        <v>0</v>
      </c>
      <c r="IN16" s="32">
        <v>0</v>
      </c>
      <c r="IO16" s="32">
        <v>0</v>
      </c>
      <c r="IP16" s="32">
        <v>0</v>
      </c>
      <c r="IQ16" s="32">
        <v>0</v>
      </c>
      <c r="IR16" s="32">
        <v>0</v>
      </c>
      <c r="IS16" s="32">
        <v>0</v>
      </c>
      <c r="IT16" s="32">
        <v>0</v>
      </c>
      <c r="IU16" s="32">
        <v>0</v>
      </c>
      <c r="IV16" s="32">
        <v>0</v>
      </c>
      <c r="IW16" s="32">
        <v>0</v>
      </c>
      <c r="IX16" s="32">
        <v>0</v>
      </c>
      <c r="IY16" s="32">
        <v>0</v>
      </c>
      <c r="IZ16" s="32">
        <v>0</v>
      </c>
      <c r="JA16" s="32">
        <v>0</v>
      </c>
      <c r="JB16" s="32">
        <v>0</v>
      </c>
      <c r="JC16" s="32">
        <v>0</v>
      </c>
      <c r="JD16" s="32">
        <v>0</v>
      </c>
      <c r="JE16" s="32">
        <v>0</v>
      </c>
      <c r="JF16" s="32">
        <v>0</v>
      </c>
      <c r="JG16" s="32">
        <v>0</v>
      </c>
      <c r="JH16" s="32">
        <v>0</v>
      </c>
      <c r="JI16" s="32">
        <v>1</v>
      </c>
      <c r="JJ16" s="32">
        <v>1.925925925925926</v>
      </c>
      <c r="JK16" s="32">
        <v>1.17578125</v>
      </c>
      <c r="JL16" s="32">
        <v>2.8573588165424901</v>
      </c>
      <c r="JM16" s="32">
        <v>1.6911999999999998</v>
      </c>
      <c r="JN16" s="32">
        <v>3.8125</v>
      </c>
      <c r="JO16" s="32">
        <v>4.3773890508584383</v>
      </c>
      <c r="JP16" s="32">
        <v>3.9127111111111117</v>
      </c>
      <c r="JQ16" s="32">
        <v>19.247119618832613</v>
      </c>
      <c r="JR16" s="32">
        <v>1.1486880466472305</v>
      </c>
      <c r="JS16" s="32">
        <v>21</v>
      </c>
      <c r="JT16" s="32">
        <v>26.98076211353316</v>
      </c>
      <c r="JU16" s="32">
        <v>1.7266048918941481</v>
      </c>
      <c r="JV16" s="32">
        <v>13.48590153939948</v>
      </c>
      <c r="JW16" s="32">
        <v>19.247119618832613</v>
      </c>
      <c r="JX16" s="32">
        <v>2.0345604808414723</v>
      </c>
      <c r="JY16" s="32">
        <v>8.3190062490474013</v>
      </c>
      <c r="JZ16" s="32">
        <v>13.224144588397632</v>
      </c>
      <c r="KA16" s="32">
        <v>2.4191501794807575</v>
      </c>
      <c r="KB16" s="32">
        <v>5.5460041660316008</v>
      </c>
      <c r="KC16" s="32">
        <v>4.9506172839506188</v>
      </c>
      <c r="KD16" s="32">
        <v>8.6980035891950074</v>
      </c>
      <c r="KE16" s="32">
        <v>2.8888888888888888</v>
      </c>
      <c r="KF16" s="32">
        <v>3.300411522633746</v>
      </c>
      <c r="KG16" s="32">
        <v>2.9051973784484075</v>
      </c>
      <c r="KH16" s="32">
        <v>5.4548631881915579</v>
      </c>
      <c r="KI16" s="32">
        <v>2.4191501794807575</v>
      </c>
      <c r="KJ16" s="32">
        <v>1.9367982522989384</v>
      </c>
      <c r="KK16" s="32">
        <v>1.7803688462124674</v>
      </c>
      <c r="KL16" s="32">
        <v>3.2808899523540767</v>
      </c>
      <c r="KM16" s="32">
        <v>2.0345604808414723</v>
      </c>
      <c r="KN16" s="32">
        <v>1.2469135802469138</v>
      </c>
      <c r="KO16" s="32">
        <v>1.9622504486493759</v>
      </c>
      <c r="KP16" s="32">
        <v>1.0487730528882793</v>
      </c>
      <c r="KQ16" s="32">
        <v>1.2851112440442596</v>
      </c>
      <c r="KR16" s="32">
        <v>1.0030483158055175</v>
      </c>
      <c r="KS16" s="32">
        <v>1.0356389055055324</v>
      </c>
      <c r="KT16" s="32">
        <v>0</v>
      </c>
      <c r="KU16" s="32">
        <v>0</v>
      </c>
      <c r="KV16" s="32">
        <v>0</v>
      </c>
      <c r="KW16" s="32">
        <v>0</v>
      </c>
      <c r="KX16" s="32">
        <v>0</v>
      </c>
      <c r="KY16" s="32">
        <v>0</v>
      </c>
      <c r="KZ16" s="32">
        <v>0</v>
      </c>
      <c r="LA16" s="32">
        <v>0</v>
      </c>
      <c r="LB16" s="32">
        <v>0</v>
      </c>
      <c r="LC16" s="32">
        <v>0</v>
      </c>
      <c r="LD16" s="32">
        <v>0</v>
      </c>
      <c r="LE16" s="32">
        <v>0</v>
      </c>
      <c r="LF16" s="32">
        <v>0</v>
      </c>
      <c r="LG16" s="32">
        <v>0</v>
      </c>
      <c r="LH16" s="32">
        <v>0</v>
      </c>
      <c r="LI16" s="32">
        <v>0</v>
      </c>
      <c r="LJ16" s="32">
        <v>0</v>
      </c>
      <c r="LK16" s="32">
        <v>0</v>
      </c>
      <c r="LL16" s="32">
        <v>0</v>
      </c>
      <c r="LM16" s="32">
        <v>0</v>
      </c>
      <c r="LN16" s="32">
        <v>0</v>
      </c>
      <c r="LO16" s="32">
        <v>0</v>
      </c>
      <c r="LP16" s="32">
        <v>0</v>
      </c>
      <c r="LQ16" s="32">
        <v>0</v>
      </c>
      <c r="LR16" s="32">
        <v>0</v>
      </c>
      <c r="LS16" s="32">
        <v>0</v>
      </c>
      <c r="LT16" s="32">
        <v>0</v>
      </c>
      <c r="LU16" s="32">
        <v>0</v>
      </c>
      <c r="LV16" s="32">
        <v>0</v>
      </c>
      <c r="LW16" s="32">
        <v>0</v>
      </c>
      <c r="LX16" s="32">
        <v>0</v>
      </c>
    </row>
    <row r="17" spans="1:336" s="32" customFormat="1" ht="14.25" x14ac:dyDescent="0.2">
      <c r="A17" s="5">
        <v>11</v>
      </c>
      <c r="B17" s="27" t="s">
        <v>674</v>
      </c>
      <c r="C17" s="27" t="s">
        <v>338</v>
      </c>
      <c r="D17" s="27" t="s">
        <v>330</v>
      </c>
      <c r="E17" s="27" t="s">
        <v>338</v>
      </c>
      <c r="F17" s="28" t="s">
        <v>339</v>
      </c>
      <c r="G17" s="28" t="s">
        <v>340</v>
      </c>
      <c r="H17" s="29">
        <v>-1</v>
      </c>
      <c r="I17" s="30">
        <v>1.1000000000000001</v>
      </c>
      <c r="J17" s="31">
        <v>12.278712995333336</v>
      </c>
      <c r="K17" s="29" t="s">
        <v>341</v>
      </c>
      <c r="L17" s="16">
        <v>0</v>
      </c>
      <c r="M17" s="16">
        <v>2</v>
      </c>
      <c r="N17" s="27" t="s">
        <v>338</v>
      </c>
      <c r="O17" s="27">
        <v>0</v>
      </c>
      <c r="P17" s="27">
        <v>0</v>
      </c>
      <c r="Q17" s="27">
        <v>0</v>
      </c>
      <c r="R17" s="27">
        <v>0</v>
      </c>
      <c r="S17" s="27">
        <v>0</v>
      </c>
      <c r="T17" s="27">
        <v>20</v>
      </c>
      <c r="U17" s="27">
        <v>2</v>
      </c>
      <c r="V17" s="27">
        <v>20</v>
      </c>
      <c r="W17" s="27">
        <v>3</v>
      </c>
      <c r="X17" s="27" t="s">
        <v>338</v>
      </c>
      <c r="Y17" s="17">
        <v>520.31668669220005</v>
      </c>
      <c r="Z17" s="17">
        <v>502.30612669220005</v>
      </c>
      <c r="AA17" s="17">
        <v>522.33232669220001</v>
      </c>
      <c r="AB17" s="17">
        <v>504.32176669220001</v>
      </c>
      <c r="AC17" s="17">
        <v>797.60602669220009</v>
      </c>
      <c r="AD17" s="17">
        <v>723.56924725980002</v>
      </c>
      <c r="AE17" s="17">
        <v>0</v>
      </c>
      <c r="AF17" s="17">
        <v>523.33997559739998</v>
      </c>
      <c r="AG17" s="17">
        <v>449.30319616499997</v>
      </c>
      <c r="AH17" s="17">
        <v>335.33138597199996</v>
      </c>
      <c r="AI17" s="17">
        <v>353.34195065599994</v>
      </c>
      <c r="AJ17" s="17">
        <v>0</v>
      </c>
      <c r="AK17" s="17">
        <v>0</v>
      </c>
      <c r="AL17" s="17">
        <v>551.55556725399993</v>
      </c>
      <c r="AM17" s="17">
        <v>247.0582794382</v>
      </c>
      <c r="AN17" s="17">
        <v>229.0477147542</v>
      </c>
      <c r="AO17" s="17">
        <v>0</v>
      </c>
      <c r="AP17" s="17">
        <v>0</v>
      </c>
      <c r="AQ17" s="17">
        <v>173.021500038</v>
      </c>
      <c r="AR17" s="17">
        <v>155.010935354</v>
      </c>
      <c r="AS17" s="32">
        <v>277.28952115919998</v>
      </c>
      <c r="AT17" s="32">
        <v>275.27387109479997</v>
      </c>
      <c r="AU17" s="32">
        <v>55.0547752254</v>
      </c>
      <c r="AV17" s="32">
        <v>57.070425289800006</v>
      </c>
      <c r="AW17" s="32">
        <v>69.070425289799999</v>
      </c>
      <c r="AX17" s="32">
        <v>71.086075354200005</v>
      </c>
      <c r="AY17" s="32">
        <v>81.070425289799999</v>
      </c>
      <c r="AZ17" s="32">
        <v>83.086075354200005</v>
      </c>
      <c r="BA17" s="32">
        <v>85.101725418599997</v>
      </c>
      <c r="BB17" s="32">
        <v>95.086075354200005</v>
      </c>
      <c r="BC17" s="32">
        <v>97.101725418599997</v>
      </c>
      <c r="BD17" s="32">
        <v>99.117375483000004</v>
      </c>
      <c r="BE17" s="32">
        <v>109.1017254186</v>
      </c>
      <c r="BF17" s="32">
        <v>111.117375483</v>
      </c>
      <c r="BG17" s="32">
        <v>113.13302554740001</v>
      </c>
      <c r="BH17" s="32">
        <v>123.117375483</v>
      </c>
      <c r="BI17" s="32">
        <v>125.13302554740001</v>
      </c>
      <c r="BJ17" s="32">
        <v>127.1486756118</v>
      </c>
      <c r="BK17" s="32">
        <v>137.1330255474</v>
      </c>
      <c r="BL17" s="32">
        <v>139.1486756118</v>
      </c>
      <c r="BM17" s="32">
        <v>141.16432567620001</v>
      </c>
      <c r="BN17" s="32">
        <v>149.1330255474</v>
      </c>
      <c r="BO17" s="32">
        <v>151.1486756118</v>
      </c>
      <c r="BP17" s="32">
        <v>153.16432567620001</v>
      </c>
      <c r="BQ17" s="32">
        <v>155.17997574060001</v>
      </c>
      <c r="BR17" s="32">
        <v>163.1486756118</v>
      </c>
      <c r="BS17" s="32">
        <v>165.16432567620001</v>
      </c>
      <c r="BT17" s="32">
        <v>167.17997574060001</v>
      </c>
      <c r="BU17" s="32">
        <v>169.19562580499999</v>
      </c>
      <c r="BV17" s="32">
        <v>177.16432567620001</v>
      </c>
      <c r="BW17" s="32">
        <v>179.17997574060001</v>
      </c>
      <c r="BX17" s="32">
        <v>181.19562580499999</v>
      </c>
      <c r="BY17" s="32">
        <v>183.2112758694</v>
      </c>
      <c r="BZ17" s="32">
        <v>193.19562580499999</v>
      </c>
      <c r="CA17" s="32">
        <v>195.2112758694</v>
      </c>
      <c r="CB17" s="32">
        <v>207.2112758694</v>
      </c>
      <c r="CC17" s="32">
        <v>209.2269259338</v>
      </c>
      <c r="CD17" s="32">
        <v>221.2269259338</v>
      </c>
      <c r="CE17" s="32">
        <v>223.24257599820001</v>
      </c>
      <c r="CF17" s="32">
        <v>0</v>
      </c>
      <c r="CG17" s="32">
        <v>0</v>
      </c>
      <c r="CH17" s="32">
        <v>0</v>
      </c>
      <c r="CI17" s="32">
        <v>0</v>
      </c>
      <c r="CJ17" s="32">
        <v>0</v>
      </c>
      <c r="CK17" s="32">
        <v>0</v>
      </c>
      <c r="CL17" s="32">
        <v>0</v>
      </c>
      <c r="CM17" s="32">
        <v>0</v>
      </c>
      <c r="CN17" s="32">
        <v>0</v>
      </c>
      <c r="CO17" s="32">
        <v>0</v>
      </c>
      <c r="CP17" s="32">
        <v>0</v>
      </c>
      <c r="CQ17" s="32">
        <v>0</v>
      </c>
      <c r="CR17" s="32">
        <v>0</v>
      </c>
      <c r="CS17" s="32">
        <v>0</v>
      </c>
      <c r="CT17" s="32">
        <v>0</v>
      </c>
      <c r="CU17" s="32">
        <v>0</v>
      </c>
      <c r="CV17" s="32">
        <v>0</v>
      </c>
      <c r="CW17" s="32">
        <v>0</v>
      </c>
      <c r="CX17" s="32">
        <v>0</v>
      </c>
      <c r="CY17" s="32">
        <v>0</v>
      </c>
      <c r="CZ17" s="32">
        <v>0</v>
      </c>
      <c r="DA17" s="32">
        <v>0</v>
      </c>
      <c r="DB17" s="32">
        <v>0</v>
      </c>
      <c r="DC17" s="32">
        <v>0</v>
      </c>
      <c r="DD17" s="32">
        <v>0</v>
      </c>
      <c r="DE17" s="32">
        <v>0</v>
      </c>
      <c r="DF17" s="32">
        <v>0</v>
      </c>
      <c r="DG17" s="32">
        <v>0</v>
      </c>
      <c r="DH17" s="32">
        <v>0</v>
      </c>
      <c r="DI17" s="32">
        <v>0</v>
      </c>
      <c r="DJ17" s="32">
        <v>0</v>
      </c>
      <c r="DK17" s="32">
        <v>55.0547752254</v>
      </c>
      <c r="DL17" s="32">
        <v>57.070425289800006</v>
      </c>
      <c r="DM17" s="32">
        <v>69.070425289799999</v>
      </c>
      <c r="DN17" s="32">
        <v>71.086075354200005</v>
      </c>
      <c r="DO17" s="32">
        <v>81.070425289799999</v>
      </c>
      <c r="DP17" s="32">
        <v>83.086075354200005</v>
      </c>
      <c r="DQ17" s="32">
        <v>85.101725418599997</v>
      </c>
      <c r="DR17" s="32">
        <v>95.086075354200005</v>
      </c>
      <c r="DS17" s="32">
        <v>97.101725418599997</v>
      </c>
      <c r="DT17" s="32">
        <v>99.117375483000004</v>
      </c>
      <c r="DU17" s="32">
        <v>109.1017254186</v>
      </c>
      <c r="DV17" s="32">
        <v>111.117375483</v>
      </c>
      <c r="DW17" s="32">
        <v>113.13302554740001</v>
      </c>
      <c r="DX17" s="32">
        <v>123.117375483</v>
      </c>
      <c r="DY17" s="32">
        <v>125.13302554740001</v>
      </c>
      <c r="DZ17" s="32">
        <v>137.1330255474</v>
      </c>
      <c r="EA17" s="32">
        <v>139.1486756118</v>
      </c>
      <c r="EB17" s="32">
        <v>149.1330255474</v>
      </c>
      <c r="EC17" s="32">
        <v>151.1486756118</v>
      </c>
      <c r="ED17" s="32">
        <v>153.16432567620001</v>
      </c>
      <c r="EE17" s="32">
        <v>163.1486756118</v>
      </c>
      <c r="EF17" s="32">
        <v>165.16432567620001</v>
      </c>
      <c r="EG17" s="32">
        <v>167.17997574060001</v>
      </c>
      <c r="EH17" s="32">
        <v>177.16432567620001</v>
      </c>
      <c r="EI17" s="32">
        <v>179.17997574060001</v>
      </c>
      <c r="EJ17" s="32">
        <v>181.19562580499999</v>
      </c>
      <c r="EK17" s="32">
        <v>191.17997574060001</v>
      </c>
      <c r="EL17" s="32">
        <v>193.19562580499999</v>
      </c>
      <c r="EM17" s="32">
        <v>205.19562580499999</v>
      </c>
      <c r="EN17" s="32">
        <v>207.2112758694</v>
      </c>
      <c r="EO17" s="32">
        <v>219.2112758694</v>
      </c>
      <c r="EP17" s="32">
        <v>221.2269259338</v>
      </c>
      <c r="EQ17" s="32">
        <v>0</v>
      </c>
      <c r="ER17" s="32">
        <v>0</v>
      </c>
      <c r="ES17" s="32">
        <v>0</v>
      </c>
      <c r="ET17" s="32">
        <v>0</v>
      </c>
      <c r="EU17" s="32">
        <v>0</v>
      </c>
      <c r="EV17" s="32">
        <v>0</v>
      </c>
      <c r="EW17" s="32">
        <v>0</v>
      </c>
      <c r="EX17" s="32">
        <v>0</v>
      </c>
      <c r="EY17" s="32">
        <v>0</v>
      </c>
      <c r="EZ17" s="32">
        <v>0</v>
      </c>
      <c r="FA17" s="32">
        <v>0</v>
      </c>
      <c r="FB17" s="32">
        <v>0</v>
      </c>
      <c r="FC17" s="32">
        <v>0</v>
      </c>
      <c r="FD17" s="32">
        <v>0</v>
      </c>
      <c r="FE17" s="32">
        <v>0</v>
      </c>
      <c r="FF17" s="32">
        <v>0</v>
      </c>
      <c r="FG17" s="32">
        <v>0</v>
      </c>
      <c r="FH17" s="32">
        <v>0</v>
      </c>
      <c r="FI17" s="32">
        <v>0</v>
      </c>
      <c r="FJ17" s="32">
        <v>0</v>
      </c>
      <c r="FK17" s="32">
        <v>0</v>
      </c>
      <c r="FL17" s="32">
        <v>0</v>
      </c>
      <c r="FM17" s="32">
        <v>0</v>
      </c>
      <c r="FN17" s="32">
        <v>0</v>
      </c>
      <c r="FO17" s="32">
        <v>0</v>
      </c>
      <c r="FP17" s="32">
        <v>0</v>
      </c>
      <c r="FQ17" s="32">
        <v>0</v>
      </c>
      <c r="FR17" s="32">
        <v>0</v>
      </c>
      <c r="FS17" s="32">
        <v>0</v>
      </c>
      <c r="FT17" s="32">
        <v>0</v>
      </c>
      <c r="FU17" s="32">
        <v>0</v>
      </c>
      <c r="FV17" s="32">
        <v>0</v>
      </c>
      <c r="FW17" s="32">
        <v>0</v>
      </c>
      <c r="FX17" s="32">
        <v>0</v>
      </c>
      <c r="FY17" s="32">
        <v>0</v>
      </c>
      <c r="FZ17" s="32">
        <v>0</v>
      </c>
      <c r="GA17" s="3">
        <v>17.714700000000004</v>
      </c>
      <c r="GB17" s="32">
        <v>1.7714700000000003</v>
      </c>
      <c r="GC17" s="32">
        <v>0</v>
      </c>
      <c r="GD17" s="32">
        <v>15.475618749999999</v>
      </c>
      <c r="GE17" s="32">
        <v>5</v>
      </c>
      <c r="GF17" s="32">
        <v>5.9049000000000014</v>
      </c>
      <c r="GG17" s="32">
        <v>2.9524500000000007</v>
      </c>
      <c r="GH17" s="32">
        <v>0</v>
      </c>
      <c r="GI17" s="32">
        <v>0</v>
      </c>
      <c r="GJ17" s="32">
        <v>0</v>
      </c>
      <c r="GK17" s="32">
        <v>37.791360000000012</v>
      </c>
      <c r="GL17" s="32">
        <v>0</v>
      </c>
      <c r="GM17" s="32">
        <v>0</v>
      </c>
      <c r="GN17" s="32">
        <v>0</v>
      </c>
      <c r="GO17" s="32">
        <v>30</v>
      </c>
      <c r="GP17" s="32">
        <v>10</v>
      </c>
      <c r="GQ17" s="32">
        <v>11.62213</v>
      </c>
      <c r="GR17" s="32">
        <v>20.562229999999996</v>
      </c>
      <c r="GS17" s="32">
        <v>1</v>
      </c>
      <c r="GT17" s="32">
        <v>1.925925925925926</v>
      </c>
      <c r="GU17" s="32">
        <v>1.17578125</v>
      </c>
      <c r="GV17" s="32">
        <v>2.8573588165424901</v>
      </c>
      <c r="GW17" s="32">
        <v>1.6911999999999998</v>
      </c>
      <c r="GX17" s="32">
        <v>3.8125</v>
      </c>
      <c r="GY17" s="32">
        <v>4.3773890508584383</v>
      </c>
      <c r="GZ17" s="32">
        <v>3.9127111111111117</v>
      </c>
      <c r="HA17" s="32">
        <v>19.247119618832613</v>
      </c>
      <c r="HB17" s="32">
        <v>1.1486880466472305</v>
      </c>
      <c r="HC17" s="32">
        <v>21</v>
      </c>
      <c r="HD17" s="32">
        <v>26.98076211353316</v>
      </c>
      <c r="HE17" s="32">
        <v>1.7266048918941481</v>
      </c>
      <c r="HF17" s="32">
        <v>13.48590153939948</v>
      </c>
      <c r="HG17" s="32">
        <v>19.247119618832613</v>
      </c>
      <c r="HH17" s="32">
        <v>2.0345604808414723</v>
      </c>
      <c r="HI17" s="32">
        <v>8.3190062490474013</v>
      </c>
      <c r="HJ17" s="32">
        <v>13.224144588397632</v>
      </c>
      <c r="HK17" s="32">
        <v>2.4191501794807575</v>
      </c>
      <c r="HL17" s="32">
        <v>5.5460041660316008</v>
      </c>
      <c r="HM17" s="32">
        <v>4.9506172839506188</v>
      </c>
      <c r="HN17" s="32">
        <v>8.6980035891950074</v>
      </c>
      <c r="HO17" s="32">
        <v>2.8888888888888888</v>
      </c>
      <c r="HP17" s="32">
        <v>3.300411522633746</v>
      </c>
      <c r="HQ17" s="32">
        <v>2.9051973784484075</v>
      </c>
      <c r="HR17" s="32">
        <v>5.4548631881915579</v>
      </c>
      <c r="HS17" s="32">
        <v>2.4191501794807575</v>
      </c>
      <c r="HT17" s="32">
        <v>1.9367982522989384</v>
      </c>
      <c r="HU17" s="32">
        <v>1.7803688462124674</v>
      </c>
      <c r="HV17" s="32">
        <v>3.2808899523540767</v>
      </c>
      <c r="HW17" s="32">
        <v>2.0345604808414723</v>
      </c>
      <c r="HX17" s="32">
        <v>1.2469135802469138</v>
      </c>
      <c r="HY17" s="32">
        <v>1.9622504486493759</v>
      </c>
      <c r="HZ17" s="32">
        <v>1.0487730528882793</v>
      </c>
      <c r="IA17" s="32">
        <v>1.2851112440442596</v>
      </c>
      <c r="IB17" s="32">
        <v>1.0030483158055175</v>
      </c>
      <c r="IC17" s="32">
        <v>1.0356389055055324</v>
      </c>
      <c r="ID17" s="32">
        <v>0</v>
      </c>
      <c r="IE17" s="32">
        <v>0</v>
      </c>
      <c r="IF17" s="32">
        <v>0</v>
      </c>
      <c r="IG17" s="32">
        <v>0</v>
      </c>
      <c r="IH17" s="32">
        <v>0</v>
      </c>
      <c r="II17" s="32">
        <v>0</v>
      </c>
      <c r="IJ17" s="32">
        <v>0</v>
      </c>
      <c r="IK17" s="32">
        <v>0</v>
      </c>
      <c r="IL17" s="32">
        <v>0</v>
      </c>
      <c r="IM17" s="32">
        <v>0</v>
      </c>
      <c r="IN17" s="32">
        <v>0</v>
      </c>
      <c r="IO17" s="32">
        <v>0</v>
      </c>
      <c r="IP17" s="32">
        <v>0</v>
      </c>
      <c r="IQ17" s="32">
        <v>0</v>
      </c>
      <c r="IR17" s="32">
        <v>0</v>
      </c>
      <c r="IS17" s="32">
        <v>0</v>
      </c>
      <c r="IT17" s="32">
        <v>0</v>
      </c>
      <c r="IU17" s="32">
        <v>0</v>
      </c>
      <c r="IV17" s="32">
        <v>0</v>
      </c>
      <c r="IW17" s="32">
        <v>0</v>
      </c>
      <c r="IX17" s="32">
        <v>0</v>
      </c>
      <c r="IY17" s="32">
        <v>0</v>
      </c>
      <c r="IZ17" s="32">
        <v>0</v>
      </c>
      <c r="JA17" s="32">
        <v>0</v>
      </c>
      <c r="JB17" s="32">
        <v>0</v>
      </c>
      <c r="JC17" s="32">
        <v>0</v>
      </c>
      <c r="JD17" s="32">
        <v>0</v>
      </c>
      <c r="JE17" s="32">
        <v>0</v>
      </c>
      <c r="JF17" s="32">
        <v>0</v>
      </c>
      <c r="JG17" s="32">
        <v>0</v>
      </c>
      <c r="JH17" s="32">
        <v>0</v>
      </c>
      <c r="JI17" s="32">
        <v>1</v>
      </c>
      <c r="JJ17" s="32">
        <v>1.390625</v>
      </c>
      <c r="JK17" s="32">
        <v>1.095683193077468</v>
      </c>
      <c r="JL17" s="32">
        <v>1.784347667638484</v>
      </c>
      <c r="JM17" s="32">
        <v>2.5551999999999997</v>
      </c>
      <c r="JN17" s="32">
        <v>2.5309310892394863</v>
      </c>
      <c r="JO17" s="32">
        <v>2.4310313411078717</v>
      </c>
      <c r="JP17" s="32">
        <v>7.5536000000000012</v>
      </c>
      <c r="JQ17" s="32">
        <v>13.164746412555075</v>
      </c>
      <c r="JR17" s="32">
        <v>1.0836370262390671</v>
      </c>
      <c r="JS17" s="32">
        <v>36.555555555555557</v>
      </c>
      <c r="JT17" s="32">
        <v>18.320508075688771</v>
      </c>
      <c r="JU17" s="32">
        <v>1.4087152516904582</v>
      </c>
      <c r="JV17" s="32">
        <v>23.19715829226574</v>
      </c>
      <c r="JW17" s="32">
        <v>13.164746412555075</v>
      </c>
      <c r="JX17" s="32">
        <v>14.011566664973158</v>
      </c>
      <c r="JY17" s="32">
        <v>9.1494297255984218</v>
      </c>
      <c r="JZ17" s="32">
        <v>8.7764976083700503</v>
      </c>
      <c r="KA17" s="32">
        <v>8.0233196159122109</v>
      </c>
      <c r="KB17" s="32">
        <v>6.1320023927966725</v>
      </c>
      <c r="KC17" s="32">
        <v>5.8509984055800333</v>
      </c>
      <c r="KD17" s="32">
        <v>4.3870175616860578</v>
      </c>
      <c r="KE17" s="32">
        <v>3.969908792127705</v>
      </c>
      <c r="KF17" s="32">
        <v>3.900665603720022</v>
      </c>
      <c r="KG17" s="32">
        <v>2.3873223932666088</v>
      </c>
      <c r="KH17" s="32">
        <v>2.5205933015693844</v>
      </c>
      <c r="KI17" s="32">
        <v>2.6004437358133479</v>
      </c>
      <c r="KJ17" s="32">
        <v>1.4389574759945132</v>
      </c>
      <c r="KK17" s="32">
        <v>1.6803955343795896</v>
      </c>
      <c r="KL17" s="32">
        <v>1.086707649579163</v>
      </c>
      <c r="KM17" s="32">
        <v>0.95930498399634212</v>
      </c>
      <c r="KN17" s="32">
        <v>1.0054192280986978</v>
      </c>
      <c r="KO17" s="32">
        <v>0</v>
      </c>
      <c r="KP17" s="32">
        <v>0</v>
      </c>
      <c r="KQ17" s="32">
        <v>0</v>
      </c>
      <c r="KR17" s="32">
        <v>0</v>
      </c>
      <c r="KS17" s="32">
        <v>0</v>
      </c>
      <c r="KT17" s="32">
        <v>0</v>
      </c>
      <c r="KU17" s="32">
        <v>0</v>
      </c>
      <c r="KV17" s="32">
        <v>0</v>
      </c>
      <c r="KW17" s="32">
        <v>0</v>
      </c>
      <c r="KX17" s="32">
        <v>0</v>
      </c>
      <c r="KY17" s="32">
        <v>0</v>
      </c>
      <c r="KZ17" s="32">
        <v>0</v>
      </c>
      <c r="LA17" s="32">
        <v>0</v>
      </c>
      <c r="LB17" s="32">
        <v>0</v>
      </c>
      <c r="LC17" s="32">
        <v>0</v>
      </c>
      <c r="LD17" s="32">
        <v>0</v>
      </c>
      <c r="LE17" s="32">
        <v>0</v>
      </c>
      <c r="LF17" s="32">
        <v>0</v>
      </c>
      <c r="LG17" s="32">
        <v>0</v>
      </c>
      <c r="LH17" s="32">
        <v>0</v>
      </c>
      <c r="LI17" s="32">
        <v>0</v>
      </c>
      <c r="LJ17" s="32">
        <v>0</v>
      </c>
      <c r="LK17" s="32">
        <v>0</v>
      </c>
      <c r="LL17" s="32">
        <v>0</v>
      </c>
      <c r="LM17" s="32">
        <v>0</v>
      </c>
      <c r="LN17" s="32">
        <v>0</v>
      </c>
      <c r="LO17" s="32">
        <v>0</v>
      </c>
      <c r="LP17" s="32">
        <v>0</v>
      </c>
      <c r="LQ17" s="32">
        <v>0</v>
      </c>
      <c r="LR17" s="32">
        <v>0</v>
      </c>
      <c r="LS17" s="32">
        <v>0</v>
      </c>
      <c r="LT17" s="32">
        <v>0</v>
      </c>
      <c r="LU17" s="32">
        <v>0</v>
      </c>
      <c r="LV17" s="32">
        <v>0</v>
      </c>
      <c r="LW17" s="32">
        <v>0</v>
      </c>
      <c r="LX17" s="32">
        <v>0</v>
      </c>
    </row>
    <row r="18" spans="1:336" s="32" customFormat="1" ht="14.25" x14ac:dyDescent="0.2">
      <c r="A18" s="5">
        <v>12</v>
      </c>
      <c r="B18" s="27" t="s">
        <v>675</v>
      </c>
      <c r="C18" s="27" t="s">
        <v>342</v>
      </c>
      <c r="D18" s="27" t="s">
        <v>343</v>
      </c>
      <c r="E18" s="27" t="s">
        <v>342</v>
      </c>
      <c r="F18" s="28" t="s">
        <v>344</v>
      </c>
      <c r="G18" s="28" t="s">
        <v>345</v>
      </c>
      <c r="H18" s="29">
        <v>-1</v>
      </c>
      <c r="I18" s="30">
        <v>0.12</v>
      </c>
      <c r="J18" s="31">
        <v>11.873133513999999</v>
      </c>
      <c r="K18" s="29" t="s">
        <v>346</v>
      </c>
      <c r="L18" s="16">
        <v>0</v>
      </c>
      <c r="M18" s="16">
        <v>2</v>
      </c>
      <c r="N18" s="27" t="s">
        <v>342</v>
      </c>
      <c r="O18" s="27">
        <v>0</v>
      </c>
      <c r="P18" s="27">
        <v>0</v>
      </c>
      <c r="Q18" s="27">
        <v>0</v>
      </c>
      <c r="R18" s="27">
        <v>0</v>
      </c>
      <c r="S18" s="27">
        <v>0</v>
      </c>
      <c r="T18" s="27">
        <v>20</v>
      </c>
      <c r="U18" s="27">
        <v>2</v>
      </c>
      <c r="V18" s="27">
        <v>20</v>
      </c>
      <c r="W18" s="27">
        <v>4</v>
      </c>
      <c r="X18" s="27" t="s">
        <v>342</v>
      </c>
      <c r="Y18" s="17">
        <v>518.30103662780004</v>
      </c>
      <c r="Z18" s="17">
        <v>500.29047662780005</v>
      </c>
      <c r="AA18" s="17">
        <v>522.33231662780008</v>
      </c>
      <c r="AB18" s="17">
        <v>504.32175662780008</v>
      </c>
      <c r="AC18" s="17">
        <v>795.59037662780008</v>
      </c>
      <c r="AD18" s="17">
        <v>721.55359719540002</v>
      </c>
      <c r="AE18" s="17">
        <v>0</v>
      </c>
      <c r="AF18" s="17">
        <v>523.33997559739998</v>
      </c>
      <c r="AG18" s="17">
        <v>449.30319616499997</v>
      </c>
      <c r="AH18" s="17">
        <v>335.33138597199996</v>
      </c>
      <c r="AI18" s="17">
        <v>353.34195065599994</v>
      </c>
      <c r="AJ18" s="17">
        <v>0</v>
      </c>
      <c r="AK18" s="17">
        <v>0</v>
      </c>
      <c r="AL18" s="17">
        <v>549.53991718959992</v>
      </c>
      <c r="AM18" s="17">
        <v>247.0582794382</v>
      </c>
      <c r="AN18" s="17">
        <v>229.0477147542</v>
      </c>
      <c r="AO18" s="17">
        <v>0</v>
      </c>
      <c r="AP18" s="17">
        <v>0</v>
      </c>
      <c r="AQ18" s="17">
        <v>173.021500038</v>
      </c>
      <c r="AR18" s="17">
        <v>155.010935354</v>
      </c>
      <c r="AS18" s="32">
        <v>277.28952115919998</v>
      </c>
      <c r="AT18" s="32">
        <v>273.25822103039997</v>
      </c>
      <c r="AU18" s="32">
        <v>55.0547752254</v>
      </c>
      <c r="AV18" s="32">
        <v>57.070425289800006</v>
      </c>
      <c r="AW18" s="32">
        <v>69.070425289799999</v>
      </c>
      <c r="AX18" s="32">
        <v>71.086075354200005</v>
      </c>
      <c r="AY18" s="32">
        <v>81.070425289799999</v>
      </c>
      <c r="AZ18" s="32">
        <v>83.086075354200005</v>
      </c>
      <c r="BA18" s="32">
        <v>85.101725418599997</v>
      </c>
      <c r="BB18" s="32">
        <v>95.086075354200005</v>
      </c>
      <c r="BC18" s="32">
        <v>97.101725418599997</v>
      </c>
      <c r="BD18" s="32">
        <v>99.117375483000004</v>
      </c>
      <c r="BE18" s="32">
        <v>109.1017254186</v>
      </c>
      <c r="BF18" s="32">
        <v>111.117375483</v>
      </c>
      <c r="BG18" s="32">
        <v>113.13302554740001</v>
      </c>
      <c r="BH18" s="32">
        <v>123.117375483</v>
      </c>
      <c r="BI18" s="32">
        <v>125.13302554740001</v>
      </c>
      <c r="BJ18" s="32">
        <v>127.1486756118</v>
      </c>
      <c r="BK18" s="32">
        <v>137.1330255474</v>
      </c>
      <c r="BL18" s="32">
        <v>139.1486756118</v>
      </c>
      <c r="BM18" s="32">
        <v>141.16432567620001</v>
      </c>
      <c r="BN18" s="32">
        <v>149.1330255474</v>
      </c>
      <c r="BO18" s="32">
        <v>151.1486756118</v>
      </c>
      <c r="BP18" s="32">
        <v>153.16432567620001</v>
      </c>
      <c r="BQ18" s="32">
        <v>155.17997574060001</v>
      </c>
      <c r="BR18" s="32">
        <v>163.1486756118</v>
      </c>
      <c r="BS18" s="32">
        <v>165.16432567620001</v>
      </c>
      <c r="BT18" s="32">
        <v>167.17997574060001</v>
      </c>
      <c r="BU18" s="32">
        <v>169.19562580499999</v>
      </c>
      <c r="BV18" s="32">
        <v>177.16432567620001</v>
      </c>
      <c r="BW18" s="32">
        <v>179.17997574060001</v>
      </c>
      <c r="BX18" s="32">
        <v>181.19562580499999</v>
      </c>
      <c r="BY18" s="32">
        <v>183.2112758694</v>
      </c>
      <c r="BZ18" s="32">
        <v>193.19562580499999</v>
      </c>
      <c r="CA18" s="32">
        <v>195.2112758694</v>
      </c>
      <c r="CB18" s="32">
        <v>207.2112758694</v>
      </c>
      <c r="CC18" s="32">
        <v>209.2269259338</v>
      </c>
      <c r="CD18" s="32">
        <v>221.2269259338</v>
      </c>
      <c r="CE18" s="32">
        <v>223.24257599820001</v>
      </c>
      <c r="CF18" s="32">
        <v>0</v>
      </c>
      <c r="CG18" s="32">
        <v>0</v>
      </c>
      <c r="CH18" s="32">
        <v>0</v>
      </c>
      <c r="CI18" s="32">
        <v>0</v>
      </c>
      <c r="CJ18" s="32">
        <v>0</v>
      </c>
      <c r="CK18" s="32">
        <v>0</v>
      </c>
      <c r="CL18" s="32">
        <v>0</v>
      </c>
      <c r="CM18" s="32">
        <v>0</v>
      </c>
      <c r="CN18" s="32">
        <v>0</v>
      </c>
      <c r="CO18" s="32">
        <v>0</v>
      </c>
      <c r="CP18" s="32">
        <v>0</v>
      </c>
      <c r="CQ18" s="32">
        <v>0</v>
      </c>
      <c r="CR18" s="32">
        <v>0</v>
      </c>
      <c r="CS18" s="32">
        <v>0</v>
      </c>
      <c r="CT18" s="32">
        <v>0</v>
      </c>
      <c r="CU18" s="32">
        <v>0</v>
      </c>
      <c r="CV18" s="32">
        <v>0</v>
      </c>
      <c r="CW18" s="32">
        <v>0</v>
      </c>
      <c r="CX18" s="32">
        <v>0</v>
      </c>
      <c r="CY18" s="32">
        <v>0</v>
      </c>
      <c r="CZ18" s="32">
        <v>0</v>
      </c>
      <c r="DA18" s="32">
        <v>0</v>
      </c>
      <c r="DB18" s="32">
        <v>0</v>
      </c>
      <c r="DC18" s="32">
        <v>0</v>
      </c>
      <c r="DD18" s="32">
        <v>0</v>
      </c>
      <c r="DE18" s="32">
        <v>0</v>
      </c>
      <c r="DF18" s="32">
        <v>0</v>
      </c>
      <c r="DG18" s="32">
        <v>0</v>
      </c>
      <c r="DH18" s="32">
        <v>0</v>
      </c>
      <c r="DI18" s="32">
        <v>0</v>
      </c>
      <c r="DJ18" s="32">
        <v>0</v>
      </c>
      <c r="DK18" s="32">
        <v>55.0547752254</v>
      </c>
      <c r="DL18" s="32">
        <v>69.070425289799999</v>
      </c>
      <c r="DM18" s="32">
        <v>81.070425289799999</v>
      </c>
      <c r="DN18" s="32">
        <v>83.086075354200005</v>
      </c>
      <c r="DO18" s="32">
        <v>95.086075354200005</v>
      </c>
      <c r="DP18" s="32">
        <v>97.101725418599997</v>
      </c>
      <c r="DQ18" s="32">
        <v>109.1017254186</v>
      </c>
      <c r="DR18" s="32">
        <v>111.117375483</v>
      </c>
      <c r="DS18" s="32">
        <v>123.117375483</v>
      </c>
      <c r="DT18" s="32">
        <v>137.1330255474</v>
      </c>
      <c r="DU18" s="32">
        <v>149.1330255474</v>
      </c>
      <c r="DV18" s="32">
        <v>151.1486756118</v>
      </c>
      <c r="DW18" s="32">
        <v>163.1486756118</v>
      </c>
      <c r="DX18" s="32">
        <v>165.16432567620001</v>
      </c>
      <c r="DY18" s="32">
        <v>177.16432567620001</v>
      </c>
      <c r="DZ18" s="32">
        <v>179.17997574060001</v>
      </c>
      <c r="EA18" s="32">
        <v>191.17997574060001</v>
      </c>
      <c r="EB18" s="32">
        <v>205.19562580499999</v>
      </c>
      <c r="EC18" s="32">
        <v>217.19562580499999</v>
      </c>
      <c r="ED18" s="32">
        <v>219.2112758694</v>
      </c>
      <c r="EE18" s="32">
        <v>0</v>
      </c>
      <c r="EF18" s="32">
        <v>0</v>
      </c>
      <c r="EG18" s="32">
        <v>0</v>
      </c>
      <c r="EH18" s="32">
        <v>0</v>
      </c>
      <c r="EI18" s="32">
        <v>0</v>
      </c>
      <c r="EJ18" s="32">
        <v>0</v>
      </c>
      <c r="EK18" s="32">
        <v>0</v>
      </c>
      <c r="EL18" s="32">
        <v>0</v>
      </c>
      <c r="EM18" s="32">
        <v>0</v>
      </c>
      <c r="EN18" s="32">
        <v>0</v>
      </c>
      <c r="EO18" s="32">
        <v>0</v>
      </c>
      <c r="EP18" s="32">
        <v>0</v>
      </c>
      <c r="EQ18" s="32">
        <v>0</v>
      </c>
      <c r="ER18" s="32">
        <v>0</v>
      </c>
      <c r="ES18" s="32">
        <v>0</v>
      </c>
      <c r="ET18" s="32">
        <v>0</v>
      </c>
      <c r="EU18" s="32">
        <v>0</v>
      </c>
      <c r="EV18" s="32">
        <v>0</v>
      </c>
      <c r="EW18" s="32">
        <v>0</v>
      </c>
      <c r="EX18" s="32">
        <v>0</v>
      </c>
      <c r="EY18" s="32">
        <v>0</v>
      </c>
      <c r="EZ18" s="32">
        <v>0</v>
      </c>
      <c r="FA18" s="32">
        <v>0</v>
      </c>
      <c r="FB18" s="32">
        <v>0</v>
      </c>
      <c r="FC18" s="32">
        <v>0</v>
      </c>
      <c r="FD18" s="32">
        <v>0</v>
      </c>
      <c r="FE18" s="32">
        <v>0</v>
      </c>
      <c r="FF18" s="32">
        <v>0</v>
      </c>
      <c r="FG18" s="32">
        <v>0</v>
      </c>
      <c r="FH18" s="32">
        <v>0</v>
      </c>
      <c r="FI18" s="32">
        <v>0</v>
      </c>
      <c r="FJ18" s="32">
        <v>0</v>
      </c>
      <c r="FK18" s="32">
        <v>0</v>
      </c>
      <c r="FL18" s="32">
        <v>0</v>
      </c>
      <c r="FM18" s="32">
        <v>0</v>
      </c>
      <c r="FN18" s="32">
        <v>0</v>
      </c>
      <c r="FO18" s="32">
        <v>0</v>
      </c>
      <c r="FP18" s="32">
        <v>0</v>
      </c>
      <c r="FQ18" s="32">
        <v>0</v>
      </c>
      <c r="FR18" s="32">
        <v>0</v>
      </c>
      <c r="FS18" s="32">
        <v>0</v>
      </c>
      <c r="FT18" s="32">
        <v>0</v>
      </c>
      <c r="FU18" s="32">
        <v>0</v>
      </c>
      <c r="FV18" s="32">
        <v>0</v>
      </c>
      <c r="FW18" s="32">
        <v>0</v>
      </c>
      <c r="FX18" s="32">
        <v>0</v>
      </c>
      <c r="FY18" s="32">
        <v>0</v>
      </c>
      <c r="FZ18" s="32">
        <v>0</v>
      </c>
      <c r="GA18" s="3">
        <v>15.943230000000005</v>
      </c>
      <c r="GB18" s="32">
        <v>1.5943230000000006</v>
      </c>
      <c r="GC18" s="32">
        <v>0</v>
      </c>
      <c r="GD18" s="32">
        <v>14.701837812499999</v>
      </c>
      <c r="GE18" s="32">
        <v>5</v>
      </c>
      <c r="GF18" s="32">
        <v>5.3144100000000014</v>
      </c>
      <c r="GG18" s="32">
        <v>2.6572050000000007</v>
      </c>
      <c r="GH18" s="32">
        <v>0</v>
      </c>
      <c r="GI18" s="32">
        <v>0</v>
      </c>
      <c r="GJ18" s="32">
        <v>0</v>
      </c>
      <c r="GK18" s="32">
        <v>68.024448000000021</v>
      </c>
      <c r="GL18" s="32">
        <v>0</v>
      </c>
      <c r="GM18" s="32">
        <v>0</v>
      </c>
      <c r="GN18" s="32">
        <v>0</v>
      </c>
      <c r="GO18" s="32">
        <v>30</v>
      </c>
      <c r="GP18" s="32">
        <v>10</v>
      </c>
      <c r="GQ18" s="32">
        <v>15.108769000000001</v>
      </c>
      <c r="GR18" s="32">
        <v>47.293128999999986</v>
      </c>
      <c r="GS18" s="32">
        <v>1</v>
      </c>
      <c r="GT18" s="32">
        <v>1.925925925925926</v>
      </c>
      <c r="GU18" s="32">
        <v>1.17578125</v>
      </c>
      <c r="GV18" s="32">
        <v>2.8573588165424901</v>
      </c>
      <c r="GW18" s="32">
        <v>1.6911999999999998</v>
      </c>
      <c r="GX18" s="32">
        <v>3.8125</v>
      </c>
      <c r="GY18" s="32">
        <v>4.3773890508584383</v>
      </c>
      <c r="GZ18" s="32">
        <v>3.9127111111111117</v>
      </c>
      <c r="HA18" s="32">
        <v>19.247119618832613</v>
      </c>
      <c r="HB18" s="32">
        <v>1.1486880466472305</v>
      </c>
      <c r="HC18" s="32">
        <v>21</v>
      </c>
      <c r="HD18" s="32">
        <v>26.98076211353316</v>
      </c>
      <c r="HE18" s="32">
        <v>1.7266048918941481</v>
      </c>
      <c r="HF18" s="32">
        <v>13.48590153939948</v>
      </c>
      <c r="HG18" s="32">
        <v>19.247119618832613</v>
      </c>
      <c r="HH18" s="32">
        <v>2.0345604808414723</v>
      </c>
      <c r="HI18" s="32">
        <v>8.3190062490474013</v>
      </c>
      <c r="HJ18" s="32">
        <v>13.224144588397632</v>
      </c>
      <c r="HK18" s="32">
        <v>2.4191501794807575</v>
      </c>
      <c r="HL18" s="32">
        <v>5.5460041660316008</v>
      </c>
      <c r="HM18" s="32">
        <v>4.9506172839506188</v>
      </c>
      <c r="HN18" s="32">
        <v>8.6980035891950074</v>
      </c>
      <c r="HO18" s="32">
        <v>2.8888888888888888</v>
      </c>
      <c r="HP18" s="32">
        <v>3.300411522633746</v>
      </c>
      <c r="HQ18" s="32">
        <v>2.9051973784484075</v>
      </c>
      <c r="HR18" s="32">
        <v>5.4548631881915579</v>
      </c>
      <c r="HS18" s="32">
        <v>2.4191501794807575</v>
      </c>
      <c r="HT18" s="32">
        <v>1.9367982522989384</v>
      </c>
      <c r="HU18" s="32">
        <v>1.7803688462124674</v>
      </c>
      <c r="HV18" s="32">
        <v>3.2808899523540767</v>
      </c>
      <c r="HW18" s="32">
        <v>2.0345604808414723</v>
      </c>
      <c r="HX18" s="32">
        <v>1.2469135802469138</v>
      </c>
      <c r="HY18" s="32">
        <v>1.9622504486493759</v>
      </c>
      <c r="HZ18" s="32">
        <v>1.0487730528882793</v>
      </c>
      <c r="IA18" s="32">
        <v>1.2851112440442596</v>
      </c>
      <c r="IB18" s="32">
        <v>1.0030483158055175</v>
      </c>
      <c r="IC18" s="32">
        <v>1.0356389055055324</v>
      </c>
      <c r="ID18" s="32">
        <v>0</v>
      </c>
      <c r="IE18" s="32">
        <v>0</v>
      </c>
      <c r="IF18" s="32">
        <v>0</v>
      </c>
      <c r="IG18" s="32">
        <v>0</v>
      </c>
      <c r="IH18" s="32">
        <v>0</v>
      </c>
      <c r="II18" s="32">
        <v>0</v>
      </c>
      <c r="IJ18" s="32">
        <v>0</v>
      </c>
      <c r="IK18" s="32">
        <v>0</v>
      </c>
      <c r="IL18" s="32">
        <v>0</v>
      </c>
      <c r="IM18" s="32">
        <v>0</v>
      </c>
      <c r="IN18" s="32">
        <v>0</v>
      </c>
      <c r="IO18" s="32">
        <v>0</v>
      </c>
      <c r="IP18" s="32">
        <v>0</v>
      </c>
      <c r="IQ18" s="32">
        <v>0</v>
      </c>
      <c r="IR18" s="32">
        <v>0</v>
      </c>
      <c r="IS18" s="32">
        <v>0</v>
      </c>
      <c r="IT18" s="32">
        <v>0</v>
      </c>
      <c r="IU18" s="32">
        <v>0</v>
      </c>
      <c r="IV18" s="32">
        <v>0</v>
      </c>
      <c r="IW18" s="32">
        <v>0</v>
      </c>
      <c r="IX18" s="32">
        <v>0</v>
      </c>
      <c r="IY18" s="32">
        <v>0</v>
      </c>
      <c r="IZ18" s="32">
        <v>0</v>
      </c>
      <c r="JA18" s="32">
        <v>0</v>
      </c>
      <c r="JB18" s="32">
        <v>0</v>
      </c>
      <c r="JC18" s="32">
        <v>0</v>
      </c>
      <c r="JD18" s="32">
        <v>0</v>
      </c>
      <c r="JE18" s="32">
        <v>0</v>
      </c>
      <c r="JF18" s="32">
        <v>0</v>
      </c>
      <c r="JG18" s="32">
        <v>0</v>
      </c>
      <c r="JH18" s="32">
        <v>0</v>
      </c>
      <c r="JI18" s="32">
        <v>1</v>
      </c>
      <c r="JJ18" s="32">
        <v>1.0338291173353296</v>
      </c>
      <c r="JK18" s="32">
        <v>1.6911999999999998</v>
      </c>
      <c r="JL18" s="32">
        <v>1.5412658773652741</v>
      </c>
      <c r="JM18" s="32">
        <v>3.9127111111111117</v>
      </c>
      <c r="JN18" s="32">
        <v>3.7401585041617</v>
      </c>
      <c r="JO18" s="32">
        <v>9.8888888888888893</v>
      </c>
      <c r="JP18" s="32">
        <v>9.6602540378443855</v>
      </c>
      <c r="JQ18" s="32">
        <v>13.48590153939948</v>
      </c>
      <c r="JR18" s="32">
        <v>8.3190062490474013</v>
      </c>
      <c r="JS18" s="32">
        <v>6.4401693585629234</v>
      </c>
      <c r="JT18" s="32">
        <v>4.9506172839506188</v>
      </c>
      <c r="JU18" s="32">
        <v>5.5460041660316008</v>
      </c>
      <c r="JV18" s="32">
        <v>2.9051973784484075</v>
      </c>
      <c r="JW18" s="32">
        <v>3.300411522633746</v>
      </c>
      <c r="JX18" s="32">
        <v>1.7803688462124674</v>
      </c>
      <c r="JY18" s="32">
        <v>1.9367982522989384</v>
      </c>
      <c r="JZ18" s="32">
        <v>2.2002743484224974</v>
      </c>
      <c r="KA18" s="32">
        <v>1.1869125641416449</v>
      </c>
      <c r="KB18" s="32">
        <v>1.2911988348659589</v>
      </c>
      <c r="KC18" s="32">
        <v>0</v>
      </c>
      <c r="KD18" s="32">
        <v>0</v>
      </c>
      <c r="KE18" s="32">
        <v>0</v>
      </c>
      <c r="KF18" s="32">
        <v>0</v>
      </c>
      <c r="KG18" s="32">
        <v>0</v>
      </c>
      <c r="KH18" s="32">
        <v>0</v>
      </c>
      <c r="KI18" s="32">
        <v>0</v>
      </c>
      <c r="KJ18" s="32">
        <v>0</v>
      </c>
      <c r="KK18" s="32">
        <v>0</v>
      </c>
      <c r="KL18" s="32">
        <v>0</v>
      </c>
      <c r="KM18" s="32">
        <v>0</v>
      </c>
      <c r="KN18" s="32">
        <v>0</v>
      </c>
      <c r="KO18" s="32">
        <v>0</v>
      </c>
      <c r="KP18" s="32">
        <v>0</v>
      </c>
      <c r="KQ18" s="32">
        <v>0</v>
      </c>
      <c r="KR18" s="32">
        <v>0</v>
      </c>
      <c r="KS18" s="32">
        <v>0</v>
      </c>
      <c r="KT18" s="32">
        <v>0</v>
      </c>
      <c r="KU18" s="32">
        <v>0</v>
      </c>
      <c r="KV18" s="32">
        <v>0</v>
      </c>
      <c r="KW18" s="32">
        <v>0</v>
      </c>
      <c r="KX18" s="32">
        <v>0</v>
      </c>
      <c r="KY18" s="32">
        <v>0</v>
      </c>
      <c r="KZ18" s="32">
        <v>0</v>
      </c>
      <c r="LA18" s="32">
        <v>0</v>
      </c>
      <c r="LB18" s="32">
        <v>0</v>
      </c>
      <c r="LC18" s="32">
        <v>0</v>
      </c>
      <c r="LD18" s="32">
        <v>0</v>
      </c>
      <c r="LE18" s="32">
        <v>0</v>
      </c>
      <c r="LF18" s="32">
        <v>0</v>
      </c>
      <c r="LG18" s="32">
        <v>0</v>
      </c>
      <c r="LH18" s="32">
        <v>0</v>
      </c>
      <c r="LI18" s="32">
        <v>0</v>
      </c>
      <c r="LJ18" s="32">
        <v>0</v>
      </c>
      <c r="LK18" s="32">
        <v>0</v>
      </c>
      <c r="LL18" s="32">
        <v>0</v>
      </c>
      <c r="LM18" s="32">
        <v>0</v>
      </c>
      <c r="LN18" s="32">
        <v>0</v>
      </c>
      <c r="LO18" s="32">
        <v>0</v>
      </c>
      <c r="LP18" s="32">
        <v>0</v>
      </c>
      <c r="LQ18" s="32">
        <v>0</v>
      </c>
      <c r="LR18" s="32">
        <v>0</v>
      </c>
      <c r="LS18" s="32">
        <v>0</v>
      </c>
      <c r="LT18" s="32">
        <v>0</v>
      </c>
      <c r="LU18" s="32">
        <v>0</v>
      </c>
      <c r="LV18" s="32">
        <v>0</v>
      </c>
      <c r="LW18" s="32">
        <v>0</v>
      </c>
      <c r="LX18" s="32">
        <v>0</v>
      </c>
    </row>
    <row r="19" spans="1:336" s="32" customFormat="1" ht="14.25" x14ac:dyDescent="0.2">
      <c r="A19" s="5">
        <v>13</v>
      </c>
      <c r="B19" s="27" t="s">
        <v>675</v>
      </c>
      <c r="C19" s="27" t="s">
        <v>347</v>
      </c>
      <c r="D19" s="27" t="s">
        <v>343</v>
      </c>
      <c r="E19" s="27" t="s">
        <v>347</v>
      </c>
      <c r="F19" s="28" t="s">
        <v>348</v>
      </c>
      <c r="G19" s="28" t="s">
        <v>349</v>
      </c>
      <c r="H19" s="29">
        <v>-1</v>
      </c>
      <c r="I19" s="30">
        <v>0.14000000000000001</v>
      </c>
      <c r="J19" s="31">
        <v>11.873133513999999</v>
      </c>
      <c r="K19" s="29" t="s">
        <v>350</v>
      </c>
      <c r="L19" s="16">
        <v>0</v>
      </c>
      <c r="M19" s="16">
        <v>2</v>
      </c>
      <c r="N19" s="27" t="s">
        <v>347</v>
      </c>
      <c r="O19" s="27">
        <v>0</v>
      </c>
      <c r="P19" s="27">
        <v>0</v>
      </c>
      <c r="Q19" s="27">
        <v>0</v>
      </c>
      <c r="R19" s="27">
        <v>0</v>
      </c>
      <c r="S19" s="27">
        <v>0</v>
      </c>
      <c r="T19" s="27">
        <v>20</v>
      </c>
      <c r="U19" s="27">
        <v>3</v>
      </c>
      <c r="V19" s="27">
        <v>20</v>
      </c>
      <c r="W19" s="27">
        <v>3</v>
      </c>
      <c r="X19" s="27" t="s">
        <v>347</v>
      </c>
      <c r="Y19" s="17">
        <v>520.31667662780001</v>
      </c>
      <c r="Z19" s="17">
        <v>502.30611662780001</v>
      </c>
      <c r="AA19" s="17">
        <v>520.31667662780001</v>
      </c>
      <c r="AB19" s="17">
        <v>502.30611662780001</v>
      </c>
      <c r="AC19" s="17">
        <v>795.59037662780008</v>
      </c>
      <c r="AD19" s="17">
        <v>721.55359719540002</v>
      </c>
      <c r="AE19" s="17">
        <v>0</v>
      </c>
      <c r="AF19" s="17">
        <v>521.32432553299998</v>
      </c>
      <c r="AG19" s="17">
        <v>447.28754610059997</v>
      </c>
      <c r="AH19" s="17">
        <v>333.31573590759996</v>
      </c>
      <c r="AI19" s="17">
        <v>351.32630059159993</v>
      </c>
      <c r="AJ19" s="17">
        <v>0</v>
      </c>
      <c r="AK19" s="17">
        <v>0</v>
      </c>
      <c r="AL19" s="17">
        <v>549.53991718959992</v>
      </c>
      <c r="AM19" s="17">
        <v>247.0582794382</v>
      </c>
      <c r="AN19" s="17">
        <v>229.0477147542</v>
      </c>
      <c r="AO19" s="17">
        <v>0</v>
      </c>
      <c r="AP19" s="17">
        <v>0</v>
      </c>
      <c r="AQ19" s="17">
        <v>173.021500038</v>
      </c>
      <c r="AR19" s="17">
        <v>155.010935354</v>
      </c>
      <c r="AS19" s="32">
        <v>275.27387109479997</v>
      </c>
      <c r="AT19" s="32">
        <v>275.27387109479997</v>
      </c>
      <c r="AU19" s="32">
        <v>55.0547752254</v>
      </c>
      <c r="AV19" s="32">
        <v>57.070425289800006</v>
      </c>
      <c r="AW19" s="32">
        <v>69.070425289799999</v>
      </c>
      <c r="AX19" s="32">
        <v>71.086075354200005</v>
      </c>
      <c r="AY19" s="32">
        <v>81.070425289799999</v>
      </c>
      <c r="AZ19" s="32">
        <v>83.086075354200005</v>
      </c>
      <c r="BA19" s="32">
        <v>85.101725418599997</v>
      </c>
      <c r="BB19" s="32">
        <v>95.086075354200005</v>
      </c>
      <c r="BC19" s="32">
        <v>97.101725418599997</v>
      </c>
      <c r="BD19" s="32">
        <v>99.117375483000004</v>
      </c>
      <c r="BE19" s="32">
        <v>109.1017254186</v>
      </c>
      <c r="BF19" s="32">
        <v>111.117375483</v>
      </c>
      <c r="BG19" s="32">
        <v>113.13302554740001</v>
      </c>
      <c r="BH19" s="32">
        <v>123.117375483</v>
      </c>
      <c r="BI19" s="32">
        <v>125.13302554740001</v>
      </c>
      <c r="BJ19" s="32">
        <v>137.1330255474</v>
      </c>
      <c r="BK19" s="32">
        <v>139.1486756118</v>
      </c>
      <c r="BL19" s="32">
        <v>149.1330255474</v>
      </c>
      <c r="BM19" s="32">
        <v>151.1486756118</v>
      </c>
      <c r="BN19" s="32">
        <v>153.16432567620001</v>
      </c>
      <c r="BO19" s="32">
        <v>163.1486756118</v>
      </c>
      <c r="BP19" s="32">
        <v>165.16432567620001</v>
      </c>
      <c r="BQ19" s="32">
        <v>167.17997574060001</v>
      </c>
      <c r="BR19" s="32">
        <v>177.16432567620001</v>
      </c>
      <c r="BS19" s="32">
        <v>179.17997574060001</v>
      </c>
      <c r="BT19" s="32">
        <v>181.19562580499999</v>
      </c>
      <c r="BU19" s="32">
        <v>191.17997574060001</v>
      </c>
      <c r="BV19" s="32">
        <v>193.19562580499999</v>
      </c>
      <c r="BW19" s="32">
        <v>205.19562580499999</v>
      </c>
      <c r="BX19" s="32">
        <v>207.2112758694</v>
      </c>
      <c r="BY19" s="32">
        <v>219.2112758694</v>
      </c>
      <c r="BZ19" s="32">
        <v>221.2269259338</v>
      </c>
      <c r="CA19" s="32">
        <v>0</v>
      </c>
      <c r="CB19" s="32">
        <v>0</v>
      </c>
      <c r="CC19" s="32">
        <v>0</v>
      </c>
      <c r="CD19" s="32">
        <v>0</v>
      </c>
      <c r="CE19" s="32">
        <v>0</v>
      </c>
      <c r="CF19" s="32">
        <v>0</v>
      </c>
      <c r="CG19" s="32">
        <v>0</v>
      </c>
      <c r="CH19" s="32">
        <v>0</v>
      </c>
      <c r="CI19" s="32">
        <v>0</v>
      </c>
      <c r="CJ19" s="32">
        <v>0</v>
      </c>
      <c r="CK19" s="32">
        <v>0</v>
      </c>
      <c r="CL19" s="32">
        <v>0</v>
      </c>
      <c r="CM19" s="32">
        <v>0</v>
      </c>
      <c r="CN19" s="32">
        <v>0</v>
      </c>
      <c r="CO19" s="32">
        <v>0</v>
      </c>
      <c r="CP19" s="32">
        <v>0</v>
      </c>
      <c r="CQ19" s="32">
        <v>0</v>
      </c>
      <c r="CR19" s="32">
        <v>0</v>
      </c>
      <c r="CS19" s="32">
        <v>0</v>
      </c>
      <c r="CT19" s="32">
        <v>0</v>
      </c>
      <c r="CU19" s="32">
        <v>0</v>
      </c>
      <c r="CV19" s="32">
        <v>0</v>
      </c>
      <c r="CW19" s="32">
        <v>0</v>
      </c>
      <c r="CX19" s="32">
        <v>0</v>
      </c>
      <c r="CY19" s="32">
        <v>0</v>
      </c>
      <c r="CZ19" s="32">
        <v>0</v>
      </c>
      <c r="DA19" s="32">
        <v>0</v>
      </c>
      <c r="DB19" s="32">
        <v>0</v>
      </c>
      <c r="DC19" s="32">
        <v>0</v>
      </c>
      <c r="DD19" s="32">
        <v>0</v>
      </c>
      <c r="DE19" s="32">
        <v>0</v>
      </c>
      <c r="DF19" s="32">
        <v>0</v>
      </c>
      <c r="DG19" s="32">
        <v>0</v>
      </c>
      <c r="DH19" s="32">
        <v>0</v>
      </c>
      <c r="DI19" s="32">
        <v>0</v>
      </c>
      <c r="DJ19" s="32">
        <v>0</v>
      </c>
      <c r="DK19" s="32">
        <v>55.0547752254</v>
      </c>
      <c r="DL19" s="32">
        <v>57.070425289800006</v>
      </c>
      <c r="DM19" s="32">
        <v>69.070425289799999</v>
      </c>
      <c r="DN19" s="32">
        <v>71.086075354200005</v>
      </c>
      <c r="DO19" s="32">
        <v>81.070425289799999</v>
      </c>
      <c r="DP19" s="32">
        <v>83.086075354200005</v>
      </c>
      <c r="DQ19" s="32">
        <v>85.101725418599997</v>
      </c>
      <c r="DR19" s="32">
        <v>95.086075354200005</v>
      </c>
      <c r="DS19" s="32">
        <v>97.101725418599997</v>
      </c>
      <c r="DT19" s="32">
        <v>99.117375483000004</v>
      </c>
      <c r="DU19" s="32">
        <v>109.1017254186</v>
      </c>
      <c r="DV19" s="32">
        <v>111.117375483</v>
      </c>
      <c r="DW19" s="32">
        <v>113.13302554740001</v>
      </c>
      <c r="DX19" s="32">
        <v>123.117375483</v>
      </c>
      <c r="DY19" s="32">
        <v>125.13302554740001</v>
      </c>
      <c r="DZ19" s="32">
        <v>137.1330255474</v>
      </c>
      <c r="EA19" s="32">
        <v>139.1486756118</v>
      </c>
      <c r="EB19" s="32">
        <v>149.1330255474</v>
      </c>
      <c r="EC19" s="32">
        <v>151.1486756118</v>
      </c>
      <c r="ED19" s="32">
        <v>153.16432567620001</v>
      </c>
      <c r="EE19" s="32">
        <v>163.1486756118</v>
      </c>
      <c r="EF19" s="32">
        <v>165.16432567620001</v>
      </c>
      <c r="EG19" s="32">
        <v>167.17997574060001</v>
      </c>
      <c r="EH19" s="32">
        <v>177.16432567620001</v>
      </c>
      <c r="EI19" s="32">
        <v>179.17997574060001</v>
      </c>
      <c r="EJ19" s="32">
        <v>181.19562580499999</v>
      </c>
      <c r="EK19" s="32">
        <v>191.17997574060001</v>
      </c>
      <c r="EL19" s="32">
        <v>193.19562580499999</v>
      </c>
      <c r="EM19" s="32">
        <v>205.19562580499999</v>
      </c>
      <c r="EN19" s="32">
        <v>207.2112758694</v>
      </c>
      <c r="EO19" s="32">
        <v>219.2112758694</v>
      </c>
      <c r="EP19" s="32">
        <v>221.2269259338</v>
      </c>
      <c r="EQ19" s="32">
        <v>0</v>
      </c>
      <c r="ER19" s="32">
        <v>0</v>
      </c>
      <c r="ES19" s="32">
        <v>0</v>
      </c>
      <c r="ET19" s="32">
        <v>0</v>
      </c>
      <c r="EU19" s="32">
        <v>0</v>
      </c>
      <c r="EV19" s="32">
        <v>0</v>
      </c>
      <c r="EW19" s="32">
        <v>0</v>
      </c>
      <c r="EX19" s="32">
        <v>0</v>
      </c>
      <c r="EY19" s="32">
        <v>0</v>
      </c>
      <c r="EZ19" s="32">
        <v>0</v>
      </c>
      <c r="FA19" s="32">
        <v>0</v>
      </c>
      <c r="FB19" s="32">
        <v>0</v>
      </c>
      <c r="FC19" s="32">
        <v>0</v>
      </c>
      <c r="FD19" s="32">
        <v>0</v>
      </c>
      <c r="FE19" s="32">
        <v>0</v>
      </c>
      <c r="FF19" s="32">
        <v>0</v>
      </c>
      <c r="FG19" s="32">
        <v>0</v>
      </c>
      <c r="FH19" s="32">
        <v>0</v>
      </c>
      <c r="FI19" s="32">
        <v>0</v>
      </c>
      <c r="FJ19" s="32">
        <v>0</v>
      </c>
      <c r="FK19" s="32">
        <v>0</v>
      </c>
      <c r="FL19" s="32">
        <v>0</v>
      </c>
      <c r="FM19" s="32">
        <v>0</v>
      </c>
      <c r="FN19" s="32">
        <v>0</v>
      </c>
      <c r="FO19" s="32">
        <v>0</v>
      </c>
      <c r="FP19" s="32">
        <v>0</v>
      </c>
      <c r="FQ19" s="32">
        <v>0</v>
      </c>
      <c r="FR19" s="32">
        <v>0</v>
      </c>
      <c r="FS19" s="32">
        <v>0</v>
      </c>
      <c r="FT19" s="32">
        <v>0</v>
      </c>
      <c r="FU19" s="32">
        <v>0</v>
      </c>
      <c r="FV19" s="32">
        <v>0</v>
      </c>
      <c r="FW19" s="32">
        <v>0</v>
      </c>
      <c r="FX19" s="32">
        <v>0</v>
      </c>
      <c r="FY19" s="32">
        <v>0</v>
      </c>
      <c r="FZ19" s="32">
        <v>0</v>
      </c>
      <c r="GA19" s="3">
        <v>15.943230000000005</v>
      </c>
      <c r="GB19" s="32">
        <v>1.5943230000000006</v>
      </c>
      <c r="GC19" s="32">
        <v>0</v>
      </c>
      <c r="GD19" s="32">
        <v>14.701837812499999</v>
      </c>
      <c r="GE19" s="32">
        <v>5</v>
      </c>
      <c r="GF19" s="32">
        <v>5.3144100000000014</v>
      </c>
      <c r="GG19" s="32">
        <v>2.6572050000000007</v>
      </c>
      <c r="GH19" s="32">
        <v>0</v>
      </c>
      <c r="GI19" s="32">
        <v>0</v>
      </c>
      <c r="GJ19" s="32">
        <v>0</v>
      </c>
      <c r="GK19" s="32">
        <v>68.024448000000021</v>
      </c>
      <c r="GL19" s="32">
        <v>0</v>
      </c>
      <c r="GM19" s="32">
        <v>0</v>
      </c>
      <c r="GN19" s="32">
        <v>0</v>
      </c>
      <c r="GO19" s="32">
        <v>30</v>
      </c>
      <c r="GP19" s="32">
        <v>10</v>
      </c>
      <c r="GQ19" s="32">
        <v>26.730898999999997</v>
      </c>
      <c r="GR19" s="32">
        <v>26.730898999999997</v>
      </c>
      <c r="GS19" s="32">
        <v>1</v>
      </c>
      <c r="GT19" s="32">
        <v>1.390625</v>
      </c>
      <c r="GU19" s="32">
        <v>1.095683193077468</v>
      </c>
      <c r="GV19" s="32">
        <v>1.784347667638484</v>
      </c>
      <c r="GW19" s="32">
        <v>2.5551999999999997</v>
      </c>
      <c r="GX19" s="32">
        <v>2.5309310892394863</v>
      </c>
      <c r="GY19" s="32">
        <v>2.4310313411078717</v>
      </c>
      <c r="GZ19" s="32">
        <v>7.5536000000000012</v>
      </c>
      <c r="HA19" s="32">
        <v>13.164746412555075</v>
      </c>
      <c r="HB19" s="32">
        <v>1.0836370262390671</v>
      </c>
      <c r="HC19" s="32">
        <v>36.555555555555557</v>
      </c>
      <c r="HD19" s="32">
        <v>18.320508075688771</v>
      </c>
      <c r="HE19" s="32">
        <v>1.4087152516904582</v>
      </c>
      <c r="HF19" s="32">
        <v>23.19715829226574</v>
      </c>
      <c r="HG19" s="32">
        <v>13.164746412555075</v>
      </c>
      <c r="HH19" s="32">
        <v>14.011566664973158</v>
      </c>
      <c r="HI19" s="32">
        <v>9.1494297255984218</v>
      </c>
      <c r="HJ19" s="32">
        <v>8.7764976083700503</v>
      </c>
      <c r="HK19" s="32">
        <v>8.0233196159122109</v>
      </c>
      <c r="HL19" s="32">
        <v>6.1320023927966725</v>
      </c>
      <c r="HM19" s="32">
        <v>5.8509984055800333</v>
      </c>
      <c r="HN19" s="32">
        <v>4.3870175616860578</v>
      </c>
      <c r="HO19" s="32">
        <v>3.969908792127705</v>
      </c>
      <c r="HP19" s="32">
        <v>3.900665603720022</v>
      </c>
      <c r="HQ19" s="32">
        <v>2.3873223932666088</v>
      </c>
      <c r="HR19" s="32">
        <v>2.5205933015693844</v>
      </c>
      <c r="HS19" s="32">
        <v>2.6004437358133479</v>
      </c>
      <c r="HT19" s="32">
        <v>1.4389574759945132</v>
      </c>
      <c r="HU19" s="32">
        <v>1.6803955343795896</v>
      </c>
      <c r="HV19" s="32">
        <v>1.086707649579163</v>
      </c>
      <c r="HW19" s="32">
        <v>0.95930498399634212</v>
      </c>
      <c r="HX19" s="32">
        <v>1.0054192280986978</v>
      </c>
      <c r="HY19" s="32">
        <v>0</v>
      </c>
      <c r="HZ19" s="32">
        <v>0</v>
      </c>
      <c r="IA19" s="32">
        <v>0</v>
      </c>
      <c r="IB19" s="32">
        <v>0</v>
      </c>
      <c r="IC19" s="32">
        <v>0</v>
      </c>
      <c r="ID19" s="32">
        <v>0</v>
      </c>
      <c r="IE19" s="32">
        <v>0</v>
      </c>
      <c r="IF19" s="32">
        <v>0</v>
      </c>
      <c r="IG19" s="32">
        <v>0</v>
      </c>
      <c r="IH19" s="32">
        <v>0</v>
      </c>
      <c r="II19" s="32">
        <v>0</v>
      </c>
      <c r="IJ19" s="32">
        <v>0</v>
      </c>
      <c r="IK19" s="32">
        <v>0</v>
      </c>
      <c r="IL19" s="32">
        <v>0</v>
      </c>
      <c r="IM19" s="32">
        <v>0</v>
      </c>
      <c r="IN19" s="32">
        <v>0</v>
      </c>
      <c r="IO19" s="32">
        <v>0</v>
      </c>
      <c r="IP19" s="32">
        <v>0</v>
      </c>
      <c r="IQ19" s="32">
        <v>0</v>
      </c>
      <c r="IR19" s="32">
        <v>0</v>
      </c>
      <c r="IS19" s="32">
        <v>0</v>
      </c>
      <c r="IT19" s="32">
        <v>0</v>
      </c>
      <c r="IU19" s="32">
        <v>0</v>
      </c>
      <c r="IV19" s="32">
        <v>0</v>
      </c>
      <c r="IW19" s="32">
        <v>0</v>
      </c>
      <c r="IX19" s="32">
        <v>0</v>
      </c>
      <c r="IY19" s="32">
        <v>0</v>
      </c>
      <c r="IZ19" s="32">
        <v>0</v>
      </c>
      <c r="JA19" s="32">
        <v>0</v>
      </c>
      <c r="JB19" s="32">
        <v>0</v>
      </c>
      <c r="JC19" s="32">
        <v>0</v>
      </c>
      <c r="JD19" s="32">
        <v>0</v>
      </c>
      <c r="JE19" s="32">
        <v>0</v>
      </c>
      <c r="JF19" s="32">
        <v>0</v>
      </c>
      <c r="JG19" s="32">
        <v>0</v>
      </c>
      <c r="JH19" s="32">
        <v>0</v>
      </c>
      <c r="JI19" s="32">
        <v>1</v>
      </c>
      <c r="JJ19" s="32">
        <v>1.390625</v>
      </c>
      <c r="JK19" s="32">
        <v>1.095683193077468</v>
      </c>
      <c r="JL19" s="32">
        <v>1.784347667638484</v>
      </c>
      <c r="JM19" s="32">
        <v>2.5551999999999997</v>
      </c>
      <c r="JN19" s="32">
        <v>2.5309310892394863</v>
      </c>
      <c r="JO19" s="32">
        <v>2.4310313411078717</v>
      </c>
      <c r="JP19" s="32">
        <v>7.5536000000000012</v>
      </c>
      <c r="JQ19" s="32">
        <v>13.164746412555075</v>
      </c>
      <c r="JR19" s="32">
        <v>1.0836370262390671</v>
      </c>
      <c r="JS19" s="32">
        <v>36.555555555555557</v>
      </c>
      <c r="JT19" s="32">
        <v>18.320508075688771</v>
      </c>
      <c r="JU19" s="32">
        <v>1.4087152516904582</v>
      </c>
      <c r="JV19" s="32">
        <v>23.19715829226574</v>
      </c>
      <c r="JW19" s="32">
        <v>13.164746412555075</v>
      </c>
      <c r="JX19" s="32">
        <v>14.011566664973158</v>
      </c>
      <c r="JY19" s="32">
        <v>9.1494297255984218</v>
      </c>
      <c r="JZ19" s="32">
        <v>8.7764976083700503</v>
      </c>
      <c r="KA19" s="32">
        <v>8.0233196159122109</v>
      </c>
      <c r="KB19" s="32">
        <v>6.1320023927966725</v>
      </c>
      <c r="KC19" s="32">
        <v>5.8509984055800333</v>
      </c>
      <c r="KD19" s="32">
        <v>4.3870175616860578</v>
      </c>
      <c r="KE19" s="32">
        <v>3.969908792127705</v>
      </c>
      <c r="KF19" s="32">
        <v>3.900665603720022</v>
      </c>
      <c r="KG19" s="32">
        <v>2.3873223932666088</v>
      </c>
      <c r="KH19" s="32">
        <v>2.5205933015693844</v>
      </c>
      <c r="KI19" s="32">
        <v>2.6004437358133479</v>
      </c>
      <c r="KJ19" s="32">
        <v>1.4389574759945132</v>
      </c>
      <c r="KK19" s="32">
        <v>1.6803955343795896</v>
      </c>
      <c r="KL19" s="32">
        <v>1.086707649579163</v>
      </c>
      <c r="KM19" s="32">
        <v>0.95930498399634212</v>
      </c>
      <c r="KN19" s="32">
        <v>1.0054192280986978</v>
      </c>
      <c r="KO19" s="32">
        <v>0</v>
      </c>
      <c r="KP19" s="32">
        <v>0</v>
      </c>
      <c r="KQ19" s="32">
        <v>0</v>
      </c>
      <c r="KR19" s="32">
        <v>0</v>
      </c>
      <c r="KS19" s="32">
        <v>0</v>
      </c>
      <c r="KT19" s="32">
        <v>0</v>
      </c>
      <c r="KU19" s="32">
        <v>0</v>
      </c>
      <c r="KV19" s="32">
        <v>0</v>
      </c>
      <c r="KW19" s="32">
        <v>0</v>
      </c>
      <c r="KX19" s="32">
        <v>0</v>
      </c>
      <c r="KY19" s="32">
        <v>0</v>
      </c>
      <c r="KZ19" s="32">
        <v>0</v>
      </c>
      <c r="LA19" s="32">
        <v>0</v>
      </c>
      <c r="LB19" s="32">
        <v>0</v>
      </c>
      <c r="LC19" s="32">
        <v>0</v>
      </c>
      <c r="LD19" s="32">
        <v>0</v>
      </c>
      <c r="LE19" s="32">
        <v>0</v>
      </c>
      <c r="LF19" s="32">
        <v>0</v>
      </c>
      <c r="LG19" s="32">
        <v>0</v>
      </c>
      <c r="LH19" s="32">
        <v>0</v>
      </c>
      <c r="LI19" s="32">
        <v>0</v>
      </c>
      <c r="LJ19" s="32">
        <v>0</v>
      </c>
      <c r="LK19" s="32">
        <v>0</v>
      </c>
      <c r="LL19" s="32">
        <v>0</v>
      </c>
      <c r="LM19" s="32">
        <v>0</v>
      </c>
      <c r="LN19" s="32">
        <v>0</v>
      </c>
      <c r="LO19" s="32">
        <v>0</v>
      </c>
      <c r="LP19" s="32">
        <v>0</v>
      </c>
      <c r="LQ19" s="32">
        <v>0</v>
      </c>
      <c r="LR19" s="32">
        <v>0</v>
      </c>
      <c r="LS19" s="32">
        <v>0</v>
      </c>
      <c r="LT19" s="32">
        <v>0</v>
      </c>
      <c r="LU19" s="32">
        <v>0</v>
      </c>
      <c r="LV19" s="32">
        <v>0</v>
      </c>
      <c r="LW19" s="32">
        <v>0</v>
      </c>
      <c r="LX19" s="32">
        <v>0</v>
      </c>
    </row>
    <row r="20" spans="1:336" s="32" customFormat="1" ht="14.25" x14ac:dyDescent="0.2">
      <c r="A20" s="5">
        <v>14</v>
      </c>
      <c r="B20" s="27" t="s">
        <v>676</v>
      </c>
      <c r="C20" s="27" t="s">
        <v>351</v>
      </c>
      <c r="D20" s="27" t="s">
        <v>352</v>
      </c>
      <c r="E20" s="27" t="s">
        <v>351</v>
      </c>
      <c r="F20" s="28" t="s">
        <v>353</v>
      </c>
      <c r="G20" s="28" t="s">
        <v>354</v>
      </c>
      <c r="H20" s="29">
        <v>-1</v>
      </c>
      <c r="I20" s="30">
        <v>-0.81</v>
      </c>
      <c r="J20" s="31">
        <v>11.467554032666666</v>
      </c>
      <c r="K20" s="29" t="s">
        <v>355</v>
      </c>
      <c r="L20" s="16">
        <v>0</v>
      </c>
      <c r="M20" s="16">
        <v>2</v>
      </c>
      <c r="N20" s="27" t="s">
        <v>351</v>
      </c>
      <c r="O20" s="27">
        <v>0</v>
      </c>
      <c r="P20" s="27">
        <v>0</v>
      </c>
      <c r="Q20" s="27">
        <v>0</v>
      </c>
      <c r="R20" s="27">
        <v>0</v>
      </c>
      <c r="S20" s="27">
        <v>0</v>
      </c>
      <c r="T20" s="27">
        <v>20</v>
      </c>
      <c r="U20" s="27">
        <v>3</v>
      </c>
      <c r="V20" s="27">
        <v>20</v>
      </c>
      <c r="W20" s="27">
        <v>4</v>
      </c>
      <c r="X20" s="27" t="s">
        <v>351</v>
      </c>
      <c r="Y20" s="17">
        <v>518.3010265634</v>
      </c>
      <c r="Z20" s="17">
        <v>500.2904665634</v>
      </c>
      <c r="AA20" s="17">
        <v>520.31666656340008</v>
      </c>
      <c r="AB20" s="17">
        <v>502.30610656340008</v>
      </c>
      <c r="AC20" s="17">
        <v>793.57472656340008</v>
      </c>
      <c r="AD20" s="17">
        <v>719.53794713100001</v>
      </c>
      <c r="AE20" s="17">
        <v>0</v>
      </c>
      <c r="AF20" s="17">
        <v>521.32432553299998</v>
      </c>
      <c r="AG20" s="17">
        <v>447.28754610059997</v>
      </c>
      <c r="AH20" s="17">
        <v>333.31573590759996</v>
      </c>
      <c r="AI20" s="17">
        <v>351.32630059159993</v>
      </c>
      <c r="AJ20" s="17">
        <v>0</v>
      </c>
      <c r="AK20" s="17">
        <v>0</v>
      </c>
      <c r="AL20" s="17">
        <v>547.52426712519991</v>
      </c>
      <c r="AM20" s="17">
        <v>247.0582794382</v>
      </c>
      <c r="AN20" s="17">
        <v>229.0477147542</v>
      </c>
      <c r="AO20" s="17">
        <v>0</v>
      </c>
      <c r="AP20" s="17">
        <v>0</v>
      </c>
      <c r="AQ20" s="17">
        <v>173.021500038</v>
      </c>
      <c r="AR20" s="17">
        <v>155.010935354</v>
      </c>
      <c r="AS20" s="32">
        <v>275.27387109479997</v>
      </c>
      <c r="AT20" s="32">
        <v>273.25822103039997</v>
      </c>
      <c r="AU20" s="32">
        <v>55.0547752254</v>
      </c>
      <c r="AV20" s="32">
        <v>57.070425289800006</v>
      </c>
      <c r="AW20" s="32">
        <v>69.070425289799999</v>
      </c>
      <c r="AX20" s="32">
        <v>71.086075354200005</v>
      </c>
      <c r="AY20" s="32">
        <v>81.070425289799999</v>
      </c>
      <c r="AZ20" s="32">
        <v>83.086075354200005</v>
      </c>
      <c r="BA20" s="32">
        <v>85.101725418599997</v>
      </c>
      <c r="BB20" s="32">
        <v>95.086075354200005</v>
      </c>
      <c r="BC20" s="32">
        <v>97.101725418599997</v>
      </c>
      <c r="BD20" s="32">
        <v>99.117375483000004</v>
      </c>
      <c r="BE20" s="32">
        <v>109.1017254186</v>
      </c>
      <c r="BF20" s="32">
        <v>111.117375483</v>
      </c>
      <c r="BG20" s="32">
        <v>113.13302554740001</v>
      </c>
      <c r="BH20" s="32">
        <v>123.117375483</v>
      </c>
      <c r="BI20" s="32">
        <v>125.13302554740001</v>
      </c>
      <c r="BJ20" s="32">
        <v>137.1330255474</v>
      </c>
      <c r="BK20" s="32">
        <v>139.1486756118</v>
      </c>
      <c r="BL20" s="32">
        <v>149.1330255474</v>
      </c>
      <c r="BM20" s="32">
        <v>151.1486756118</v>
      </c>
      <c r="BN20" s="32">
        <v>153.16432567620001</v>
      </c>
      <c r="BO20" s="32">
        <v>163.1486756118</v>
      </c>
      <c r="BP20" s="32">
        <v>165.16432567620001</v>
      </c>
      <c r="BQ20" s="32">
        <v>167.17997574060001</v>
      </c>
      <c r="BR20" s="32">
        <v>177.16432567620001</v>
      </c>
      <c r="BS20" s="32">
        <v>179.17997574060001</v>
      </c>
      <c r="BT20" s="32">
        <v>181.19562580499999</v>
      </c>
      <c r="BU20" s="32">
        <v>191.17997574060001</v>
      </c>
      <c r="BV20" s="32">
        <v>193.19562580499999</v>
      </c>
      <c r="BW20" s="32">
        <v>205.19562580499999</v>
      </c>
      <c r="BX20" s="32">
        <v>207.2112758694</v>
      </c>
      <c r="BY20" s="32">
        <v>219.2112758694</v>
      </c>
      <c r="BZ20" s="32">
        <v>221.2269259338</v>
      </c>
      <c r="CA20" s="32">
        <v>0</v>
      </c>
      <c r="CB20" s="32">
        <v>0</v>
      </c>
      <c r="CC20" s="32">
        <v>0</v>
      </c>
      <c r="CD20" s="32">
        <v>0</v>
      </c>
      <c r="CE20" s="32">
        <v>0</v>
      </c>
      <c r="CF20" s="32">
        <v>0</v>
      </c>
      <c r="CG20" s="32">
        <v>0</v>
      </c>
      <c r="CH20" s="32">
        <v>0</v>
      </c>
      <c r="CI20" s="32">
        <v>0</v>
      </c>
      <c r="CJ20" s="32">
        <v>0</v>
      </c>
      <c r="CK20" s="32">
        <v>0</v>
      </c>
      <c r="CL20" s="32">
        <v>0</v>
      </c>
      <c r="CM20" s="32">
        <v>0</v>
      </c>
      <c r="CN20" s="32">
        <v>0</v>
      </c>
      <c r="CO20" s="32">
        <v>0</v>
      </c>
      <c r="CP20" s="32">
        <v>0</v>
      </c>
      <c r="CQ20" s="32">
        <v>0</v>
      </c>
      <c r="CR20" s="32">
        <v>0</v>
      </c>
      <c r="CS20" s="32">
        <v>0</v>
      </c>
      <c r="CT20" s="32">
        <v>0</v>
      </c>
      <c r="CU20" s="32">
        <v>0</v>
      </c>
      <c r="CV20" s="32">
        <v>0</v>
      </c>
      <c r="CW20" s="32">
        <v>0</v>
      </c>
      <c r="CX20" s="32">
        <v>0</v>
      </c>
      <c r="CY20" s="32">
        <v>0</v>
      </c>
      <c r="CZ20" s="32">
        <v>0</v>
      </c>
      <c r="DA20" s="32">
        <v>0</v>
      </c>
      <c r="DB20" s="32">
        <v>0</v>
      </c>
      <c r="DC20" s="32">
        <v>0</v>
      </c>
      <c r="DD20" s="32">
        <v>0</v>
      </c>
      <c r="DE20" s="32">
        <v>0</v>
      </c>
      <c r="DF20" s="32">
        <v>0</v>
      </c>
      <c r="DG20" s="32">
        <v>0</v>
      </c>
      <c r="DH20" s="32">
        <v>0</v>
      </c>
      <c r="DI20" s="32">
        <v>0</v>
      </c>
      <c r="DJ20" s="32">
        <v>0</v>
      </c>
      <c r="DK20" s="32">
        <v>55.0547752254</v>
      </c>
      <c r="DL20" s="32">
        <v>69.070425289799999</v>
      </c>
      <c r="DM20" s="32">
        <v>81.070425289799999</v>
      </c>
      <c r="DN20" s="32">
        <v>83.086075354200005</v>
      </c>
      <c r="DO20" s="32">
        <v>95.086075354200005</v>
      </c>
      <c r="DP20" s="32">
        <v>97.101725418599997</v>
      </c>
      <c r="DQ20" s="32">
        <v>109.1017254186</v>
      </c>
      <c r="DR20" s="32">
        <v>111.117375483</v>
      </c>
      <c r="DS20" s="32">
        <v>123.117375483</v>
      </c>
      <c r="DT20" s="32">
        <v>137.1330255474</v>
      </c>
      <c r="DU20" s="32">
        <v>149.1330255474</v>
      </c>
      <c r="DV20" s="32">
        <v>151.1486756118</v>
      </c>
      <c r="DW20" s="32">
        <v>163.1486756118</v>
      </c>
      <c r="DX20" s="32">
        <v>165.16432567620001</v>
      </c>
      <c r="DY20" s="32">
        <v>177.16432567620001</v>
      </c>
      <c r="DZ20" s="32">
        <v>179.17997574060001</v>
      </c>
      <c r="EA20" s="32">
        <v>191.17997574060001</v>
      </c>
      <c r="EB20" s="32">
        <v>205.19562580499999</v>
      </c>
      <c r="EC20" s="32">
        <v>217.19562580499999</v>
      </c>
      <c r="ED20" s="32">
        <v>219.2112758694</v>
      </c>
      <c r="EE20" s="32">
        <v>0</v>
      </c>
      <c r="EF20" s="32">
        <v>0</v>
      </c>
      <c r="EG20" s="32">
        <v>0</v>
      </c>
      <c r="EH20" s="32">
        <v>0</v>
      </c>
      <c r="EI20" s="32">
        <v>0</v>
      </c>
      <c r="EJ20" s="32">
        <v>0</v>
      </c>
      <c r="EK20" s="32">
        <v>0</v>
      </c>
      <c r="EL20" s="32">
        <v>0</v>
      </c>
      <c r="EM20" s="32">
        <v>0</v>
      </c>
      <c r="EN20" s="32">
        <v>0</v>
      </c>
      <c r="EO20" s="32">
        <v>0</v>
      </c>
      <c r="EP20" s="32">
        <v>0</v>
      </c>
      <c r="EQ20" s="32">
        <v>0</v>
      </c>
      <c r="ER20" s="32">
        <v>0</v>
      </c>
      <c r="ES20" s="32">
        <v>0</v>
      </c>
      <c r="ET20" s="32">
        <v>0</v>
      </c>
      <c r="EU20" s="32">
        <v>0</v>
      </c>
      <c r="EV20" s="32">
        <v>0</v>
      </c>
      <c r="EW20" s="32">
        <v>0</v>
      </c>
      <c r="EX20" s="32">
        <v>0</v>
      </c>
      <c r="EY20" s="32">
        <v>0</v>
      </c>
      <c r="EZ20" s="32">
        <v>0</v>
      </c>
      <c r="FA20" s="32">
        <v>0</v>
      </c>
      <c r="FB20" s="32">
        <v>0</v>
      </c>
      <c r="FC20" s="32">
        <v>0</v>
      </c>
      <c r="FD20" s="32">
        <v>0</v>
      </c>
      <c r="FE20" s="32">
        <v>0</v>
      </c>
      <c r="FF20" s="32">
        <v>0</v>
      </c>
      <c r="FG20" s="32">
        <v>0</v>
      </c>
      <c r="FH20" s="32">
        <v>0</v>
      </c>
      <c r="FI20" s="32">
        <v>0</v>
      </c>
      <c r="FJ20" s="32">
        <v>0</v>
      </c>
      <c r="FK20" s="32">
        <v>0</v>
      </c>
      <c r="FL20" s="32">
        <v>0</v>
      </c>
      <c r="FM20" s="32">
        <v>0</v>
      </c>
      <c r="FN20" s="32">
        <v>0</v>
      </c>
      <c r="FO20" s="32">
        <v>0</v>
      </c>
      <c r="FP20" s="32">
        <v>0</v>
      </c>
      <c r="FQ20" s="32">
        <v>0</v>
      </c>
      <c r="FR20" s="32">
        <v>0</v>
      </c>
      <c r="FS20" s="32">
        <v>0</v>
      </c>
      <c r="FT20" s="32">
        <v>0</v>
      </c>
      <c r="FU20" s="32">
        <v>0</v>
      </c>
      <c r="FV20" s="32">
        <v>0</v>
      </c>
      <c r="FW20" s="32">
        <v>0</v>
      </c>
      <c r="FX20" s="32">
        <v>0</v>
      </c>
      <c r="FY20" s="32">
        <v>0</v>
      </c>
      <c r="FZ20" s="32">
        <v>0</v>
      </c>
      <c r="GA20" s="3">
        <v>14.348907000000004</v>
      </c>
      <c r="GB20" s="32">
        <v>1.4348907000000004</v>
      </c>
      <c r="GC20" s="32">
        <v>0</v>
      </c>
      <c r="GD20" s="32">
        <v>13.966745921874999</v>
      </c>
      <c r="GE20" s="32">
        <v>5</v>
      </c>
      <c r="GF20" s="32">
        <v>4.7829690000000014</v>
      </c>
      <c r="GG20" s="32">
        <v>2.3914845000000007</v>
      </c>
      <c r="GH20" s="32">
        <v>0</v>
      </c>
      <c r="GI20" s="32">
        <v>0</v>
      </c>
      <c r="GJ20" s="32">
        <v>0</v>
      </c>
      <c r="GK20" s="32">
        <v>122.44400640000003</v>
      </c>
      <c r="GL20" s="32">
        <v>0</v>
      </c>
      <c r="GM20" s="32">
        <v>0</v>
      </c>
      <c r="GN20" s="32">
        <v>0</v>
      </c>
      <c r="GO20" s="32">
        <v>30</v>
      </c>
      <c r="GP20" s="32">
        <v>10</v>
      </c>
      <c r="GQ20" s="32">
        <v>34.750168699999996</v>
      </c>
      <c r="GR20" s="32">
        <v>61.481067699999997</v>
      </c>
      <c r="GS20" s="32">
        <v>1</v>
      </c>
      <c r="GT20" s="32">
        <v>1.390625</v>
      </c>
      <c r="GU20" s="32">
        <v>1.095683193077468</v>
      </c>
      <c r="GV20" s="32">
        <v>1.784347667638484</v>
      </c>
      <c r="GW20" s="32">
        <v>2.5551999999999997</v>
      </c>
      <c r="GX20" s="32">
        <v>2.5309310892394863</v>
      </c>
      <c r="GY20" s="32">
        <v>2.4310313411078717</v>
      </c>
      <c r="GZ20" s="32">
        <v>7.5536000000000012</v>
      </c>
      <c r="HA20" s="32">
        <v>13.164746412555075</v>
      </c>
      <c r="HB20" s="32">
        <v>1.0836370262390671</v>
      </c>
      <c r="HC20" s="32">
        <v>36.555555555555557</v>
      </c>
      <c r="HD20" s="32">
        <v>18.320508075688771</v>
      </c>
      <c r="HE20" s="32">
        <v>1.4087152516904582</v>
      </c>
      <c r="HF20" s="32">
        <v>23.19715829226574</v>
      </c>
      <c r="HG20" s="32">
        <v>13.164746412555075</v>
      </c>
      <c r="HH20" s="32">
        <v>14.011566664973158</v>
      </c>
      <c r="HI20" s="32">
        <v>9.1494297255984218</v>
      </c>
      <c r="HJ20" s="32">
        <v>8.7764976083700503</v>
      </c>
      <c r="HK20" s="32">
        <v>8.0233196159122109</v>
      </c>
      <c r="HL20" s="32">
        <v>6.1320023927966725</v>
      </c>
      <c r="HM20" s="32">
        <v>5.8509984055800333</v>
      </c>
      <c r="HN20" s="32">
        <v>4.3870175616860578</v>
      </c>
      <c r="HO20" s="32">
        <v>3.969908792127705</v>
      </c>
      <c r="HP20" s="32">
        <v>3.900665603720022</v>
      </c>
      <c r="HQ20" s="32">
        <v>2.3873223932666088</v>
      </c>
      <c r="HR20" s="32">
        <v>2.5205933015693844</v>
      </c>
      <c r="HS20" s="32">
        <v>2.6004437358133479</v>
      </c>
      <c r="HT20" s="32">
        <v>1.4389574759945132</v>
      </c>
      <c r="HU20" s="32">
        <v>1.6803955343795896</v>
      </c>
      <c r="HV20" s="32">
        <v>1.086707649579163</v>
      </c>
      <c r="HW20" s="32">
        <v>0.95930498399634212</v>
      </c>
      <c r="HX20" s="32">
        <v>1.0054192280986978</v>
      </c>
      <c r="HY20" s="32">
        <v>0</v>
      </c>
      <c r="HZ20" s="32">
        <v>0</v>
      </c>
      <c r="IA20" s="32">
        <v>0</v>
      </c>
      <c r="IB20" s="32">
        <v>0</v>
      </c>
      <c r="IC20" s="32">
        <v>0</v>
      </c>
      <c r="ID20" s="32">
        <v>0</v>
      </c>
      <c r="IE20" s="32">
        <v>0</v>
      </c>
      <c r="IF20" s="32">
        <v>0</v>
      </c>
      <c r="IG20" s="32">
        <v>0</v>
      </c>
      <c r="IH20" s="32">
        <v>0</v>
      </c>
      <c r="II20" s="32">
        <v>0</v>
      </c>
      <c r="IJ20" s="32">
        <v>0</v>
      </c>
      <c r="IK20" s="32">
        <v>0</v>
      </c>
      <c r="IL20" s="32">
        <v>0</v>
      </c>
      <c r="IM20" s="32">
        <v>0</v>
      </c>
      <c r="IN20" s="32">
        <v>0</v>
      </c>
      <c r="IO20" s="32">
        <v>0</v>
      </c>
      <c r="IP20" s="32">
        <v>0</v>
      </c>
      <c r="IQ20" s="32">
        <v>0</v>
      </c>
      <c r="IR20" s="32">
        <v>0</v>
      </c>
      <c r="IS20" s="32">
        <v>0</v>
      </c>
      <c r="IT20" s="32">
        <v>0</v>
      </c>
      <c r="IU20" s="32">
        <v>0</v>
      </c>
      <c r="IV20" s="32">
        <v>0</v>
      </c>
      <c r="IW20" s="32">
        <v>0</v>
      </c>
      <c r="IX20" s="32">
        <v>0</v>
      </c>
      <c r="IY20" s="32">
        <v>0</v>
      </c>
      <c r="IZ20" s="32">
        <v>0</v>
      </c>
      <c r="JA20" s="32">
        <v>0</v>
      </c>
      <c r="JB20" s="32">
        <v>0</v>
      </c>
      <c r="JC20" s="32">
        <v>0</v>
      </c>
      <c r="JD20" s="32">
        <v>0</v>
      </c>
      <c r="JE20" s="32">
        <v>0</v>
      </c>
      <c r="JF20" s="32">
        <v>0</v>
      </c>
      <c r="JG20" s="32">
        <v>0</v>
      </c>
      <c r="JH20" s="32">
        <v>0</v>
      </c>
      <c r="JI20" s="32">
        <v>1</v>
      </c>
      <c r="JJ20" s="32">
        <v>1.0338291173353296</v>
      </c>
      <c r="JK20" s="32">
        <v>1.6911999999999998</v>
      </c>
      <c r="JL20" s="32">
        <v>1.5412658773652741</v>
      </c>
      <c r="JM20" s="32">
        <v>3.9127111111111117</v>
      </c>
      <c r="JN20" s="32">
        <v>3.7401585041617</v>
      </c>
      <c r="JO20" s="32">
        <v>9.8888888888888893</v>
      </c>
      <c r="JP20" s="32">
        <v>9.6602540378443855</v>
      </c>
      <c r="JQ20" s="32">
        <v>13.48590153939948</v>
      </c>
      <c r="JR20" s="32">
        <v>8.3190062490474013</v>
      </c>
      <c r="JS20" s="32">
        <v>6.4401693585629234</v>
      </c>
      <c r="JT20" s="32">
        <v>4.9506172839506188</v>
      </c>
      <c r="JU20" s="32">
        <v>5.5460041660316008</v>
      </c>
      <c r="JV20" s="32">
        <v>2.9051973784484075</v>
      </c>
      <c r="JW20" s="32">
        <v>3.300411522633746</v>
      </c>
      <c r="JX20" s="32">
        <v>1.7803688462124674</v>
      </c>
      <c r="JY20" s="32">
        <v>1.9367982522989384</v>
      </c>
      <c r="JZ20" s="32">
        <v>2.2002743484224974</v>
      </c>
      <c r="KA20" s="32">
        <v>1.1869125641416449</v>
      </c>
      <c r="KB20" s="32">
        <v>1.2911988348659589</v>
      </c>
      <c r="KC20" s="32">
        <v>0</v>
      </c>
      <c r="KD20" s="32">
        <v>0</v>
      </c>
      <c r="KE20" s="32">
        <v>0</v>
      </c>
      <c r="KF20" s="32">
        <v>0</v>
      </c>
      <c r="KG20" s="32">
        <v>0</v>
      </c>
      <c r="KH20" s="32">
        <v>0</v>
      </c>
      <c r="KI20" s="32">
        <v>0</v>
      </c>
      <c r="KJ20" s="32">
        <v>0</v>
      </c>
      <c r="KK20" s="32">
        <v>0</v>
      </c>
      <c r="KL20" s="32">
        <v>0</v>
      </c>
      <c r="KM20" s="32">
        <v>0</v>
      </c>
      <c r="KN20" s="32">
        <v>0</v>
      </c>
      <c r="KO20" s="32">
        <v>0</v>
      </c>
      <c r="KP20" s="32">
        <v>0</v>
      </c>
      <c r="KQ20" s="32">
        <v>0</v>
      </c>
      <c r="KR20" s="32">
        <v>0</v>
      </c>
      <c r="KS20" s="32">
        <v>0</v>
      </c>
      <c r="KT20" s="32">
        <v>0</v>
      </c>
      <c r="KU20" s="32">
        <v>0</v>
      </c>
      <c r="KV20" s="32">
        <v>0</v>
      </c>
      <c r="KW20" s="32">
        <v>0</v>
      </c>
      <c r="KX20" s="32">
        <v>0</v>
      </c>
      <c r="KY20" s="32">
        <v>0</v>
      </c>
      <c r="KZ20" s="32">
        <v>0</v>
      </c>
      <c r="LA20" s="32">
        <v>0</v>
      </c>
      <c r="LB20" s="32">
        <v>0</v>
      </c>
      <c r="LC20" s="32">
        <v>0</v>
      </c>
      <c r="LD20" s="32">
        <v>0</v>
      </c>
      <c r="LE20" s="32">
        <v>0</v>
      </c>
      <c r="LF20" s="32">
        <v>0</v>
      </c>
      <c r="LG20" s="32">
        <v>0</v>
      </c>
      <c r="LH20" s="32">
        <v>0</v>
      </c>
      <c r="LI20" s="32">
        <v>0</v>
      </c>
      <c r="LJ20" s="32">
        <v>0</v>
      </c>
      <c r="LK20" s="32">
        <v>0</v>
      </c>
      <c r="LL20" s="32">
        <v>0</v>
      </c>
      <c r="LM20" s="32">
        <v>0</v>
      </c>
      <c r="LN20" s="32">
        <v>0</v>
      </c>
      <c r="LO20" s="32">
        <v>0</v>
      </c>
      <c r="LP20" s="32">
        <v>0</v>
      </c>
      <c r="LQ20" s="32">
        <v>0</v>
      </c>
      <c r="LR20" s="32">
        <v>0</v>
      </c>
      <c r="LS20" s="32">
        <v>0</v>
      </c>
      <c r="LT20" s="32">
        <v>0</v>
      </c>
      <c r="LU20" s="32">
        <v>0</v>
      </c>
      <c r="LV20" s="32">
        <v>0</v>
      </c>
      <c r="LW20" s="32">
        <v>0</v>
      </c>
      <c r="LX20" s="32">
        <v>0</v>
      </c>
    </row>
    <row r="21" spans="1:336" s="32" customFormat="1" ht="14.25" x14ac:dyDescent="0.2">
      <c r="A21" s="5">
        <v>15</v>
      </c>
      <c r="B21" s="27" t="s">
        <v>677</v>
      </c>
      <c r="C21" s="27" t="s">
        <v>356</v>
      </c>
      <c r="D21" s="27" t="s">
        <v>357</v>
      </c>
      <c r="E21" s="27" t="s">
        <v>356</v>
      </c>
      <c r="F21" s="28" t="s">
        <v>358</v>
      </c>
      <c r="G21" s="28" t="s">
        <v>359</v>
      </c>
      <c r="H21" s="29">
        <v>-1</v>
      </c>
      <c r="I21" s="30">
        <v>-1.73</v>
      </c>
      <c r="J21" s="31">
        <v>11.061974551333334</v>
      </c>
      <c r="K21" s="29" t="s">
        <v>360</v>
      </c>
      <c r="L21" s="16">
        <v>0</v>
      </c>
      <c r="M21" s="16">
        <v>2</v>
      </c>
      <c r="N21" s="27" t="s">
        <v>356</v>
      </c>
      <c r="O21" s="27">
        <v>0</v>
      </c>
      <c r="P21" s="27">
        <v>0</v>
      </c>
      <c r="Q21" s="27">
        <v>0</v>
      </c>
      <c r="R21" s="27">
        <v>0</v>
      </c>
      <c r="S21" s="27">
        <v>0</v>
      </c>
      <c r="T21" s="27">
        <v>20</v>
      </c>
      <c r="U21" s="27">
        <v>4</v>
      </c>
      <c r="V21" s="27">
        <v>20</v>
      </c>
      <c r="W21" s="27">
        <v>4</v>
      </c>
      <c r="X21" s="27" t="s">
        <v>356</v>
      </c>
      <c r="Y21" s="17">
        <v>518.30101649900007</v>
      </c>
      <c r="Z21" s="17">
        <v>500.29045649900007</v>
      </c>
      <c r="AA21" s="17">
        <v>518.30101649900007</v>
      </c>
      <c r="AB21" s="17">
        <v>500.29045649900007</v>
      </c>
      <c r="AC21" s="17">
        <v>791.55907649900007</v>
      </c>
      <c r="AD21" s="17">
        <v>717.5222970666</v>
      </c>
      <c r="AE21" s="17">
        <v>0</v>
      </c>
      <c r="AF21" s="17">
        <v>519.30867546859997</v>
      </c>
      <c r="AG21" s="17">
        <v>445.27189603619996</v>
      </c>
      <c r="AH21" s="17">
        <v>331.30008584319995</v>
      </c>
      <c r="AI21" s="17">
        <v>349.31065052719993</v>
      </c>
      <c r="AJ21" s="17">
        <v>0</v>
      </c>
      <c r="AK21" s="17">
        <v>0</v>
      </c>
      <c r="AL21" s="17">
        <v>545.50861706079991</v>
      </c>
      <c r="AM21" s="17">
        <v>247.0582794382</v>
      </c>
      <c r="AN21" s="17">
        <v>229.0477147542</v>
      </c>
      <c r="AO21" s="17">
        <v>0</v>
      </c>
      <c r="AP21" s="17">
        <v>0</v>
      </c>
      <c r="AQ21" s="17">
        <v>173.021500038</v>
      </c>
      <c r="AR21" s="17">
        <v>155.010935354</v>
      </c>
      <c r="AS21" s="32">
        <v>273.25822103039997</v>
      </c>
      <c r="AT21" s="32">
        <v>273.25822103039997</v>
      </c>
      <c r="AU21" s="32">
        <v>55.0547752254</v>
      </c>
      <c r="AV21" s="32">
        <v>69.070425289799999</v>
      </c>
      <c r="AW21" s="32">
        <v>81.070425289799999</v>
      </c>
      <c r="AX21" s="32">
        <v>83.086075354200005</v>
      </c>
      <c r="AY21" s="32">
        <v>95.086075354200005</v>
      </c>
      <c r="AZ21" s="32">
        <v>97.101725418599997</v>
      </c>
      <c r="BA21" s="32">
        <v>109.1017254186</v>
      </c>
      <c r="BB21" s="32">
        <v>111.117375483</v>
      </c>
      <c r="BC21" s="32">
        <v>123.117375483</v>
      </c>
      <c r="BD21" s="32">
        <v>137.1330255474</v>
      </c>
      <c r="BE21" s="32">
        <v>149.1330255474</v>
      </c>
      <c r="BF21" s="32">
        <v>151.1486756118</v>
      </c>
      <c r="BG21" s="32">
        <v>163.1486756118</v>
      </c>
      <c r="BH21" s="32">
        <v>165.16432567620001</v>
      </c>
      <c r="BI21" s="32">
        <v>177.16432567620001</v>
      </c>
      <c r="BJ21" s="32">
        <v>179.17997574060001</v>
      </c>
      <c r="BK21" s="32">
        <v>191.17997574060001</v>
      </c>
      <c r="BL21" s="32">
        <v>205.19562580499999</v>
      </c>
      <c r="BM21" s="32">
        <v>217.19562580499999</v>
      </c>
      <c r="BN21" s="32">
        <v>219.2112758694</v>
      </c>
      <c r="BO21" s="32">
        <v>0</v>
      </c>
      <c r="BP21" s="32">
        <v>0</v>
      </c>
      <c r="BQ21" s="32">
        <v>0</v>
      </c>
      <c r="BR21" s="32">
        <v>0</v>
      </c>
      <c r="BS21" s="32">
        <v>0</v>
      </c>
      <c r="BT21" s="32">
        <v>0</v>
      </c>
      <c r="BU21" s="32">
        <v>0</v>
      </c>
      <c r="BV21" s="32">
        <v>0</v>
      </c>
      <c r="BW21" s="32">
        <v>0</v>
      </c>
      <c r="BX21" s="32">
        <v>0</v>
      </c>
      <c r="BY21" s="32">
        <v>0</v>
      </c>
      <c r="BZ21" s="32">
        <v>0</v>
      </c>
      <c r="CA21" s="32">
        <v>0</v>
      </c>
      <c r="CB21" s="32">
        <v>0</v>
      </c>
      <c r="CC21" s="32">
        <v>0</v>
      </c>
      <c r="CD21" s="32">
        <v>0</v>
      </c>
      <c r="CE21" s="32">
        <v>0</v>
      </c>
      <c r="CF21" s="32">
        <v>0</v>
      </c>
      <c r="CG21" s="32">
        <v>0</v>
      </c>
      <c r="CH21" s="32">
        <v>0</v>
      </c>
      <c r="CI21" s="32">
        <v>0</v>
      </c>
      <c r="CJ21" s="32">
        <v>0</v>
      </c>
      <c r="CK21" s="32">
        <v>0</v>
      </c>
      <c r="CL21" s="32">
        <v>0</v>
      </c>
      <c r="CM21" s="32">
        <v>0</v>
      </c>
      <c r="CN21" s="32">
        <v>0</v>
      </c>
      <c r="CO21" s="32">
        <v>0</v>
      </c>
      <c r="CP21" s="32">
        <v>0</v>
      </c>
      <c r="CQ21" s="32">
        <v>0</v>
      </c>
      <c r="CR21" s="32">
        <v>0</v>
      </c>
      <c r="CS21" s="32">
        <v>0</v>
      </c>
      <c r="CT21" s="32">
        <v>0</v>
      </c>
      <c r="CU21" s="32">
        <v>0</v>
      </c>
      <c r="CV21" s="32">
        <v>0</v>
      </c>
      <c r="CW21" s="32">
        <v>0</v>
      </c>
      <c r="CX21" s="32">
        <v>0</v>
      </c>
      <c r="CY21" s="32">
        <v>0</v>
      </c>
      <c r="CZ21" s="32">
        <v>0</v>
      </c>
      <c r="DA21" s="32">
        <v>0</v>
      </c>
      <c r="DB21" s="32">
        <v>0</v>
      </c>
      <c r="DC21" s="32">
        <v>0</v>
      </c>
      <c r="DD21" s="32">
        <v>0</v>
      </c>
      <c r="DE21" s="32">
        <v>0</v>
      </c>
      <c r="DF21" s="32">
        <v>0</v>
      </c>
      <c r="DG21" s="32">
        <v>0</v>
      </c>
      <c r="DH21" s="32">
        <v>0</v>
      </c>
      <c r="DI21" s="32">
        <v>0</v>
      </c>
      <c r="DJ21" s="32">
        <v>0</v>
      </c>
      <c r="DK21" s="32">
        <v>55.0547752254</v>
      </c>
      <c r="DL21" s="32">
        <v>69.070425289799999</v>
      </c>
      <c r="DM21" s="32">
        <v>81.070425289799999</v>
      </c>
      <c r="DN21" s="32">
        <v>83.086075354200005</v>
      </c>
      <c r="DO21" s="32">
        <v>95.086075354200005</v>
      </c>
      <c r="DP21" s="32">
        <v>97.101725418599997</v>
      </c>
      <c r="DQ21" s="32">
        <v>109.1017254186</v>
      </c>
      <c r="DR21" s="32">
        <v>111.117375483</v>
      </c>
      <c r="DS21" s="32">
        <v>123.117375483</v>
      </c>
      <c r="DT21" s="32">
        <v>137.1330255474</v>
      </c>
      <c r="DU21" s="32">
        <v>149.1330255474</v>
      </c>
      <c r="DV21" s="32">
        <v>151.1486756118</v>
      </c>
      <c r="DW21" s="32">
        <v>163.1486756118</v>
      </c>
      <c r="DX21" s="32">
        <v>165.16432567620001</v>
      </c>
      <c r="DY21" s="32">
        <v>177.16432567620001</v>
      </c>
      <c r="DZ21" s="32">
        <v>179.17997574060001</v>
      </c>
      <c r="EA21" s="32">
        <v>191.17997574060001</v>
      </c>
      <c r="EB21" s="32">
        <v>205.19562580499999</v>
      </c>
      <c r="EC21" s="32">
        <v>217.19562580499999</v>
      </c>
      <c r="ED21" s="32">
        <v>219.2112758694</v>
      </c>
      <c r="EE21" s="32">
        <v>0</v>
      </c>
      <c r="EF21" s="32">
        <v>0</v>
      </c>
      <c r="EG21" s="32">
        <v>0</v>
      </c>
      <c r="EH21" s="32">
        <v>0</v>
      </c>
      <c r="EI21" s="32">
        <v>0</v>
      </c>
      <c r="EJ21" s="32">
        <v>0</v>
      </c>
      <c r="EK21" s="32">
        <v>0</v>
      </c>
      <c r="EL21" s="32">
        <v>0</v>
      </c>
      <c r="EM21" s="32">
        <v>0</v>
      </c>
      <c r="EN21" s="32">
        <v>0</v>
      </c>
      <c r="EO21" s="32">
        <v>0</v>
      </c>
      <c r="EP21" s="32">
        <v>0</v>
      </c>
      <c r="EQ21" s="32">
        <v>0</v>
      </c>
      <c r="ER21" s="32">
        <v>0</v>
      </c>
      <c r="ES21" s="32">
        <v>0</v>
      </c>
      <c r="ET21" s="32">
        <v>0</v>
      </c>
      <c r="EU21" s="32">
        <v>0</v>
      </c>
      <c r="EV21" s="32">
        <v>0</v>
      </c>
      <c r="EW21" s="32">
        <v>0</v>
      </c>
      <c r="EX21" s="32">
        <v>0</v>
      </c>
      <c r="EY21" s="32">
        <v>0</v>
      </c>
      <c r="EZ21" s="32">
        <v>0</v>
      </c>
      <c r="FA21" s="32">
        <v>0</v>
      </c>
      <c r="FB21" s="32">
        <v>0</v>
      </c>
      <c r="FC21" s="32">
        <v>0</v>
      </c>
      <c r="FD21" s="32">
        <v>0</v>
      </c>
      <c r="FE21" s="32">
        <v>0</v>
      </c>
      <c r="FF21" s="32">
        <v>0</v>
      </c>
      <c r="FG21" s="32">
        <v>0</v>
      </c>
      <c r="FH21" s="32">
        <v>0</v>
      </c>
      <c r="FI21" s="32">
        <v>0</v>
      </c>
      <c r="FJ21" s="32">
        <v>0</v>
      </c>
      <c r="FK21" s="32">
        <v>0</v>
      </c>
      <c r="FL21" s="32">
        <v>0</v>
      </c>
      <c r="FM21" s="32">
        <v>0</v>
      </c>
      <c r="FN21" s="32">
        <v>0</v>
      </c>
      <c r="FO21" s="32">
        <v>0</v>
      </c>
      <c r="FP21" s="32">
        <v>0</v>
      </c>
      <c r="FQ21" s="32">
        <v>0</v>
      </c>
      <c r="FR21" s="32">
        <v>0</v>
      </c>
      <c r="FS21" s="32">
        <v>0</v>
      </c>
      <c r="FT21" s="32">
        <v>0</v>
      </c>
      <c r="FU21" s="32">
        <v>0</v>
      </c>
      <c r="FV21" s="32">
        <v>0</v>
      </c>
      <c r="FW21" s="32">
        <v>0</v>
      </c>
      <c r="FX21" s="32">
        <v>0</v>
      </c>
      <c r="FY21" s="32">
        <v>0</v>
      </c>
      <c r="FZ21" s="32">
        <v>0</v>
      </c>
      <c r="GA21" s="3">
        <v>12.914016300000005</v>
      </c>
      <c r="GB21" s="32">
        <v>1.2914016300000006</v>
      </c>
      <c r="GC21" s="32">
        <v>0</v>
      </c>
      <c r="GD21" s="32">
        <v>13.26840862578125</v>
      </c>
      <c r="GE21" s="32">
        <v>5</v>
      </c>
      <c r="GF21" s="32">
        <v>4.3046721000000012</v>
      </c>
      <c r="GG21" s="32">
        <v>2.1523360500000006</v>
      </c>
      <c r="GH21" s="32">
        <v>0</v>
      </c>
      <c r="GI21" s="32">
        <v>0</v>
      </c>
      <c r="GJ21" s="32">
        <v>0</v>
      </c>
      <c r="GK21" s="32">
        <v>220.39921152000008</v>
      </c>
      <c r="GL21" s="32">
        <v>0</v>
      </c>
      <c r="GM21" s="32">
        <v>0</v>
      </c>
      <c r="GN21" s="32">
        <v>0</v>
      </c>
      <c r="GO21" s="32">
        <v>30</v>
      </c>
      <c r="GP21" s="32">
        <v>10</v>
      </c>
      <c r="GQ21" s="32">
        <v>79.925388009999992</v>
      </c>
      <c r="GR21" s="32">
        <v>79.925388009999992</v>
      </c>
      <c r="GS21" s="32">
        <v>1</v>
      </c>
      <c r="GT21" s="32">
        <v>1.0338291173353296</v>
      </c>
      <c r="GU21" s="32">
        <v>1.6911999999999998</v>
      </c>
      <c r="GV21" s="32">
        <v>1.5412658773652741</v>
      </c>
      <c r="GW21" s="32">
        <v>3.9127111111111117</v>
      </c>
      <c r="GX21" s="32">
        <v>3.7401585041617</v>
      </c>
      <c r="GY21" s="32">
        <v>9.8888888888888893</v>
      </c>
      <c r="GZ21" s="32">
        <v>9.6602540378443855</v>
      </c>
      <c r="HA21" s="32">
        <v>13.48590153939948</v>
      </c>
      <c r="HB21" s="32">
        <v>8.3190062490474013</v>
      </c>
      <c r="HC21" s="32">
        <v>6.4401693585629234</v>
      </c>
      <c r="HD21" s="32">
        <v>4.9506172839506188</v>
      </c>
      <c r="HE21" s="32">
        <v>5.5460041660316008</v>
      </c>
      <c r="HF21" s="32">
        <v>2.9051973784484075</v>
      </c>
      <c r="HG21" s="32">
        <v>3.300411522633746</v>
      </c>
      <c r="HH21" s="32">
        <v>1.7803688462124674</v>
      </c>
      <c r="HI21" s="32">
        <v>1.9367982522989384</v>
      </c>
      <c r="HJ21" s="32">
        <v>2.2002743484224974</v>
      </c>
      <c r="HK21" s="32">
        <v>1.1869125641416449</v>
      </c>
      <c r="HL21" s="32">
        <v>1.2911988348659589</v>
      </c>
      <c r="HM21" s="32">
        <v>0</v>
      </c>
      <c r="HN21" s="32">
        <v>0</v>
      </c>
      <c r="HO21" s="32">
        <v>0</v>
      </c>
      <c r="HP21" s="32">
        <v>0</v>
      </c>
      <c r="HQ21" s="32">
        <v>0</v>
      </c>
      <c r="HR21" s="32">
        <v>0</v>
      </c>
      <c r="HS21" s="32">
        <v>0</v>
      </c>
      <c r="HT21" s="32">
        <v>0</v>
      </c>
      <c r="HU21" s="32">
        <v>0</v>
      </c>
      <c r="HV21" s="32">
        <v>0</v>
      </c>
      <c r="HW21" s="32">
        <v>0</v>
      </c>
      <c r="HX21" s="32">
        <v>0</v>
      </c>
      <c r="HY21" s="32">
        <v>0</v>
      </c>
      <c r="HZ21" s="32">
        <v>0</v>
      </c>
      <c r="IA21" s="32">
        <v>0</v>
      </c>
      <c r="IB21" s="32">
        <v>0</v>
      </c>
      <c r="IC21" s="32">
        <v>0</v>
      </c>
      <c r="ID21" s="32">
        <v>0</v>
      </c>
      <c r="IE21" s="32">
        <v>0</v>
      </c>
      <c r="IF21" s="32">
        <v>0</v>
      </c>
      <c r="IG21" s="32">
        <v>0</v>
      </c>
      <c r="IH21" s="32">
        <v>0</v>
      </c>
      <c r="II21" s="32">
        <v>0</v>
      </c>
      <c r="IJ21" s="32">
        <v>0</v>
      </c>
      <c r="IK21" s="32">
        <v>0</v>
      </c>
      <c r="IL21" s="32">
        <v>0</v>
      </c>
      <c r="IM21" s="32">
        <v>0</v>
      </c>
      <c r="IN21" s="32">
        <v>0</v>
      </c>
      <c r="IO21" s="32">
        <v>0</v>
      </c>
      <c r="IP21" s="32">
        <v>0</v>
      </c>
      <c r="IQ21" s="32">
        <v>0</v>
      </c>
      <c r="IR21" s="32">
        <v>0</v>
      </c>
      <c r="IS21" s="32">
        <v>0</v>
      </c>
      <c r="IT21" s="32">
        <v>0</v>
      </c>
      <c r="IU21" s="32">
        <v>0</v>
      </c>
      <c r="IV21" s="32">
        <v>0</v>
      </c>
      <c r="IW21" s="32">
        <v>0</v>
      </c>
      <c r="IX21" s="32">
        <v>0</v>
      </c>
      <c r="IY21" s="32">
        <v>0</v>
      </c>
      <c r="IZ21" s="32">
        <v>0</v>
      </c>
      <c r="JA21" s="32">
        <v>0</v>
      </c>
      <c r="JB21" s="32">
        <v>0</v>
      </c>
      <c r="JC21" s="32">
        <v>0</v>
      </c>
      <c r="JD21" s="32">
        <v>0</v>
      </c>
      <c r="JE21" s="32">
        <v>0</v>
      </c>
      <c r="JF21" s="32">
        <v>0</v>
      </c>
      <c r="JG21" s="32">
        <v>0</v>
      </c>
      <c r="JH21" s="32">
        <v>0</v>
      </c>
      <c r="JI21" s="32">
        <v>1</v>
      </c>
      <c r="JJ21" s="32">
        <v>1.0338291173353296</v>
      </c>
      <c r="JK21" s="32">
        <v>1.6911999999999998</v>
      </c>
      <c r="JL21" s="32">
        <v>1.5412658773652741</v>
      </c>
      <c r="JM21" s="32">
        <v>3.9127111111111117</v>
      </c>
      <c r="JN21" s="32">
        <v>3.7401585041617</v>
      </c>
      <c r="JO21" s="32">
        <v>9.8888888888888893</v>
      </c>
      <c r="JP21" s="32">
        <v>9.6602540378443855</v>
      </c>
      <c r="JQ21" s="32">
        <v>13.48590153939948</v>
      </c>
      <c r="JR21" s="32">
        <v>8.3190062490474013</v>
      </c>
      <c r="JS21" s="32">
        <v>6.4401693585629234</v>
      </c>
      <c r="JT21" s="32">
        <v>4.9506172839506188</v>
      </c>
      <c r="JU21" s="32">
        <v>5.5460041660316008</v>
      </c>
      <c r="JV21" s="32">
        <v>2.9051973784484075</v>
      </c>
      <c r="JW21" s="32">
        <v>3.300411522633746</v>
      </c>
      <c r="JX21" s="32">
        <v>1.7803688462124674</v>
      </c>
      <c r="JY21" s="32">
        <v>1.9367982522989384</v>
      </c>
      <c r="JZ21" s="32">
        <v>2.2002743484224974</v>
      </c>
      <c r="KA21" s="32">
        <v>1.1869125641416449</v>
      </c>
      <c r="KB21" s="32">
        <v>1.2911988348659589</v>
      </c>
      <c r="KC21" s="32">
        <v>0</v>
      </c>
      <c r="KD21" s="32">
        <v>0</v>
      </c>
      <c r="KE21" s="32">
        <v>0</v>
      </c>
      <c r="KF21" s="32">
        <v>0</v>
      </c>
      <c r="KG21" s="32">
        <v>0</v>
      </c>
      <c r="KH21" s="32">
        <v>0</v>
      </c>
      <c r="KI21" s="32">
        <v>0</v>
      </c>
      <c r="KJ21" s="32">
        <v>0</v>
      </c>
      <c r="KK21" s="32">
        <v>0</v>
      </c>
      <c r="KL21" s="32">
        <v>0</v>
      </c>
      <c r="KM21" s="32">
        <v>0</v>
      </c>
      <c r="KN21" s="32">
        <v>0</v>
      </c>
      <c r="KO21" s="32">
        <v>0</v>
      </c>
      <c r="KP21" s="32">
        <v>0</v>
      </c>
      <c r="KQ21" s="32">
        <v>0</v>
      </c>
      <c r="KR21" s="32">
        <v>0</v>
      </c>
      <c r="KS21" s="32">
        <v>0</v>
      </c>
      <c r="KT21" s="32">
        <v>0</v>
      </c>
      <c r="KU21" s="32">
        <v>0</v>
      </c>
      <c r="KV21" s="32">
        <v>0</v>
      </c>
      <c r="KW21" s="32">
        <v>0</v>
      </c>
      <c r="KX21" s="32">
        <v>0</v>
      </c>
      <c r="KY21" s="32">
        <v>0</v>
      </c>
      <c r="KZ21" s="32">
        <v>0</v>
      </c>
      <c r="LA21" s="32">
        <v>0</v>
      </c>
      <c r="LB21" s="32">
        <v>0</v>
      </c>
      <c r="LC21" s="32">
        <v>0</v>
      </c>
      <c r="LD21" s="32">
        <v>0</v>
      </c>
      <c r="LE21" s="32">
        <v>0</v>
      </c>
      <c r="LF21" s="32">
        <v>0</v>
      </c>
      <c r="LG21" s="32">
        <v>0</v>
      </c>
      <c r="LH21" s="32">
        <v>0</v>
      </c>
      <c r="LI21" s="32">
        <v>0</v>
      </c>
      <c r="LJ21" s="32">
        <v>0</v>
      </c>
      <c r="LK21" s="32">
        <v>0</v>
      </c>
      <c r="LL21" s="32">
        <v>0</v>
      </c>
      <c r="LM21" s="32">
        <v>0</v>
      </c>
      <c r="LN21" s="32">
        <v>0</v>
      </c>
      <c r="LO21" s="32">
        <v>0</v>
      </c>
      <c r="LP21" s="32">
        <v>0</v>
      </c>
      <c r="LQ21" s="32">
        <v>0</v>
      </c>
      <c r="LR21" s="32">
        <v>0</v>
      </c>
      <c r="LS21" s="32">
        <v>0</v>
      </c>
      <c r="LT21" s="32">
        <v>0</v>
      </c>
      <c r="LU21" s="32">
        <v>0</v>
      </c>
      <c r="LV21" s="32">
        <v>0</v>
      </c>
      <c r="LW21" s="32">
        <v>0</v>
      </c>
      <c r="LX21" s="32">
        <v>0</v>
      </c>
    </row>
    <row r="22" spans="1:336" s="32" customFormat="1" ht="14.25" x14ac:dyDescent="0.2">
      <c r="A22" s="5">
        <v>16</v>
      </c>
      <c r="B22" s="27" t="s">
        <v>678</v>
      </c>
      <c r="C22" s="27" t="s">
        <v>361</v>
      </c>
      <c r="D22" s="27" t="s">
        <v>362</v>
      </c>
      <c r="E22" s="27" t="s">
        <v>361</v>
      </c>
      <c r="F22" s="28" t="s">
        <v>363</v>
      </c>
      <c r="G22" s="28" t="s">
        <v>364</v>
      </c>
      <c r="H22" s="29">
        <v>-1</v>
      </c>
      <c r="I22" s="30">
        <v>12.54</v>
      </c>
      <c r="J22" s="31">
        <v>18.125382994666666</v>
      </c>
      <c r="K22" s="29" t="s">
        <v>365</v>
      </c>
      <c r="L22" s="16">
        <v>0</v>
      </c>
      <c r="M22" s="16">
        <v>2</v>
      </c>
      <c r="N22" s="27" t="s">
        <v>361</v>
      </c>
      <c r="O22" s="27">
        <v>0</v>
      </c>
      <c r="P22" s="27">
        <v>0</v>
      </c>
      <c r="Q22" s="27">
        <v>0</v>
      </c>
      <c r="R22" s="27">
        <v>0</v>
      </c>
      <c r="S22" s="27">
        <v>0</v>
      </c>
      <c r="T22" s="27">
        <v>25</v>
      </c>
      <c r="U22" s="27">
        <v>0</v>
      </c>
      <c r="V22" s="27">
        <v>25</v>
      </c>
      <c r="W22" s="27">
        <v>0</v>
      </c>
      <c r="X22" s="27" t="s">
        <v>361</v>
      </c>
      <c r="Y22" s="17">
        <v>596.44195765819995</v>
      </c>
      <c r="Z22" s="17">
        <v>578.4313976581999</v>
      </c>
      <c r="AA22" s="17">
        <v>596.44195765819995</v>
      </c>
      <c r="AB22" s="17">
        <v>578.4313976581999</v>
      </c>
      <c r="AC22" s="17">
        <v>947.84077765820007</v>
      </c>
      <c r="AD22" s="17">
        <v>873.80399822580011</v>
      </c>
      <c r="AE22" s="17">
        <v>0</v>
      </c>
      <c r="AF22" s="17">
        <v>597.44952604819991</v>
      </c>
      <c r="AG22" s="17">
        <v>523.41274661579996</v>
      </c>
      <c r="AH22" s="17">
        <v>409.44093642279995</v>
      </c>
      <c r="AI22" s="17">
        <v>427.45150110679992</v>
      </c>
      <c r="AJ22" s="17">
        <v>0</v>
      </c>
      <c r="AK22" s="17">
        <v>0</v>
      </c>
      <c r="AL22" s="17">
        <v>0</v>
      </c>
      <c r="AM22" s="17">
        <v>247.0582794382</v>
      </c>
      <c r="AN22" s="17">
        <v>229.0477147542</v>
      </c>
      <c r="AO22" s="17">
        <v>0</v>
      </c>
      <c r="AP22" s="17">
        <v>0</v>
      </c>
      <c r="AQ22" s="17">
        <v>173.021500038</v>
      </c>
      <c r="AR22" s="17">
        <v>155.010935354</v>
      </c>
      <c r="AS22" s="32">
        <v>351.39907160999996</v>
      </c>
      <c r="AT22" s="32">
        <v>351.39907160999996</v>
      </c>
      <c r="AU22" s="32">
        <v>55.0547752254</v>
      </c>
      <c r="AV22" s="32">
        <v>57.070425289800006</v>
      </c>
      <c r="AW22" s="32">
        <v>69.070425289799999</v>
      </c>
      <c r="AX22" s="32">
        <v>71.086075354200005</v>
      </c>
      <c r="AY22" s="32">
        <v>83.086075354200005</v>
      </c>
      <c r="AZ22" s="32">
        <v>85.101725418599997</v>
      </c>
      <c r="BA22" s="32">
        <v>97.101725418599997</v>
      </c>
      <c r="BB22" s="32">
        <v>99.117375483000004</v>
      </c>
      <c r="BC22" s="32">
        <v>111.117375483</v>
      </c>
      <c r="BD22" s="32">
        <v>113.13302554740001</v>
      </c>
      <c r="BE22" s="32">
        <v>125.13302554740001</v>
      </c>
      <c r="BF22" s="32">
        <v>127.1486756118</v>
      </c>
      <c r="BG22" s="32">
        <v>139.1486756118</v>
      </c>
      <c r="BH22" s="32">
        <v>141.16432567620001</v>
      </c>
      <c r="BI22" s="32">
        <v>153.16432567620001</v>
      </c>
      <c r="BJ22" s="32">
        <v>155.17997574060001</v>
      </c>
      <c r="BK22" s="32">
        <v>167.17997574060001</v>
      </c>
      <c r="BL22" s="32">
        <v>169.19562580499999</v>
      </c>
      <c r="BM22" s="32">
        <v>181.19562580499999</v>
      </c>
      <c r="BN22" s="32">
        <v>183.2112758694</v>
      </c>
      <c r="BO22" s="32">
        <v>195.2112758694</v>
      </c>
      <c r="BP22" s="32">
        <v>197.2269259338</v>
      </c>
      <c r="BQ22" s="32">
        <v>209.2269259338</v>
      </c>
      <c r="BR22" s="32">
        <v>211.24257599820001</v>
      </c>
      <c r="BS22" s="32">
        <v>223.24257599820001</v>
      </c>
      <c r="BT22" s="32">
        <v>225.25822606260002</v>
      </c>
      <c r="BU22" s="32">
        <v>237.25822606260002</v>
      </c>
      <c r="BV22" s="32">
        <v>239.27387612699999</v>
      </c>
      <c r="BW22" s="32">
        <v>251.27387612699999</v>
      </c>
      <c r="BX22" s="32">
        <v>253.2895261914</v>
      </c>
      <c r="BY22" s="32">
        <v>267.30517625580001</v>
      </c>
      <c r="BZ22" s="32">
        <v>281.32082632020001</v>
      </c>
      <c r="CA22" s="32">
        <v>295.33647638460002</v>
      </c>
      <c r="CB22" s="32">
        <v>0</v>
      </c>
      <c r="CC22" s="32">
        <v>0</v>
      </c>
      <c r="CD22" s="32">
        <v>0</v>
      </c>
      <c r="CE22" s="32">
        <v>0</v>
      </c>
      <c r="CF22" s="32">
        <v>0</v>
      </c>
      <c r="CG22" s="32">
        <v>0</v>
      </c>
      <c r="CH22" s="32">
        <v>0</v>
      </c>
      <c r="CI22" s="32">
        <v>0</v>
      </c>
      <c r="CJ22" s="32">
        <v>0</v>
      </c>
      <c r="CK22" s="32">
        <v>0</v>
      </c>
      <c r="CL22" s="32">
        <v>0</v>
      </c>
      <c r="CM22" s="32">
        <v>0</v>
      </c>
      <c r="CN22" s="32">
        <v>0</v>
      </c>
      <c r="CO22" s="32">
        <v>0</v>
      </c>
      <c r="CP22" s="32">
        <v>0</v>
      </c>
      <c r="CQ22" s="32">
        <v>0</v>
      </c>
      <c r="CR22" s="32">
        <v>0</v>
      </c>
      <c r="CS22" s="32">
        <v>0</v>
      </c>
      <c r="CT22" s="32">
        <v>0</v>
      </c>
      <c r="CU22" s="32">
        <v>0</v>
      </c>
      <c r="CV22" s="32">
        <v>0</v>
      </c>
      <c r="CW22" s="32">
        <v>0</v>
      </c>
      <c r="CX22" s="32">
        <v>0</v>
      </c>
      <c r="CY22" s="32">
        <v>0</v>
      </c>
      <c r="CZ22" s="32">
        <v>0</v>
      </c>
      <c r="DA22" s="32">
        <v>0</v>
      </c>
      <c r="DB22" s="32">
        <v>0</v>
      </c>
      <c r="DC22" s="32">
        <v>0</v>
      </c>
      <c r="DD22" s="32">
        <v>0</v>
      </c>
      <c r="DE22" s="32">
        <v>0</v>
      </c>
      <c r="DF22" s="32">
        <v>0</v>
      </c>
      <c r="DG22" s="32">
        <v>0</v>
      </c>
      <c r="DH22" s="32">
        <v>0</v>
      </c>
      <c r="DI22" s="32">
        <v>0</v>
      </c>
      <c r="DJ22" s="32">
        <v>0</v>
      </c>
      <c r="DK22" s="32">
        <v>55.0547752254</v>
      </c>
      <c r="DL22" s="32">
        <v>57.070425289800006</v>
      </c>
      <c r="DM22" s="32">
        <v>69.070425289799999</v>
      </c>
      <c r="DN22" s="32">
        <v>71.086075354200005</v>
      </c>
      <c r="DO22" s="32">
        <v>83.086075354200005</v>
      </c>
      <c r="DP22" s="32">
        <v>85.101725418599997</v>
      </c>
      <c r="DQ22" s="32">
        <v>97.101725418599997</v>
      </c>
      <c r="DR22" s="32">
        <v>99.117375483000004</v>
      </c>
      <c r="DS22" s="32">
        <v>111.117375483</v>
      </c>
      <c r="DT22" s="32">
        <v>113.13302554740001</v>
      </c>
      <c r="DU22" s="32">
        <v>125.13302554740001</v>
      </c>
      <c r="DV22" s="32">
        <v>127.1486756118</v>
      </c>
      <c r="DW22" s="32">
        <v>139.1486756118</v>
      </c>
      <c r="DX22" s="32">
        <v>141.16432567620001</v>
      </c>
      <c r="DY22" s="32">
        <v>153.16432567620001</v>
      </c>
      <c r="DZ22" s="32">
        <v>155.17997574060001</v>
      </c>
      <c r="EA22" s="32">
        <v>167.17997574060001</v>
      </c>
      <c r="EB22" s="32">
        <v>169.19562580499999</v>
      </c>
      <c r="EC22" s="32">
        <v>181.19562580499999</v>
      </c>
      <c r="ED22" s="32">
        <v>183.2112758694</v>
      </c>
      <c r="EE22" s="32">
        <v>195.2112758694</v>
      </c>
      <c r="EF22" s="32">
        <v>197.2269259338</v>
      </c>
      <c r="EG22" s="32">
        <v>209.2269259338</v>
      </c>
      <c r="EH22" s="32">
        <v>211.24257599820001</v>
      </c>
      <c r="EI22" s="32">
        <v>223.24257599820001</v>
      </c>
      <c r="EJ22" s="32">
        <v>225.25822606260002</v>
      </c>
      <c r="EK22" s="32">
        <v>237.25822606260002</v>
      </c>
      <c r="EL22" s="32">
        <v>239.27387612699999</v>
      </c>
      <c r="EM22" s="32">
        <v>251.27387612699999</v>
      </c>
      <c r="EN22" s="32">
        <v>253.2895261914</v>
      </c>
      <c r="EO22" s="32">
        <v>267.30517625580001</v>
      </c>
      <c r="EP22" s="32">
        <v>281.32082632020001</v>
      </c>
      <c r="EQ22" s="32">
        <v>295.33647638460002</v>
      </c>
      <c r="ER22" s="32">
        <v>0</v>
      </c>
      <c r="ES22" s="32">
        <v>0</v>
      </c>
      <c r="ET22" s="32">
        <v>0</v>
      </c>
      <c r="EU22" s="32">
        <v>0</v>
      </c>
      <c r="EV22" s="32">
        <v>0</v>
      </c>
      <c r="EW22" s="32">
        <v>0</v>
      </c>
      <c r="EX22" s="32">
        <v>0</v>
      </c>
      <c r="EY22" s="32">
        <v>0</v>
      </c>
      <c r="EZ22" s="32">
        <v>0</v>
      </c>
      <c r="FA22" s="32">
        <v>0</v>
      </c>
      <c r="FB22" s="32">
        <v>0</v>
      </c>
      <c r="FC22" s="32">
        <v>0</v>
      </c>
      <c r="FD22" s="32">
        <v>0</v>
      </c>
      <c r="FE22" s="32">
        <v>0</v>
      </c>
      <c r="FF22" s="32">
        <v>0</v>
      </c>
      <c r="FG22" s="32">
        <v>0</v>
      </c>
      <c r="FH22" s="32">
        <v>0</v>
      </c>
      <c r="FI22" s="32">
        <v>0</v>
      </c>
      <c r="FJ22" s="32">
        <v>0</v>
      </c>
      <c r="FK22" s="32">
        <v>0</v>
      </c>
      <c r="FL22" s="32">
        <v>0</v>
      </c>
      <c r="FM22" s="32">
        <v>0</v>
      </c>
      <c r="FN22" s="32">
        <v>0</v>
      </c>
      <c r="FO22" s="32">
        <v>0</v>
      </c>
      <c r="FP22" s="32">
        <v>0</v>
      </c>
      <c r="FQ22" s="32">
        <v>0</v>
      </c>
      <c r="FR22" s="32">
        <v>0</v>
      </c>
      <c r="FS22" s="32">
        <v>0</v>
      </c>
      <c r="FT22" s="32">
        <v>0</v>
      </c>
      <c r="FU22" s="32">
        <v>0</v>
      </c>
      <c r="FV22" s="32">
        <v>0</v>
      </c>
      <c r="FW22" s="32">
        <v>0</v>
      </c>
      <c r="FX22" s="32">
        <v>0</v>
      </c>
      <c r="FY22" s="32">
        <v>0</v>
      </c>
      <c r="FZ22" s="32">
        <v>0</v>
      </c>
      <c r="GA22" s="3">
        <v>30</v>
      </c>
      <c r="GB22" s="32">
        <v>3</v>
      </c>
      <c r="GC22" s="32">
        <v>0</v>
      </c>
      <c r="GD22" s="32">
        <v>20</v>
      </c>
      <c r="GE22" s="32">
        <v>5</v>
      </c>
      <c r="GF22" s="32">
        <v>10</v>
      </c>
      <c r="GG22" s="32">
        <v>5</v>
      </c>
      <c r="GH22" s="32">
        <v>0</v>
      </c>
      <c r="GI22" s="32">
        <v>0</v>
      </c>
      <c r="GJ22" s="32">
        <v>0</v>
      </c>
      <c r="GK22" s="32">
        <v>2</v>
      </c>
      <c r="GL22" s="32">
        <v>0</v>
      </c>
      <c r="GM22" s="32">
        <v>0</v>
      </c>
      <c r="GN22" s="32">
        <v>0</v>
      </c>
      <c r="GO22" s="32">
        <v>30</v>
      </c>
      <c r="GP22" s="32">
        <v>10</v>
      </c>
      <c r="GQ22" s="32">
        <v>0.8</v>
      </c>
      <c r="GR22" s="32">
        <v>0.8</v>
      </c>
      <c r="GS22" s="32">
        <v>1</v>
      </c>
      <c r="GT22" s="32">
        <v>26</v>
      </c>
      <c r="GU22" s="32">
        <v>1.0268454372456677</v>
      </c>
      <c r="GV22" s="32">
        <v>51.049562682215743</v>
      </c>
      <c r="GW22" s="32">
        <v>1.429526995930682</v>
      </c>
      <c r="GX22" s="32">
        <v>91.396501457725947</v>
      </c>
      <c r="GY22" s="32">
        <v>3.1744804168990779</v>
      </c>
      <c r="GZ22" s="32">
        <v>2.3381924198250732</v>
      </c>
      <c r="HA22" s="32">
        <v>7.8724319348909129</v>
      </c>
      <c r="HB22" s="32">
        <v>4.1720116618075798</v>
      </c>
      <c r="HC22" s="32">
        <v>6.502453702972061</v>
      </c>
      <c r="HD22" s="32">
        <v>10.311044327573251</v>
      </c>
      <c r="HE22" s="32">
        <v>5.3278288569575425</v>
      </c>
      <c r="HF22" s="32">
        <v>13.772351615326819</v>
      </c>
      <c r="HG22" s="32">
        <v>4.333530213316255</v>
      </c>
      <c r="HH22" s="32">
        <v>18</v>
      </c>
      <c r="HI22" s="32">
        <v>3.5045305885170968</v>
      </c>
      <c r="HJ22" s="32">
        <v>13.772351615326819</v>
      </c>
      <c r="HK22" s="32">
        <v>2.8258027990289638</v>
      </c>
      <c r="HL22" s="32">
        <v>10.311044327573251</v>
      </c>
      <c r="HM22" s="32">
        <v>2.282319661320753</v>
      </c>
      <c r="HN22" s="32">
        <v>7.5394440270473329</v>
      </c>
      <c r="HO22" s="32">
        <v>1.859053991861364</v>
      </c>
      <c r="HP22" s="32">
        <v>5.3809166040570995</v>
      </c>
      <c r="HQ22" s="32">
        <v>1.5409786071196927</v>
      </c>
      <c r="HR22" s="32">
        <v>3.7588279489105929</v>
      </c>
      <c r="HS22" s="32">
        <v>1.3130663235646372</v>
      </c>
      <c r="HT22" s="32">
        <v>2.5965439519158533</v>
      </c>
      <c r="HU22" s="32">
        <v>1.1602899576650942</v>
      </c>
      <c r="HV22" s="32">
        <v>1.8174305033809166</v>
      </c>
      <c r="HW22" s="32">
        <v>1.3448534936138241</v>
      </c>
      <c r="HX22" s="32">
        <v>1.1021788129226144</v>
      </c>
      <c r="HY22" s="32">
        <v>1.0127723516153269</v>
      </c>
      <c r="HZ22" s="32">
        <v>0</v>
      </c>
      <c r="IA22" s="32">
        <v>0</v>
      </c>
      <c r="IB22" s="32">
        <v>0</v>
      </c>
      <c r="IC22" s="32">
        <v>0</v>
      </c>
      <c r="ID22" s="32">
        <v>0</v>
      </c>
      <c r="IE22" s="32">
        <v>0</v>
      </c>
      <c r="IF22" s="32">
        <v>0</v>
      </c>
      <c r="IG22" s="32">
        <v>0</v>
      </c>
      <c r="IH22" s="32">
        <v>0</v>
      </c>
      <c r="II22" s="32">
        <v>0</v>
      </c>
      <c r="IJ22" s="32">
        <v>0</v>
      </c>
      <c r="IK22" s="32">
        <v>0</v>
      </c>
      <c r="IL22" s="32">
        <v>0</v>
      </c>
      <c r="IM22" s="32">
        <v>0</v>
      </c>
      <c r="IN22" s="32">
        <v>0</v>
      </c>
      <c r="IO22" s="32">
        <v>0</v>
      </c>
      <c r="IP22" s="32">
        <v>0</v>
      </c>
      <c r="IQ22" s="32">
        <v>0</v>
      </c>
      <c r="IR22" s="32">
        <v>0</v>
      </c>
      <c r="IS22" s="32">
        <v>0</v>
      </c>
      <c r="IT22" s="32">
        <v>0</v>
      </c>
      <c r="IU22" s="32">
        <v>0</v>
      </c>
      <c r="IV22" s="32">
        <v>0</v>
      </c>
      <c r="IW22" s="32">
        <v>0</v>
      </c>
      <c r="IX22" s="32">
        <v>0</v>
      </c>
      <c r="IY22" s="32">
        <v>0</v>
      </c>
      <c r="IZ22" s="32">
        <v>0</v>
      </c>
      <c r="JA22" s="32">
        <v>0</v>
      </c>
      <c r="JB22" s="32">
        <v>0</v>
      </c>
      <c r="JC22" s="32">
        <v>0</v>
      </c>
      <c r="JD22" s="32">
        <v>0</v>
      </c>
      <c r="JE22" s="32">
        <v>0</v>
      </c>
      <c r="JF22" s="32">
        <v>0</v>
      </c>
      <c r="JG22" s="32">
        <v>0</v>
      </c>
      <c r="JH22" s="32">
        <v>0</v>
      </c>
      <c r="JI22" s="32">
        <v>1</v>
      </c>
      <c r="JJ22" s="32">
        <v>26</v>
      </c>
      <c r="JK22" s="32">
        <v>1.0268454372456677</v>
      </c>
      <c r="JL22" s="32">
        <v>51.049562682215743</v>
      </c>
      <c r="JM22" s="32">
        <v>1.429526995930682</v>
      </c>
      <c r="JN22" s="32">
        <v>91.396501457725947</v>
      </c>
      <c r="JO22" s="32">
        <v>3.1744804168990779</v>
      </c>
      <c r="JP22" s="32">
        <v>2.3381924198250732</v>
      </c>
      <c r="JQ22" s="32">
        <v>7.8724319348909129</v>
      </c>
      <c r="JR22" s="32">
        <v>4.1720116618075798</v>
      </c>
      <c r="JS22" s="32">
        <v>6.502453702972061</v>
      </c>
      <c r="JT22" s="32">
        <v>10.311044327573251</v>
      </c>
      <c r="JU22" s="32">
        <v>5.3278288569575425</v>
      </c>
      <c r="JV22" s="32">
        <v>13.772351615326819</v>
      </c>
      <c r="JW22" s="32">
        <v>4.333530213316255</v>
      </c>
      <c r="JX22" s="32">
        <v>18</v>
      </c>
      <c r="JY22" s="32">
        <v>3.5045305885170968</v>
      </c>
      <c r="JZ22" s="32">
        <v>13.772351615326819</v>
      </c>
      <c r="KA22" s="32">
        <v>2.8258027990289638</v>
      </c>
      <c r="KB22" s="32">
        <v>10.311044327573251</v>
      </c>
      <c r="KC22" s="32">
        <v>2.282319661320753</v>
      </c>
      <c r="KD22" s="32">
        <v>7.5394440270473329</v>
      </c>
      <c r="KE22" s="32">
        <v>1.859053991861364</v>
      </c>
      <c r="KF22" s="32">
        <v>5.3809166040570995</v>
      </c>
      <c r="KG22" s="32">
        <v>1.5409786071196927</v>
      </c>
      <c r="KH22" s="32">
        <v>3.7588279489105929</v>
      </c>
      <c r="KI22" s="32">
        <v>1.3130663235646372</v>
      </c>
      <c r="KJ22" s="32">
        <v>2.5965439519158533</v>
      </c>
      <c r="KK22" s="32">
        <v>1.1602899576650942</v>
      </c>
      <c r="KL22" s="32">
        <v>1.8174305033809166</v>
      </c>
      <c r="KM22" s="32">
        <v>1.3448534936138241</v>
      </c>
      <c r="KN22" s="32">
        <v>1.1021788129226144</v>
      </c>
      <c r="KO22" s="32">
        <v>1.0127723516153269</v>
      </c>
      <c r="KP22" s="32">
        <v>0</v>
      </c>
      <c r="KQ22" s="32">
        <v>0</v>
      </c>
      <c r="KR22" s="32">
        <v>0</v>
      </c>
      <c r="KS22" s="32">
        <v>0</v>
      </c>
      <c r="KT22" s="32">
        <v>0</v>
      </c>
      <c r="KU22" s="32">
        <v>0</v>
      </c>
      <c r="KV22" s="32">
        <v>0</v>
      </c>
      <c r="KW22" s="32">
        <v>0</v>
      </c>
      <c r="KX22" s="32">
        <v>0</v>
      </c>
      <c r="KY22" s="32">
        <v>0</v>
      </c>
      <c r="KZ22" s="32">
        <v>0</v>
      </c>
      <c r="LA22" s="32">
        <v>0</v>
      </c>
      <c r="LB22" s="32">
        <v>0</v>
      </c>
      <c r="LC22" s="32">
        <v>0</v>
      </c>
      <c r="LD22" s="32">
        <v>0</v>
      </c>
      <c r="LE22" s="32">
        <v>0</v>
      </c>
      <c r="LF22" s="32">
        <v>0</v>
      </c>
      <c r="LG22" s="32">
        <v>0</v>
      </c>
      <c r="LH22" s="32">
        <v>0</v>
      </c>
      <c r="LI22" s="32">
        <v>0</v>
      </c>
      <c r="LJ22" s="32">
        <v>0</v>
      </c>
      <c r="LK22" s="32">
        <v>0</v>
      </c>
      <c r="LL22" s="32">
        <v>0</v>
      </c>
      <c r="LM22" s="32">
        <v>0</v>
      </c>
      <c r="LN22" s="32">
        <v>0</v>
      </c>
      <c r="LO22" s="32">
        <v>0</v>
      </c>
      <c r="LP22" s="32">
        <v>0</v>
      </c>
      <c r="LQ22" s="32">
        <v>0</v>
      </c>
      <c r="LR22" s="32">
        <v>0</v>
      </c>
      <c r="LS22" s="32">
        <v>0</v>
      </c>
      <c r="LT22" s="32">
        <v>0</v>
      </c>
      <c r="LU22" s="32">
        <v>0</v>
      </c>
      <c r="LV22" s="32">
        <v>0</v>
      </c>
      <c r="LW22" s="32">
        <v>0</v>
      </c>
      <c r="LX22" s="32">
        <v>0</v>
      </c>
    </row>
    <row r="23" spans="1:336" s="32" customFormat="1" ht="14.25" x14ac:dyDescent="0.2">
      <c r="A23" s="5">
        <v>17</v>
      </c>
      <c r="B23" s="27" t="s">
        <v>679</v>
      </c>
      <c r="C23" s="27" t="s">
        <v>366</v>
      </c>
      <c r="D23" s="27" t="s">
        <v>367</v>
      </c>
      <c r="E23" s="27" t="s">
        <v>366</v>
      </c>
      <c r="F23" s="28" t="s">
        <v>368</v>
      </c>
      <c r="G23" s="28" t="s">
        <v>369</v>
      </c>
      <c r="H23" s="29">
        <v>-1</v>
      </c>
      <c r="I23" s="30">
        <v>11.1</v>
      </c>
      <c r="J23" s="31">
        <v>17.87571097333333</v>
      </c>
      <c r="K23" s="29" t="s">
        <v>370</v>
      </c>
      <c r="L23" s="16">
        <v>0</v>
      </c>
      <c r="M23" s="16">
        <v>2</v>
      </c>
      <c r="N23" s="27" t="s">
        <v>366</v>
      </c>
      <c r="O23" s="27">
        <v>0</v>
      </c>
      <c r="P23" s="27">
        <v>0</v>
      </c>
      <c r="Q23" s="27">
        <v>0</v>
      </c>
      <c r="R23" s="27">
        <v>0</v>
      </c>
      <c r="S23" s="27">
        <v>0</v>
      </c>
      <c r="T23" s="27">
        <v>25</v>
      </c>
      <c r="U23" s="27">
        <v>0</v>
      </c>
      <c r="V23" s="27">
        <v>25</v>
      </c>
      <c r="W23" s="27">
        <v>1</v>
      </c>
      <c r="X23" s="27" t="s">
        <v>366</v>
      </c>
      <c r="Y23" s="17">
        <v>594.42630759379995</v>
      </c>
      <c r="Z23" s="17">
        <v>576.41574759379989</v>
      </c>
      <c r="AA23" s="17">
        <v>596.44194759380002</v>
      </c>
      <c r="AB23" s="17">
        <v>578.43138759379997</v>
      </c>
      <c r="AC23" s="17">
        <v>945.82512759380006</v>
      </c>
      <c r="AD23" s="17">
        <v>871.78834816140011</v>
      </c>
      <c r="AE23" s="17">
        <v>0</v>
      </c>
      <c r="AF23" s="17">
        <v>597.44952604819991</v>
      </c>
      <c r="AG23" s="17">
        <v>523.41274661579996</v>
      </c>
      <c r="AH23" s="17">
        <v>409.44093642279995</v>
      </c>
      <c r="AI23" s="17">
        <v>427.45150110679992</v>
      </c>
      <c r="AJ23" s="17">
        <v>0</v>
      </c>
      <c r="AK23" s="17">
        <v>0</v>
      </c>
      <c r="AL23" s="17">
        <v>0</v>
      </c>
      <c r="AM23" s="17">
        <v>247.0582794382</v>
      </c>
      <c r="AN23" s="17">
        <v>229.0477147542</v>
      </c>
      <c r="AO23" s="17">
        <v>0</v>
      </c>
      <c r="AP23" s="17">
        <v>0</v>
      </c>
      <c r="AQ23" s="17">
        <v>173.021500038</v>
      </c>
      <c r="AR23" s="17">
        <v>155.010935354</v>
      </c>
      <c r="AS23" s="32">
        <v>351.39907160999996</v>
      </c>
      <c r="AT23" s="32">
        <v>349.38342154559996</v>
      </c>
      <c r="AU23" s="32">
        <v>55.0547752254</v>
      </c>
      <c r="AV23" s="32">
        <v>57.070425289800006</v>
      </c>
      <c r="AW23" s="32">
        <v>69.070425289799999</v>
      </c>
      <c r="AX23" s="32">
        <v>71.086075354200005</v>
      </c>
      <c r="AY23" s="32">
        <v>83.086075354200005</v>
      </c>
      <c r="AZ23" s="32">
        <v>85.101725418599997</v>
      </c>
      <c r="BA23" s="32">
        <v>97.101725418599997</v>
      </c>
      <c r="BB23" s="32">
        <v>99.117375483000004</v>
      </c>
      <c r="BC23" s="32">
        <v>111.117375483</v>
      </c>
      <c r="BD23" s="32">
        <v>113.13302554740001</v>
      </c>
      <c r="BE23" s="32">
        <v>125.13302554740001</v>
      </c>
      <c r="BF23" s="32">
        <v>127.1486756118</v>
      </c>
      <c r="BG23" s="32">
        <v>139.1486756118</v>
      </c>
      <c r="BH23" s="32">
        <v>141.16432567620001</v>
      </c>
      <c r="BI23" s="32">
        <v>153.16432567620001</v>
      </c>
      <c r="BJ23" s="32">
        <v>155.17997574060001</v>
      </c>
      <c r="BK23" s="32">
        <v>167.17997574060001</v>
      </c>
      <c r="BL23" s="32">
        <v>169.19562580499999</v>
      </c>
      <c r="BM23" s="32">
        <v>181.19562580499999</v>
      </c>
      <c r="BN23" s="32">
        <v>183.2112758694</v>
      </c>
      <c r="BO23" s="32">
        <v>195.2112758694</v>
      </c>
      <c r="BP23" s="32">
        <v>197.2269259338</v>
      </c>
      <c r="BQ23" s="32">
        <v>209.2269259338</v>
      </c>
      <c r="BR23" s="32">
        <v>211.24257599820001</v>
      </c>
      <c r="BS23" s="32">
        <v>223.24257599820001</v>
      </c>
      <c r="BT23" s="32">
        <v>225.25822606260002</v>
      </c>
      <c r="BU23" s="32">
        <v>237.25822606260002</v>
      </c>
      <c r="BV23" s="32">
        <v>239.27387612699999</v>
      </c>
      <c r="BW23" s="32">
        <v>251.27387612699999</v>
      </c>
      <c r="BX23" s="32">
        <v>253.2895261914</v>
      </c>
      <c r="BY23" s="32">
        <v>267.30517625580001</v>
      </c>
      <c r="BZ23" s="32">
        <v>281.32082632020001</v>
      </c>
      <c r="CA23" s="32">
        <v>295.33647638460002</v>
      </c>
      <c r="CB23" s="32">
        <v>0</v>
      </c>
      <c r="CC23" s="32">
        <v>0</v>
      </c>
      <c r="CD23" s="32">
        <v>0</v>
      </c>
      <c r="CE23" s="32">
        <v>0</v>
      </c>
      <c r="CF23" s="32">
        <v>0</v>
      </c>
      <c r="CG23" s="32">
        <v>0</v>
      </c>
      <c r="CH23" s="32">
        <v>0</v>
      </c>
      <c r="CI23" s="32">
        <v>0</v>
      </c>
      <c r="CJ23" s="32">
        <v>0</v>
      </c>
      <c r="CK23" s="32">
        <v>0</v>
      </c>
      <c r="CL23" s="32">
        <v>0</v>
      </c>
      <c r="CM23" s="32">
        <v>0</v>
      </c>
      <c r="CN23" s="32">
        <v>0</v>
      </c>
      <c r="CO23" s="32">
        <v>0</v>
      </c>
      <c r="CP23" s="32">
        <v>0</v>
      </c>
      <c r="CQ23" s="32">
        <v>0</v>
      </c>
      <c r="CR23" s="32">
        <v>0</v>
      </c>
      <c r="CS23" s="32">
        <v>0</v>
      </c>
      <c r="CT23" s="32">
        <v>0</v>
      </c>
      <c r="CU23" s="32">
        <v>0</v>
      </c>
      <c r="CV23" s="32">
        <v>0</v>
      </c>
      <c r="CW23" s="32">
        <v>0</v>
      </c>
      <c r="CX23" s="32">
        <v>0</v>
      </c>
      <c r="CY23" s="32">
        <v>0</v>
      </c>
      <c r="CZ23" s="32">
        <v>0</v>
      </c>
      <c r="DA23" s="32">
        <v>0</v>
      </c>
      <c r="DB23" s="32">
        <v>0</v>
      </c>
      <c r="DC23" s="32">
        <v>0</v>
      </c>
      <c r="DD23" s="32">
        <v>0</v>
      </c>
      <c r="DE23" s="32">
        <v>0</v>
      </c>
      <c r="DF23" s="32">
        <v>0</v>
      </c>
      <c r="DG23" s="32">
        <v>0</v>
      </c>
      <c r="DH23" s="32">
        <v>0</v>
      </c>
      <c r="DI23" s="32">
        <v>0</v>
      </c>
      <c r="DJ23" s="32">
        <v>0</v>
      </c>
      <c r="DK23" s="32">
        <v>55.0547752254</v>
      </c>
      <c r="DL23" s="32">
        <v>57.070425289800006</v>
      </c>
      <c r="DM23" s="32">
        <v>69.070425289799999</v>
      </c>
      <c r="DN23" s="32">
        <v>71.086075354200005</v>
      </c>
      <c r="DO23" s="32">
        <v>81.070425289799999</v>
      </c>
      <c r="DP23" s="32">
        <v>83.086075354200005</v>
      </c>
      <c r="DQ23" s="32">
        <v>85.101725418599997</v>
      </c>
      <c r="DR23" s="32">
        <v>95.086075354200005</v>
      </c>
      <c r="DS23" s="32">
        <v>97.101725418599997</v>
      </c>
      <c r="DT23" s="32">
        <v>99.117375483000004</v>
      </c>
      <c r="DU23" s="32">
        <v>109.1017254186</v>
      </c>
      <c r="DV23" s="32">
        <v>111.117375483</v>
      </c>
      <c r="DW23" s="32">
        <v>113.13302554740001</v>
      </c>
      <c r="DX23" s="32">
        <v>123.117375483</v>
      </c>
      <c r="DY23" s="32">
        <v>125.13302554740001</v>
      </c>
      <c r="DZ23" s="32">
        <v>127.1486756118</v>
      </c>
      <c r="EA23" s="32">
        <v>137.1330255474</v>
      </c>
      <c r="EB23" s="32">
        <v>139.1486756118</v>
      </c>
      <c r="EC23" s="32">
        <v>141.16432567620001</v>
      </c>
      <c r="ED23" s="32">
        <v>151.1486756118</v>
      </c>
      <c r="EE23" s="32">
        <v>153.16432567620001</v>
      </c>
      <c r="EF23" s="32">
        <v>155.17997574060001</v>
      </c>
      <c r="EG23" s="32">
        <v>165.16432567620001</v>
      </c>
      <c r="EH23" s="32">
        <v>167.17997574060001</v>
      </c>
      <c r="EI23" s="32">
        <v>169.19562580499999</v>
      </c>
      <c r="EJ23" s="32">
        <v>179.17997574060001</v>
      </c>
      <c r="EK23" s="32">
        <v>181.19562580499999</v>
      </c>
      <c r="EL23" s="32">
        <v>183.2112758694</v>
      </c>
      <c r="EM23" s="32">
        <v>193.19562580499999</v>
      </c>
      <c r="EN23" s="32">
        <v>195.2112758694</v>
      </c>
      <c r="EO23" s="32">
        <v>197.2269259338</v>
      </c>
      <c r="EP23" s="32">
        <v>207.2112758694</v>
      </c>
      <c r="EQ23" s="32">
        <v>209.2269259338</v>
      </c>
      <c r="ER23" s="32">
        <v>211.24257599820001</v>
      </c>
      <c r="ES23" s="32">
        <v>221.2269259338</v>
      </c>
      <c r="ET23" s="32">
        <v>223.24257599820001</v>
      </c>
      <c r="EU23" s="32">
        <v>225.25822606260002</v>
      </c>
      <c r="EV23" s="32">
        <v>235.24257599820001</v>
      </c>
      <c r="EW23" s="32">
        <v>237.25822606260002</v>
      </c>
      <c r="EX23" s="32">
        <v>239.27387612699999</v>
      </c>
      <c r="EY23" s="32">
        <v>249.25822606260002</v>
      </c>
      <c r="EZ23" s="32">
        <v>251.27387612699999</v>
      </c>
      <c r="FA23" s="32">
        <v>253.2895261914</v>
      </c>
      <c r="FB23" s="32">
        <v>265.2895261914</v>
      </c>
      <c r="FC23" s="32">
        <v>267.30517625580001</v>
      </c>
      <c r="FD23" s="32">
        <v>279.30517625580001</v>
      </c>
      <c r="FE23" s="32">
        <v>281.32082632020001</v>
      </c>
      <c r="FF23" s="32">
        <v>293.32082632020001</v>
      </c>
      <c r="FG23" s="32">
        <v>295.33647638460002</v>
      </c>
      <c r="FH23" s="32">
        <v>0</v>
      </c>
      <c r="FI23" s="32">
        <v>0</v>
      </c>
      <c r="FJ23" s="32">
        <v>0</v>
      </c>
      <c r="FK23" s="32">
        <v>0</v>
      </c>
      <c r="FL23" s="32">
        <v>0</v>
      </c>
      <c r="FM23" s="32">
        <v>0</v>
      </c>
      <c r="FN23" s="32">
        <v>0</v>
      </c>
      <c r="FO23" s="32">
        <v>0</v>
      </c>
      <c r="FP23" s="32">
        <v>0</v>
      </c>
      <c r="FQ23" s="32">
        <v>0</v>
      </c>
      <c r="FR23" s="32">
        <v>0</v>
      </c>
      <c r="FS23" s="32">
        <v>0</v>
      </c>
      <c r="FT23" s="32">
        <v>0</v>
      </c>
      <c r="FU23" s="32">
        <v>0</v>
      </c>
      <c r="FV23" s="32">
        <v>0</v>
      </c>
      <c r="FW23" s="32">
        <v>0</v>
      </c>
      <c r="FX23" s="32">
        <v>0</v>
      </c>
      <c r="FY23" s="32">
        <v>0</v>
      </c>
      <c r="FZ23" s="32">
        <v>0</v>
      </c>
      <c r="GA23" s="3">
        <v>27</v>
      </c>
      <c r="GB23" s="32">
        <v>2.7</v>
      </c>
      <c r="GC23" s="32">
        <v>0</v>
      </c>
      <c r="GD23" s="32">
        <v>19</v>
      </c>
      <c r="GE23" s="32">
        <v>5</v>
      </c>
      <c r="GF23" s="32">
        <v>9</v>
      </c>
      <c r="GG23" s="32">
        <v>4.5</v>
      </c>
      <c r="GH23" s="32">
        <v>0</v>
      </c>
      <c r="GI23" s="32">
        <v>0</v>
      </c>
      <c r="GJ23" s="32">
        <v>0</v>
      </c>
      <c r="GK23" s="32">
        <v>3.6</v>
      </c>
      <c r="GL23" s="32">
        <v>0</v>
      </c>
      <c r="GM23" s="32">
        <v>0</v>
      </c>
      <c r="GN23" s="32">
        <v>0</v>
      </c>
      <c r="GO23" s="32">
        <v>30</v>
      </c>
      <c r="GP23" s="32">
        <v>10</v>
      </c>
      <c r="GQ23" s="32">
        <v>1.04</v>
      </c>
      <c r="GR23" s="32">
        <v>1.8399999999999999</v>
      </c>
      <c r="GS23" s="32">
        <v>1</v>
      </c>
      <c r="GT23" s="32">
        <v>26</v>
      </c>
      <c r="GU23" s="32">
        <v>1.0268454372456677</v>
      </c>
      <c r="GV23" s="32">
        <v>51.049562682215743</v>
      </c>
      <c r="GW23" s="32">
        <v>1.429526995930682</v>
      </c>
      <c r="GX23" s="32">
        <v>91.396501457725947</v>
      </c>
      <c r="GY23" s="32">
        <v>3.1744804168990779</v>
      </c>
      <c r="GZ23" s="32">
        <v>2.3381924198250732</v>
      </c>
      <c r="HA23" s="32">
        <v>7.8724319348909129</v>
      </c>
      <c r="HB23" s="32">
        <v>4.1720116618075798</v>
      </c>
      <c r="HC23" s="32">
        <v>6.502453702972061</v>
      </c>
      <c r="HD23" s="32">
        <v>10.311044327573251</v>
      </c>
      <c r="HE23" s="32">
        <v>5.3278288569575425</v>
      </c>
      <c r="HF23" s="32">
        <v>13.772351615326819</v>
      </c>
      <c r="HG23" s="32">
        <v>4.333530213316255</v>
      </c>
      <c r="HH23" s="32">
        <v>18</v>
      </c>
      <c r="HI23" s="32">
        <v>3.5045305885170968</v>
      </c>
      <c r="HJ23" s="32">
        <v>13.772351615326819</v>
      </c>
      <c r="HK23" s="32">
        <v>2.8258027990289638</v>
      </c>
      <c r="HL23" s="32">
        <v>10.311044327573251</v>
      </c>
      <c r="HM23" s="32">
        <v>2.282319661320753</v>
      </c>
      <c r="HN23" s="32">
        <v>7.5394440270473329</v>
      </c>
      <c r="HO23" s="32">
        <v>1.859053991861364</v>
      </c>
      <c r="HP23" s="32">
        <v>5.3809166040570995</v>
      </c>
      <c r="HQ23" s="32">
        <v>1.5409786071196927</v>
      </c>
      <c r="HR23" s="32">
        <v>3.7588279489105929</v>
      </c>
      <c r="HS23" s="32">
        <v>1.3130663235646372</v>
      </c>
      <c r="HT23" s="32">
        <v>2.5965439519158533</v>
      </c>
      <c r="HU23" s="32">
        <v>1.1602899576650942</v>
      </c>
      <c r="HV23" s="32">
        <v>1.8174305033809166</v>
      </c>
      <c r="HW23" s="32">
        <v>1.3448534936138241</v>
      </c>
      <c r="HX23" s="32">
        <v>1.1021788129226144</v>
      </c>
      <c r="HY23" s="32">
        <v>1.0127723516153269</v>
      </c>
      <c r="HZ23" s="32">
        <v>0</v>
      </c>
      <c r="IA23" s="32">
        <v>0</v>
      </c>
      <c r="IB23" s="32">
        <v>0</v>
      </c>
      <c r="IC23" s="32">
        <v>0</v>
      </c>
      <c r="ID23" s="32">
        <v>0</v>
      </c>
      <c r="IE23" s="32">
        <v>0</v>
      </c>
      <c r="IF23" s="32">
        <v>0</v>
      </c>
      <c r="IG23" s="32">
        <v>0</v>
      </c>
      <c r="IH23" s="32">
        <v>0</v>
      </c>
      <c r="II23" s="32">
        <v>0</v>
      </c>
      <c r="IJ23" s="32">
        <v>0</v>
      </c>
      <c r="IK23" s="32">
        <v>0</v>
      </c>
      <c r="IL23" s="32">
        <v>0</v>
      </c>
      <c r="IM23" s="32">
        <v>0</v>
      </c>
      <c r="IN23" s="32">
        <v>0</v>
      </c>
      <c r="IO23" s="32">
        <v>0</v>
      </c>
      <c r="IP23" s="32">
        <v>0</v>
      </c>
      <c r="IQ23" s="32">
        <v>0</v>
      </c>
      <c r="IR23" s="32">
        <v>0</v>
      </c>
      <c r="IS23" s="32">
        <v>0</v>
      </c>
      <c r="IT23" s="32">
        <v>0</v>
      </c>
      <c r="IU23" s="32">
        <v>0</v>
      </c>
      <c r="IV23" s="32">
        <v>0</v>
      </c>
      <c r="IW23" s="32">
        <v>0</v>
      </c>
      <c r="IX23" s="32">
        <v>0</v>
      </c>
      <c r="IY23" s="32">
        <v>0</v>
      </c>
      <c r="IZ23" s="32">
        <v>0</v>
      </c>
      <c r="JA23" s="32">
        <v>0</v>
      </c>
      <c r="JB23" s="32">
        <v>0</v>
      </c>
      <c r="JC23" s="32">
        <v>0</v>
      </c>
      <c r="JD23" s="32">
        <v>0</v>
      </c>
      <c r="JE23" s="32">
        <v>0</v>
      </c>
      <c r="JF23" s="32">
        <v>0</v>
      </c>
      <c r="JG23" s="32">
        <v>0</v>
      </c>
      <c r="JH23" s="32">
        <v>0</v>
      </c>
      <c r="JI23" s="32">
        <v>1</v>
      </c>
      <c r="JJ23" s="32">
        <v>4.125</v>
      </c>
      <c r="JK23" s="32">
        <v>1.0759303628813179</v>
      </c>
      <c r="JL23" s="32">
        <v>7.2623906705539358</v>
      </c>
      <c r="JM23" s="32">
        <v>1.1269551020408164</v>
      </c>
      <c r="JN23" s="32">
        <v>2.2148858061010874</v>
      </c>
      <c r="JO23" s="32">
        <v>12.349125364431487</v>
      </c>
      <c r="JP23" s="32">
        <v>1.534987755102041</v>
      </c>
      <c r="JQ23" s="32">
        <v>12.004907405944122</v>
      </c>
      <c r="JR23" s="32">
        <v>1.3345481049562684</v>
      </c>
      <c r="JS23" s="32">
        <v>7.5306122448979584</v>
      </c>
      <c r="JT23" s="32">
        <v>14.744863869781826</v>
      </c>
      <c r="JU23" s="32">
        <v>2.6348610067618332</v>
      </c>
      <c r="JV23" s="32">
        <v>5.8552898877168529</v>
      </c>
      <c r="JW23" s="32">
        <v>12.004907405944122</v>
      </c>
      <c r="JX23" s="32">
        <v>3.3277610818933128</v>
      </c>
      <c r="JY23" s="32">
        <v>4.5250618364796988</v>
      </c>
      <c r="JZ23" s="32">
        <v>9.655657713915085</v>
      </c>
      <c r="KA23" s="32">
        <v>4.1930879038317048</v>
      </c>
      <c r="KB23" s="32">
        <v>3.4889289326726107</v>
      </c>
      <c r="KC23" s="32">
        <v>7.6670604266325109</v>
      </c>
      <c r="KD23" s="32">
        <v>5.25</v>
      </c>
      <c r="KE23" s="32">
        <v>2.6999719504628175</v>
      </c>
      <c r="KF23" s="32">
        <v>6.0090611770341935</v>
      </c>
      <c r="KG23" s="32">
        <v>4.1930879038317048</v>
      </c>
      <c r="KH23" s="32">
        <v>2.1153515966986536</v>
      </c>
      <c r="KI23" s="32">
        <v>4.6516055980579276</v>
      </c>
      <c r="KJ23" s="32">
        <v>3.3277610818933128</v>
      </c>
      <c r="KK23" s="32">
        <v>1.6963085109095699</v>
      </c>
      <c r="KL23" s="32">
        <v>3.5646393226415065</v>
      </c>
      <c r="KM23" s="32">
        <v>2.6348610067618332</v>
      </c>
      <c r="KN23" s="32">
        <v>1.4081632653061225</v>
      </c>
      <c r="KO23" s="32">
        <v>2.718107983722728</v>
      </c>
      <c r="KP23" s="32">
        <v>2.0952291510142746</v>
      </c>
      <c r="KQ23" s="32">
        <v>1.2203163647799811</v>
      </c>
      <c r="KR23" s="32">
        <v>2.0819572142393854</v>
      </c>
      <c r="KS23" s="32">
        <v>1.6897069872276482</v>
      </c>
      <c r="KT23" s="32">
        <v>1.1062482469039261</v>
      </c>
      <c r="KU23" s="32">
        <v>1.6261326471292741</v>
      </c>
      <c r="KV23" s="32">
        <v>1.3991359879789633</v>
      </c>
      <c r="KW23" s="32">
        <v>1.0435192819318482</v>
      </c>
      <c r="KX23" s="32">
        <v>1.3205799153301883</v>
      </c>
      <c r="KY23" s="32">
        <v>1.2043576258452291</v>
      </c>
      <c r="KZ23" s="32">
        <v>1.1352446517799233</v>
      </c>
      <c r="LA23" s="32">
        <v>1.086213373403456</v>
      </c>
      <c r="LB23" s="32">
        <v>1.0400724894162736</v>
      </c>
      <c r="LC23" s="32">
        <v>1.0255447032306537</v>
      </c>
      <c r="LD23" s="32">
        <v>1.0050090611770341</v>
      </c>
      <c r="LE23" s="32">
        <v>1.0031930879038318</v>
      </c>
      <c r="LF23" s="32">
        <v>0</v>
      </c>
      <c r="LG23" s="32">
        <v>0</v>
      </c>
      <c r="LH23" s="32">
        <v>0</v>
      </c>
      <c r="LI23" s="32">
        <v>0</v>
      </c>
      <c r="LJ23" s="32">
        <v>0</v>
      </c>
      <c r="LK23" s="32">
        <v>0</v>
      </c>
      <c r="LL23" s="32">
        <v>0</v>
      </c>
      <c r="LM23" s="32">
        <v>0</v>
      </c>
      <c r="LN23" s="32">
        <v>0</v>
      </c>
      <c r="LO23" s="32">
        <v>0</v>
      </c>
      <c r="LP23" s="32">
        <v>0</v>
      </c>
      <c r="LQ23" s="32">
        <v>0</v>
      </c>
      <c r="LR23" s="32">
        <v>0</v>
      </c>
      <c r="LS23" s="32">
        <v>0</v>
      </c>
      <c r="LT23" s="32">
        <v>0</v>
      </c>
      <c r="LU23" s="32">
        <v>0</v>
      </c>
      <c r="LV23" s="32">
        <v>0</v>
      </c>
      <c r="LW23" s="32">
        <v>0</v>
      </c>
      <c r="LX23" s="32">
        <v>0</v>
      </c>
    </row>
    <row r="24" spans="1:336" s="32" customFormat="1" ht="14.25" x14ac:dyDescent="0.2">
      <c r="A24" s="5">
        <v>18</v>
      </c>
      <c r="B24" s="27" t="s">
        <v>680</v>
      </c>
      <c r="C24" s="27" t="s">
        <v>371</v>
      </c>
      <c r="D24" s="27" t="s">
        <v>372</v>
      </c>
      <c r="E24" s="27" t="s">
        <v>371</v>
      </c>
      <c r="F24" s="28" t="s">
        <v>373</v>
      </c>
      <c r="G24" s="28" t="s">
        <v>374</v>
      </c>
      <c r="H24" s="29">
        <v>-1</v>
      </c>
      <c r="I24" s="30">
        <v>10.23</v>
      </c>
      <c r="J24" s="31">
        <v>17.470131491999997</v>
      </c>
      <c r="K24" s="29" t="s">
        <v>375</v>
      </c>
      <c r="L24" s="16">
        <v>0</v>
      </c>
      <c r="M24" s="16">
        <v>2</v>
      </c>
      <c r="N24" s="27" t="s">
        <v>371</v>
      </c>
      <c r="O24" s="27">
        <v>0</v>
      </c>
      <c r="P24" s="27">
        <v>0</v>
      </c>
      <c r="Q24" s="27">
        <v>0</v>
      </c>
      <c r="R24" s="27">
        <v>0</v>
      </c>
      <c r="S24" s="27">
        <v>0</v>
      </c>
      <c r="T24" s="27">
        <v>25</v>
      </c>
      <c r="U24" s="27">
        <v>0</v>
      </c>
      <c r="V24" s="27">
        <v>25</v>
      </c>
      <c r="W24" s="27">
        <v>2</v>
      </c>
      <c r="X24" s="27" t="s">
        <v>371</v>
      </c>
      <c r="Y24" s="17">
        <v>592.41065752939994</v>
      </c>
      <c r="Z24" s="17">
        <v>574.40009752939989</v>
      </c>
      <c r="AA24" s="17">
        <v>596.44193752940009</v>
      </c>
      <c r="AB24" s="17">
        <v>578.43137752940004</v>
      </c>
      <c r="AC24" s="17">
        <v>943.80947752940006</v>
      </c>
      <c r="AD24" s="17">
        <v>869.7726980970001</v>
      </c>
      <c r="AE24" s="17">
        <v>0</v>
      </c>
      <c r="AF24" s="17">
        <v>597.44952604819991</v>
      </c>
      <c r="AG24" s="17">
        <v>523.41274661579996</v>
      </c>
      <c r="AH24" s="17">
        <v>409.44093642279995</v>
      </c>
      <c r="AI24" s="17">
        <v>427.45150110679992</v>
      </c>
      <c r="AJ24" s="17">
        <v>0</v>
      </c>
      <c r="AK24" s="17">
        <v>0</v>
      </c>
      <c r="AL24" s="17">
        <v>0</v>
      </c>
      <c r="AM24" s="17">
        <v>247.0582794382</v>
      </c>
      <c r="AN24" s="17">
        <v>229.0477147542</v>
      </c>
      <c r="AO24" s="17">
        <v>0</v>
      </c>
      <c r="AP24" s="17">
        <v>0</v>
      </c>
      <c r="AQ24" s="17">
        <v>173.021500038</v>
      </c>
      <c r="AR24" s="17">
        <v>155.010935354</v>
      </c>
      <c r="AS24" s="32">
        <v>351.39907160999996</v>
      </c>
      <c r="AT24" s="32">
        <v>347.36777148120001</v>
      </c>
      <c r="AU24" s="32">
        <v>55.0547752254</v>
      </c>
      <c r="AV24" s="32">
        <v>57.070425289800006</v>
      </c>
      <c r="AW24" s="32">
        <v>69.070425289799999</v>
      </c>
      <c r="AX24" s="32">
        <v>71.086075354200005</v>
      </c>
      <c r="AY24" s="32">
        <v>83.086075354200005</v>
      </c>
      <c r="AZ24" s="32">
        <v>85.101725418599997</v>
      </c>
      <c r="BA24" s="32">
        <v>97.101725418599997</v>
      </c>
      <c r="BB24" s="32">
        <v>99.117375483000004</v>
      </c>
      <c r="BC24" s="32">
        <v>111.117375483</v>
      </c>
      <c r="BD24" s="32">
        <v>113.13302554740001</v>
      </c>
      <c r="BE24" s="32">
        <v>125.13302554740001</v>
      </c>
      <c r="BF24" s="32">
        <v>127.1486756118</v>
      </c>
      <c r="BG24" s="32">
        <v>139.1486756118</v>
      </c>
      <c r="BH24" s="32">
        <v>141.16432567620001</v>
      </c>
      <c r="BI24" s="32">
        <v>153.16432567620001</v>
      </c>
      <c r="BJ24" s="32">
        <v>155.17997574060001</v>
      </c>
      <c r="BK24" s="32">
        <v>167.17997574060001</v>
      </c>
      <c r="BL24" s="32">
        <v>169.19562580499999</v>
      </c>
      <c r="BM24" s="32">
        <v>181.19562580499999</v>
      </c>
      <c r="BN24" s="32">
        <v>183.2112758694</v>
      </c>
      <c r="BO24" s="32">
        <v>195.2112758694</v>
      </c>
      <c r="BP24" s="32">
        <v>197.2269259338</v>
      </c>
      <c r="BQ24" s="32">
        <v>209.2269259338</v>
      </c>
      <c r="BR24" s="32">
        <v>211.24257599820001</v>
      </c>
      <c r="BS24" s="32">
        <v>223.24257599820001</v>
      </c>
      <c r="BT24" s="32">
        <v>225.25822606260002</v>
      </c>
      <c r="BU24" s="32">
        <v>237.25822606260002</v>
      </c>
      <c r="BV24" s="32">
        <v>239.27387612699999</v>
      </c>
      <c r="BW24" s="32">
        <v>251.27387612699999</v>
      </c>
      <c r="BX24" s="32">
        <v>253.2895261914</v>
      </c>
      <c r="BY24" s="32">
        <v>267.30517625580001</v>
      </c>
      <c r="BZ24" s="32">
        <v>281.32082632020001</v>
      </c>
      <c r="CA24" s="32">
        <v>295.33647638460002</v>
      </c>
      <c r="CB24" s="32">
        <v>0</v>
      </c>
      <c r="CC24" s="32">
        <v>0</v>
      </c>
      <c r="CD24" s="32">
        <v>0</v>
      </c>
      <c r="CE24" s="32">
        <v>0</v>
      </c>
      <c r="CF24" s="32">
        <v>0</v>
      </c>
      <c r="CG24" s="32">
        <v>0</v>
      </c>
      <c r="CH24" s="32">
        <v>0</v>
      </c>
      <c r="CI24" s="32">
        <v>0</v>
      </c>
      <c r="CJ24" s="32">
        <v>0</v>
      </c>
      <c r="CK24" s="32">
        <v>0</v>
      </c>
      <c r="CL24" s="32">
        <v>0</v>
      </c>
      <c r="CM24" s="32">
        <v>0</v>
      </c>
      <c r="CN24" s="32">
        <v>0</v>
      </c>
      <c r="CO24" s="32">
        <v>0</v>
      </c>
      <c r="CP24" s="32">
        <v>0</v>
      </c>
      <c r="CQ24" s="32">
        <v>0</v>
      </c>
      <c r="CR24" s="32">
        <v>0</v>
      </c>
      <c r="CS24" s="32">
        <v>0</v>
      </c>
      <c r="CT24" s="32">
        <v>0</v>
      </c>
      <c r="CU24" s="32">
        <v>0</v>
      </c>
      <c r="CV24" s="32">
        <v>0</v>
      </c>
      <c r="CW24" s="32">
        <v>0</v>
      </c>
      <c r="CX24" s="32">
        <v>0</v>
      </c>
      <c r="CY24" s="32">
        <v>0</v>
      </c>
      <c r="CZ24" s="32">
        <v>0</v>
      </c>
      <c r="DA24" s="32">
        <v>0</v>
      </c>
      <c r="DB24" s="32">
        <v>0</v>
      </c>
      <c r="DC24" s="32">
        <v>0</v>
      </c>
      <c r="DD24" s="32">
        <v>0</v>
      </c>
      <c r="DE24" s="32">
        <v>0</v>
      </c>
      <c r="DF24" s="32">
        <v>0</v>
      </c>
      <c r="DG24" s="32">
        <v>0</v>
      </c>
      <c r="DH24" s="32">
        <v>0</v>
      </c>
      <c r="DI24" s="32">
        <v>0</v>
      </c>
      <c r="DJ24" s="32">
        <v>0</v>
      </c>
      <c r="DK24" s="32">
        <v>55.0547752254</v>
      </c>
      <c r="DL24" s="32">
        <v>57.070425289800006</v>
      </c>
      <c r="DM24" s="32">
        <v>69.070425289799999</v>
      </c>
      <c r="DN24" s="32">
        <v>71.086075354200005</v>
      </c>
      <c r="DO24" s="32">
        <v>81.070425289799999</v>
      </c>
      <c r="DP24" s="32">
        <v>83.086075354200005</v>
      </c>
      <c r="DQ24" s="32">
        <v>85.101725418599997</v>
      </c>
      <c r="DR24" s="32">
        <v>95.086075354200005</v>
      </c>
      <c r="DS24" s="32">
        <v>97.101725418599997</v>
      </c>
      <c r="DT24" s="32">
        <v>99.117375483000004</v>
      </c>
      <c r="DU24" s="32">
        <v>109.1017254186</v>
      </c>
      <c r="DV24" s="32">
        <v>111.117375483</v>
      </c>
      <c r="DW24" s="32">
        <v>113.13302554740001</v>
      </c>
      <c r="DX24" s="32">
        <v>123.117375483</v>
      </c>
      <c r="DY24" s="32">
        <v>125.13302554740001</v>
      </c>
      <c r="DZ24" s="32">
        <v>127.1486756118</v>
      </c>
      <c r="EA24" s="32">
        <v>137.1330255474</v>
      </c>
      <c r="EB24" s="32">
        <v>139.1486756118</v>
      </c>
      <c r="EC24" s="32">
        <v>141.16432567620001</v>
      </c>
      <c r="ED24" s="32">
        <v>149.1330255474</v>
      </c>
      <c r="EE24" s="32">
        <v>151.1486756118</v>
      </c>
      <c r="EF24" s="32">
        <v>153.16432567620001</v>
      </c>
      <c r="EG24" s="32">
        <v>155.17997574060001</v>
      </c>
      <c r="EH24" s="32">
        <v>163.1486756118</v>
      </c>
      <c r="EI24" s="32">
        <v>165.16432567620001</v>
      </c>
      <c r="EJ24" s="32">
        <v>167.17997574060001</v>
      </c>
      <c r="EK24" s="32">
        <v>169.19562580499999</v>
      </c>
      <c r="EL24" s="32">
        <v>177.16432567620001</v>
      </c>
      <c r="EM24" s="32">
        <v>179.17997574060001</v>
      </c>
      <c r="EN24" s="32">
        <v>181.19562580499999</v>
      </c>
      <c r="EO24" s="32">
        <v>183.2112758694</v>
      </c>
      <c r="EP24" s="32">
        <v>191.17997574060001</v>
      </c>
      <c r="EQ24" s="32">
        <v>193.19562580499999</v>
      </c>
      <c r="ER24" s="32">
        <v>195.2112758694</v>
      </c>
      <c r="ES24" s="32">
        <v>197.2269259338</v>
      </c>
      <c r="ET24" s="32">
        <v>205.19562580499999</v>
      </c>
      <c r="EU24" s="32">
        <v>207.2112758694</v>
      </c>
      <c r="EV24" s="32">
        <v>209.2269259338</v>
      </c>
      <c r="EW24" s="32">
        <v>211.24257599820001</v>
      </c>
      <c r="EX24" s="32">
        <v>219.2112758694</v>
      </c>
      <c r="EY24" s="32">
        <v>221.2269259338</v>
      </c>
      <c r="EZ24" s="32">
        <v>223.24257599820001</v>
      </c>
      <c r="FA24" s="32">
        <v>225.25822606260002</v>
      </c>
      <c r="FB24" s="32">
        <v>233.2269259338</v>
      </c>
      <c r="FC24" s="32">
        <v>235.24257599820001</v>
      </c>
      <c r="FD24" s="32">
        <v>237.25822606260002</v>
      </c>
      <c r="FE24" s="32">
        <v>239.27387612699999</v>
      </c>
      <c r="FF24" s="32">
        <v>247.24257599820001</v>
      </c>
      <c r="FG24" s="32">
        <v>249.25822606260002</v>
      </c>
      <c r="FH24" s="32">
        <v>251.27387612699999</v>
      </c>
      <c r="FI24" s="32">
        <v>253.2895261914</v>
      </c>
      <c r="FJ24" s="32">
        <v>263.27387612699999</v>
      </c>
      <c r="FK24" s="32">
        <v>265.2895261914</v>
      </c>
      <c r="FL24" s="32">
        <v>277.2895261914</v>
      </c>
      <c r="FM24" s="32">
        <v>279.30517625580001</v>
      </c>
      <c r="FN24" s="32">
        <v>291.30517625580001</v>
      </c>
      <c r="FO24" s="32">
        <v>293.32082632020001</v>
      </c>
      <c r="FP24" s="32">
        <v>0</v>
      </c>
      <c r="FQ24" s="32">
        <v>0</v>
      </c>
      <c r="FR24" s="32">
        <v>0</v>
      </c>
      <c r="FS24" s="32">
        <v>0</v>
      </c>
      <c r="FT24" s="32">
        <v>0</v>
      </c>
      <c r="FU24" s="32">
        <v>0</v>
      </c>
      <c r="FV24" s="32">
        <v>0</v>
      </c>
      <c r="FW24" s="32">
        <v>0</v>
      </c>
      <c r="FX24" s="32">
        <v>0</v>
      </c>
      <c r="FY24" s="32">
        <v>0</v>
      </c>
      <c r="FZ24" s="32">
        <v>0</v>
      </c>
      <c r="GA24" s="3">
        <v>24.3</v>
      </c>
      <c r="GB24" s="32">
        <v>2.4300000000000002</v>
      </c>
      <c r="GC24" s="32">
        <v>0</v>
      </c>
      <c r="GD24" s="32">
        <v>18.05</v>
      </c>
      <c r="GE24" s="32">
        <v>5</v>
      </c>
      <c r="GF24" s="32">
        <v>8.1000000000000014</v>
      </c>
      <c r="GG24" s="32">
        <v>4.0500000000000007</v>
      </c>
      <c r="GH24" s="32">
        <v>0</v>
      </c>
      <c r="GI24" s="32">
        <v>0</v>
      </c>
      <c r="GJ24" s="32">
        <v>0</v>
      </c>
      <c r="GK24" s="32">
        <v>6.48</v>
      </c>
      <c r="GL24" s="32">
        <v>0</v>
      </c>
      <c r="GM24" s="32">
        <v>0</v>
      </c>
      <c r="GN24" s="32">
        <v>0</v>
      </c>
      <c r="GO24" s="32">
        <v>30</v>
      </c>
      <c r="GP24" s="32">
        <v>10</v>
      </c>
      <c r="GQ24" s="32">
        <v>1.3520000000000003</v>
      </c>
      <c r="GR24" s="32">
        <v>4.2319999999999993</v>
      </c>
      <c r="GS24" s="32">
        <v>1</v>
      </c>
      <c r="GT24" s="32">
        <v>26</v>
      </c>
      <c r="GU24" s="32">
        <v>1.0268454372456677</v>
      </c>
      <c r="GV24" s="32">
        <v>51.049562682215743</v>
      </c>
      <c r="GW24" s="32">
        <v>1.429526995930682</v>
      </c>
      <c r="GX24" s="32">
        <v>91.396501457725947</v>
      </c>
      <c r="GY24" s="32">
        <v>3.1744804168990779</v>
      </c>
      <c r="GZ24" s="32">
        <v>2.3381924198250732</v>
      </c>
      <c r="HA24" s="32">
        <v>7.8724319348909129</v>
      </c>
      <c r="HB24" s="32">
        <v>4.1720116618075798</v>
      </c>
      <c r="HC24" s="32">
        <v>6.502453702972061</v>
      </c>
      <c r="HD24" s="32">
        <v>10.311044327573251</v>
      </c>
      <c r="HE24" s="32">
        <v>5.3278288569575425</v>
      </c>
      <c r="HF24" s="32">
        <v>13.772351615326819</v>
      </c>
      <c r="HG24" s="32">
        <v>4.333530213316255</v>
      </c>
      <c r="HH24" s="32">
        <v>18</v>
      </c>
      <c r="HI24" s="32">
        <v>3.5045305885170968</v>
      </c>
      <c r="HJ24" s="32">
        <v>13.772351615326819</v>
      </c>
      <c r="HK24" s="32">
        <v>2.8258027990289638</v>
      </c>
      <c r="HL24" s="32">
        <v>10.311044327573251</v>
      </c>
      <c r="HM24" s="32">
        <v>2.282319661320753</v>
      </c>
      <c r="HN24" s="32">
        <v>7.5394440270473329</v>
      </c>
      <c r="HO24" s="32">
        <v>1.859053991861364</v>
      </c>
      <c r="HP24" s="32">
        <v>5.3809166040570995</v>
      </c>
      <c r="HQ24" s="32">
        <v>1.5409786071196927</v>
      </c>
      <c r="HR24" s="32">
        <v>3.7588279489105929</v>
      </c>
      <c r="HS24" s="32">
        <v>1.3130663235646372</v>
      </c>
      <c r="HT24" s="32">
        <v>2.5965439519158533</v>
      </c>
      <c r="HU24" s="32">
        <v>1.1602899576650942</v>
      </c>
      <c r="HV24" s="32">
        <v>1.8174305033809166</v>
      </c>
      <c r="HW24" s="32">
        <v>1.3448534936138241</v>
      </c>
      <c r="HX24" s="32">
        <v>1.1021788129226144</v>
      </c>
      <c r="HY24" s="32">
        <v>1.0127723516153269</v>
      </c>
      <c r="HZ24" s="32">
        <v>0</v>
      </c>
      <c r="IA24" s="32">
        <v>0</v>
      </c>
      <c r="IB24" s="32">
        <v>0</v>
      </c>
      <c r="IC24" s="32">
        <v>0</v>
      </c>
      <c r="ID24" s="32">
        <v>0</v>
      </c>
      <c r="IE24" s="32">
        <v>0</v>
      </c>
      <c r="IF24" s="32">
        <v>0</v>
      </c>
      <c r="IG24" s="32">
        <v>0</v>
      </c>
      <c r="IH24" s="32">
        <v>0</v>
      </c>
      <c r="II24" s="32">
        <v>0</v>
      </c>
      <c r="IJ24" s="32">
        <v>0</v>
      </c>
      <c r="IK24" s="32">
        <v>0</v>
      </c>
      <c r="IL24" s="32">
        <v>0</v>
      </c>
      <c r="IM24" s="32">
        <v>0</v>
      </c>
      <c r="IN24" s="32">
        <v>0</v>
      </c>
      <c r="IO24" s="32">
        <v>0</v>
      </c>
      <c r="IP24" s="32">
        <v>0</v>
      </c>
      <c r="IQ24" s="32">
        <v>0</v>
      </c>
      <c r="IR24" s="32">
        <v>0</v>
      </c>
      <c r="IS24" s="32">
        <v>0</v>
      </c>
      <c r="IT24" s="32">
        <v>0</v>
      </c>
      <c r="IU24" s="32">
        <v>0</v>
      </c>
      <c r="IV24" s="32">
        <v>0</v>
      </c>
      <c r="IW24" s="32">
        <v>0</v>
      </c>
      <c r="IX24" s="32">
        <v>0</v>
      </c>
      <c r="IY24" s="32">
        <v>0</v>
      </c>
      <c r="IZ24" s="32">
        <v>0</v>
      </c>
      <c r="JA24" s="32">
        <v>0</v>
      </c>
      <c r="JB24" s="32">
        <v>0</v>
      </c>
      <c r="JC24" s="32">
        <v>0</v>
      </c>
      <c r="JD24" s="32">
        <v>0</v>
      </c>
      <c r="JE24" s="32">
        <v>0</v>
      </c>
      <c r="JF24" s="32">
        <v>0</v>
      </c>
      <c r="JG24" s="32">
        <v>0</v>
      </c>
      <c r="JH24" s="32">
        <v>0</v>
      </c>
      <c r="JI24" s="32">
        <v>1</v>
      </c>
      <c r="JJ24" s="32">
        <v>1.925925925925926</v>
      </c>
      <c r="JK24" s="32">
        <v>1.1394929837826946</v>
      </c>
      <c r="JL24" s="32">
        <v>2.8573588165424901</v>
      </c>
      <c r="JM24" s="32">
        <v>1.5078204081632651</v>
      </c>
      <c r="JN24" s="32">
        <v>3.2318877405231148</v>
      </c>
      <c r="JO24" s="32">
        <v>4.3773890508584383</v>
      </c>
      <c r="JP24" s="32">
        <v>3.1399510204081635</v>
      </c>
      <c r="JQ24" s="32">
        <v>17.507361108916182</v>
      </c>
      <c r="JR24" s="32">
        <v>1.1486880466472305</v>
      </c>
      <c r="JS24" s="32">
        <v>15.693877551020407</v>
      </c>
      <c r="JT24" s="32">
        <v>21.617295804672739</v>
      </c>
      <c r="JU24" s="32">
        <v>1.7266048918941481</v>
      </c>
      <c r="JV24" s="32">
        <v>11.924402247362918</v>
      </c>
      <c r="JW24" s="32">
        <v>17.507361108916182</v>
      </c>
      <c r="JX24" s="32">
        <v>2.0345604808414723</v>
      </c>
      <c r="JY24" s="32">
        <v>8.9313891320793211</v>
      </c>
      <c r="JZ24" s="32">
        <v>13.983486570872627</v>
      </c>
      <c r="KA24" s="32">
        <v>2.4191501794807575</v>
      </c>
      <c r="KB24" s="32">
        <v>6.457226260881292</v>
      </c>
      <c r="KC24" s="32">
        <v>6.6000900985133741</v>
      </c>
      <c r="KD24" s="32">
        <v>11.000590639948767</v>
      </c>
      <c r="KE24" s="32">
        <v>2.8888888888888888</v>
      </c>
      <c r="KF24" s="32">
        <v>4.7717409327994611</v>
      </c>
      <c r="KG24" s="32">
        <v>4.8249368885413384</v>
      </c>
      <c r="KH24" s="32">
        <v>8.5135917655512898</v>
      </c>
      <c r="KI24" s="32">
        <v>2.4191501794807575</v>
      </c>
      <c r="KJ24" s="32">
        <v>3.4883385689556921</v>
      </c>
      <c r="KK24" s="32">
        <v>3.509541092571971</v>
      </c>
      <c r="KL24" s="32">
        <v>6.4774083970868919</v>
      </c>
      <c r="KM24" s="32">
        <v>2.0345604808414723</v>
      </c>
      <c r="KN24" s="32">
        <v>2.5373321631684211</v>
      </c>
      <c r="KO24" s="32">
        <v>2.5666941495465321</v>
      </c>
      <c r="KP24" s="32">
        <v>4.84695898396226</v>
      </c>
      <c r="KQ24" s="32">
        <v>1.7266048918941481</v>
      </c>
      <c r="KR24" s="32">
        <v>1.8556715669876656</v>
      </c>
      <c r="KS24" s="32">
        <v>1.9183673469387754</v>
      </c>
      <c r="KT24" s="32">
        <v>3.5771619755840924</v>
      </c>
      <c r="KU24" s="32">
        <v>1.4867685115619</v>
      </c>
      <c r="KV24" s="32">
        <v>1.3869434896950159</v>
      </c>
      <c r="KW24" s="32">
        <v>1.4957118207549576</v>
      </c>
      <c r="KX24" s="32">
        <v>2.6229358213590785</v>
      </c>
      <c r="KY24" s="32">
        <v>1.3065364387678438</v>
      </c>
      <c r="KZ24" s="32">
        <v>1.0813714983036424</v>
      </c>
      <c r="LA24" s="32">
        <v>1.2390585555338336</v>
      </c>
      <c r="LB24" s="32">
        <v>1.9391989706939112</v>
      </c>
      <c r="LC24" s="32">
        <v>1.1773937724350949</v>
      </c>
      <c r="LD24" s="32">
        <v>0.89581601755829243</v>
      </c>
      <c r="LE24" s="32">
        <v>1.0979183843466582</v>
      </c>
      <c r="LF24" s="32">
        <v>1.4808698729952825</v>
      </c>
      <c r="LG24" s="32">
        <v>1.0908256114867685</v>
      </c>
      <c r="LH24" s="32">
        <v>1.0309819887971849</v>
      </c>
      <c r="LI24" s="32">
        <v>1.2028669776698848</v>
      </c>
      <c r="LJ24" s="32">
        <v>1.0061198990216662</v>
      </c>
      <c r="LK24" s="32">
        <v>1.0601087341244102</v>
      </c>
      <c r="LL24" s="32">
        <v>1.0003824936888541</v>
      </c>
      <c r="LM24" s="32">
        <v>1.0075135917655513</v>
      </c>
      <c r="LN24" s="32">
        <v>0</v>
      </c>
      <c r="LO24" s="32">
        <v>0</v>
      </c>
      <c r="LP24" s="32">
        <v>0</v>
      </c>
      <c r="LQ24" s="32">
        <v>0</v>
      </c>
      <c r="LR24" s="32">
        <v>0</v>
      </c>
      <c r="LS24" s="32">
        <v>0</v>
      </c>
      <c r="LT24" s="32">
        <v>0</v>
      </c>
      <c r="LU24" s="32">
        <v>0</v>
      </c>
      <c r="LV24" s="32">
        <v>0</v>
      </c>
      <c r="LW24" s="32">
        <v>0</v>
      </c>
      <c r="LX24" s="32">
        <v>0</v>
      </c>
    </row>
    <row r="25" spans="1:336" s="32" customFormat="1" ht="14.25" x14ac:dyDescent="0.2">
      <c r="A25" s="5">
        <v>19</v>
      </c>
      <c r="B25" s="27" t="s">
        <v>681</v>
      </c>
      <c r="C25" s="27" t="s">
        <v>376</v>
      </c>
      <c r="D25" s="27" t="s">
        <v>377</v>
      </c>
      <c r="E25" s="27" t="s">
        <v>376</v>
      </c>
      <c r="F25" s="28" t="s">
        <v>378</v>
      </c>
      <c r="G25" s="28" t="s">
        <v>379</v>
      </c>
      <c r="H25" s="29">
        <v>-1</v>
      </c>
      <c r="I25" s="30">
        <v>9.36</v>
      </c>
      <c r="J25" s="31">
        <v>17.064552010666674</v>
      </c>
      <c r="K25" s="29" t="s">
        <v>380</v>
      </c>
      <c r="L25" s="16">
        <v>0</v>
      </c>
      <c r="M25" s="16">
        <v>2</v>
      </c>
      <c r="N25" s="27" t="s">
        <v>376</v>
      </c>
      <c r="O25" s="27">
        <v>0</v>
      </c>
      <c r="P25" s="27">
        <v>0</v>
      </c>
      <c r="Q25" s="27">
        <v>0</v>
      </c>
      <c r="R25" s="27">
        <v>0</v>
      </c>
      <c r="S25" s="27">
        <v>0</v>
      </c>
      <c r="T25" s="27">
        <v>25</v>
      </c>
      <c r="U25" s="27">
        <v>0</v>
      </c>
      <c r="V25" s="27">
        <v>25</v>
      </c>
      <c r="W25" s="27">
        <v>3</v>
      </c>
      <c r="X25" s="27" t="s">
        <v>376</v>
      </c>
      <c r="Y25" s="17">
        <v>590.39500746499994</v>
      </c>
      <c r="Z25" s="17">
        <v>572.38444746499988</v>
      </c>
      <c r="AA25" s="17">
        <v>596.44192746499994</v>
      </c>
      <c r="AB25" s="17">
        <v>578.43136746499988</v>
      </c>
      <c r="AC25" s="17">
        <v>941.79382746500005</v>
      </c>
      <c r="AD25" s="17">
        <v>867.7570480326001</v>
      </c>
      <c r="AE25" s="17">
        <v>0</v>
      </c>
      <c r="AF25" s="17">
        <v>597.44952604819991</v>
      </c>
      <c r="AG25" s="17">
        <v>523.41274661579996</v>
      </c>
      <c r="AH25" s="17">
        <v>409.44093642279995</v>
      </c>
      <c r="AI25" s="17">
        <v>427.45150110679992</v>
      </c>
      <c r="AJ25" s="17">
        <v>0</v>
      </c>
      <c r="AK25" s="17">
        <v>0</v>
      </c>
      <c r="AL25" s="17">
        <v>695.7433680268</v>
      </c>
      <c r="AM25" s="17">
        <v>247.0582794382</v>
      </c>
      <c r="AN25" s="17">
        <v>229.0477147542</v>
      </c>
      <c r="AO25" s="17">
        <v>0</v>
      </c>
      <c r="AP25" s="17">
        <v>0</v>
      </c>
      <c r="AQ25" s="17">
        <v>173.021500038</v>
      </c>
      <c r="AR25" s="17">
        <v>155.010935354</v>
      </c>
      <c r="AS25" s="32">
        <v>351.39907160999996</v>
      </c>
      <c r="AT25" s="32">
        <v>345.3521214168</v>
      </c>
      <c r="AU25" s="32">
        <v>55.0547752254</v>
      </c>
      <c r="AV25" s="32">
        <v>57.070425289800006</v>
      </c>
      <c r="AW25" s="32">
        <v>69.070425289799999</v>
      </c>
      <c r="AX25" s="32">
        <v>71.086075354200005</v>
      </c>
      <c r="AY25" s="32">
        <v>83.086075354200005</v>
      </c>
      <c r="AZ25" s="32">
        <v>85.101725418599997</v>
      </c>
      <c r="BA25" s="32">
        <v>97.101725418599997</v>
      </c>
      <c r="BB25" s="32">
        <v>99.117375483000004</v>
      </c>
      <c r="BC25" s="32">
        <v>111.117375483</v>
      </c>
      <c r="BD25" s="32">
        <v>113.13302554740001</v>
      </c>
      <c r="BE25" s="32">
        <v>125.13302554740001</v>
      </c>
      <c r="BF25" s="32">
        <v>127.1486756118</v>
      </c>
      <c r="BG25" s="32">
        <v>139.1486756118</v>
      </c>
      <c r="BH25" s="32">
        <v>141.16432567620001</v>
      </c>
      <c r="BI25" s="32">
        <v>153.16432567620001</v>
      </c>
      <c r="BJ25" s="32">
        <v>155.17997574060001</v>
      </c>
      <c r="BK25" s="32">
        <v>167.17997574060001</v>
      </c>
      <c r="BL25" s="32">
        <v>169.19562580499999</v>
      </c>
      <c r="BM25" s="32">
        <v>181.19562580499999</v>
      </c>
      <c r="BN25" s="32">
        <v>183.2112758694</v>
      </c>
      <c r="BO25" s="32">
        <v>195.2112758694</v>
      </c>
      <c r="BP25" s="32">
        <v>197.2269259338</v>
      </c>
      <c r="BQ25" s="32">
        <v>209.2269259338</v>
      </c>
      <c r="BR25" s="32">
        <v>211.24257599820001</v>
      </c>
      <c r="BS25" s="32">
        <v>223.24257599820001</v>
      </c>
      <c r="BT25" s="32">
        <v>225.25822606260002</v>
      </c>
      <c r="BU25" s="32">
        <v>237.25822606260002</v>
      </c>
      <c r="BV25" s="32">
        <v>239.27387612699999</v>
      </c>
      <c r="BW25" s="32">
        <v>251.27387612699999</v>
      </c>
      <c r="BX25" s="32">
        <v>253.2895261914</v>
      </c>
      <c r="BY25" s="32">
        <v>267.30517625580001</v>
      </c>
      <c r="BZ25" s="32">
        <v>281.32082632020001</v>
      </c>
      <c r="CA25" s="32">
        <v>295.33647638460002</v>
      </c>
      <c r="CB25" s="32">
        <v>0</v>
      </c>
      <c r="CC25" s="32">
        <v>0</v>
      </c>
      <c r="CD25" s="32">
        <v>0</v>
      </c>
      <c r="CE25" s="32">
        <v>0</v>
      </c>
      <c r="CF25" s="32">
        <v>0</v>
      </c>
      <c r="CG25" s="32">
        <v>0</v>
      </c>
      <c r="CH25" s="32">
        <v>0</v>
      </c>
      <c r="CI25" s="32">
        <v>0</v>
      </c>
      <c r="CJ25" s="32">
        <v>0</v>
      </c>
      <c r="CK25" s="32">
        <v>0</v>
      </c>
      <c r="CL25" s="32">
        <v>0</v>
      </c>
      <c r="CM25" s="32">
        <v>0</v>
      </c>
      <c r="CN25" s="32">
        <v>0</v>
      </c>
      <c r="CO25" s="32">
        <v>0</v>
      </c>
      <c r="CP25" s="32">
        <v>0</v>
      </c>
      <c r="CQ25" s="32">
        <v>0</v>
      </c>
      <c r="CR25" s="32">
        <v>0</v>
      </c>
      <c r="CS25" s="32">
        <v>0</v>
      </c>
      <c r="CT25" s="32">
        <v>0</v>
      </c>
      <c r="CU25" s="32">
        <v>0</v>
      </c>
      <c r="CV25" s="32">
        <v>0</v>
      </c>
      <c r="CW25" s="32">
        <v>0</v>
      </c>
      <c r="CX25" s="32">
        <v>0</v>
      </c>
      <c r="CY25" s="32">
        <v>0</v>
      </c>
      <c r="CZ25" s="32">
        <v>0</v>
      </c>
      <c r="DA25" s="32">
        <v>0</v>
      </c>
      <c r="DB25" s="32">
        <v>0</v>
      </c>
      <c r="DC25" s="32">
        <v>0</v>
      </c>
      <c r="DD25" s="32">
        <v>0</v>
      </c>
      <c r="DE25" s="32">
        <v>0</v>
      </c>
      <c r="DF25" s="32">
        <v>0</v>
      </c>
      <c r="DG25" s="32">
        <v>0</v>
      </c>
      <c r="DH25" s="32">
        <v>0</v>
      </c>
      <c r="DI25" s="32">
        <v>0</v>
      </c>
      <c r="DJ25" s="32">
        <v>0</v>
      </c>
      <c r="DK25" s="32">
        <v>55.0547752254</v>
      </c>
      <c r="DL25" s="32">
        <v>57.070425289800006</v>
      </c>
      <c r="DM25" s="32">
        <v>69.070425289799999</v>
      </c>
      <c r="DN25" s="32">
        <v>71.086075354200005</v>
      </c>
      <c r="DO25" s="32">
        <v>81.070425289799999</v>
      </c>
      <c r="DP25" s="32">
        <v>83.086075354200005</v>
      </c>
      <c r="DQ25" s="32">
        <v>85.101725418599997</v>
      </c>
      <c r="DR25" s="32">
        <v>95.086075354200005</v>
      </c>
      <c r="DS25" s="32">
        <v>97.101725418599997</v>
      </c>
      <c r="DT25" s="32">
        <v>99.117375483000004</v>
      </c>
      <c r="DU25" s="32">
        <v>109.1017254186</v>
      </c>
      <c r="DV25" s="32">
        <v>111.117375483</v>
      </c>
      <c r="DW25" s="32">
        <v>113.13302554740001</v>
      </c>
      <c r="DX25" s="32">
        <v>123.117375483</v>
      </c>
      <c r="DY25" s="32">
        <v>125.13302554740001</v>
      </c>
      <c r="DZ25" s="32">
        <v>127.1486756118</v>
      </c>
      <c r="EA25" s="32">
        <v>137.1330255474</v>
      </c>
      <c r="EB25" s="32">
        <v>139.1486756118</v>
      </c>
      <c r="EC25" s="32">
        <v>141.16432567620001</v>
      </c>
      <c r="ED25" s="32">
        <v>149.1330255474</v>
      </c>
      <c r="EE25" s="32">
        <v>151.1486756118</v>
      </c>
      <c r="EF25" s="32">
        <v>153.16432567620001</v>
      </c>
      <c r="EG25" s="32">
        <v>155.17997574060001</v>
      </c>
      <c r="EH25" s="32">
        <v>163.1486756118</v>
      </c>
      <c r="EI25" s="32">
        <v>165.16432567620001</v>
      </c>
      <c r="EJ25" s="32">
        <v>167.17997574060001</v>
      </c>
      <c r="EK25" s="32">
        <v>169.19562580499999</v>
      </c>
      <c r="EL25" s="32">
        <v>177.16432567620001</v>
      </c>
      <c r="EM25" s="32">
        <v>179.17997574060001</v>
      </c>
      <c r="EN25" s="32">
        <v>181.19562580499999</v>
      </c>
      <c r="EO25" s="32">
        <v>183.2112758694</v>
      </c>
      <c r="EP25" s="32">
        <v>191.17997574060001</v>
      </c>
      <c r="EQ25" s="32">
        <v>193.19562580499999</v>
      </c>
      <c r="ER25" s="32">
        <v>195.2112758694</v>
      </c>
      <c r="ES25" s="32">
        <v>205.19562580499999</v>
      </c>
      <c r="ET25" s="32">
        <v>207.2112758694</v>
      </c>
      <c r="EU25" s="32">
        <v>209.2269259338</v>
      </c>
      <c r="EV25" s="32">
        <v>217.19562580499999</v>
      </c>
      <c r="EW25" s="32">
        <v>219.2112758694</v>
      </c>
      <c r="EX25" s="32">
        <v>221.2269259338</v>
      </c>
      <c r="EY25" s="32">
        <v>223.24257599820001</v>
      </c>
      <c r="EZ25" s="32">
        <v>231.2112758694</v>
      </c>
      <c r="FA25" s="32">
        <v>233.2269259338</v>
      </c>
      <c r="FB25" s="32">
        <v>235.24257599820001</v>
      </c>
      <c r="FC25" s="32">
        <v>237.25822606260002</v>
      </c>
      <c r="FD25" s="32">
        <v>245.2269259338</v>
      </c>
      <c r="FE25" s="32">
        <v>247.24257599820001</v>
      </c>
      <c r="FF25" s="32">
        <v>249.25822606260002</v>
      </c>
      <c r="FG25" s="32">
        <v>251.27387612699999</v>
      </c>
      <c r="FH25" s="32">
        <v>261.25822606259999</v>
      </c>
      <c r="FI25" s="32">
        <v>263.27387612699999</v>
      </c>
      <c r="FJ25" s="32">
        <v>275.27387612699999</v>
      </c>
      <c r="FK25" s="32">
        <v>277.2895261914</v>
      </c>
      <c r="FL25" s="32">
        <v>289.2895261914</v>
      </c>
      <c r="FM25" s="32">
        <v>291.30517625580001</v>
      </c>
      <c r="FN25" s="32">
        <v>0</v>
      </c>
      <c r="FO25" s="32">
        <v>0</v>
      </c>
      <c r="FP25" s="32">
        <v>0</v>
      </c>
      <c r="FQ25" s="32">
        <v>0</v>
      </c>
      <c r="FR25" s="32">
        <v>0</v>
      </c>
      <c r="FS25" s="32">
        <v>0</v>
      </c>
      <c r="FT25" s="32">
        <v>0</v>
      </c>
      <c r="FU25" s="32">
        <v>0</v>
      </c>
      <c r="FV25" s="32">
        <v>0</v>
      </c>
      <c r="FW25" s="32">
        <v>0</v>
      </c>
      <c r="FX25" s="32">
        <v>0</v>
      </c>
      <c r="FY25" s="32">
        <v>0</v>
      </c>
      <c r="FZ25" s="32">
        <v>0</v>
      </c>
      <c r="GA25" s="3">
        <v>21.870000000000005</v>
      </c>
      <c r="GB25" s="32">
        <v>2.1870000000000003</v>
      </c>
      <c r="GC25" s="32">
        <v>0</v>
      </c>
      <c r="GD25" s="32">
        <v>17.147499999999997</v>
      </c>
      <c r="GE25" s="32">
        <v>5</v>
      </c>
      <c r="GF25" s="32">
        <v>7.2900000000000009</v>
      </c>
      <c r="GG25" s="32">
        <v>3.6450000000000005</v>
      </c>
      <c r="GH25" s="32">
        <v>0</v>
      </c>
      <c r="GI25" s="32">
        <v>0</v>
      </c>
      <c r="GJ25" s="32">
        <v>0</v>
      </c>
      <c r="GK25" s="32">
        <v>11.664000000000001</v>
      </c>
      <c r="GL25" s="32">
        <v>0</v>
      </c>
      <c r="GM25" s="32">
        <v>0</v>
      </c>
      <c r="GN25" s="32">
        <v>0</v>
      </c>
      <c r="GO25" s="32">
        <v>30</v>
      </c>
      <c r="GP25" s="32">
        <v>10</v>
      </c>
      <c r="GQ25" s="32">
        <v>1.7576000000000005</v>
      </c>
      <c r="GR25" s="32">
        <v>9.7335999999999974</v>
      </c>
      <c r="GS25" s="32">
        <v>1</v>
      </c>
      <c r="GT25" s="32">
        <v>26</v>
      </c>
      <c r="GU25" s="32">
        <v>1.0268454372456677</v>
      </c>
      <c r="GV25" s="32">
        <v>51.049562682215743</v>
      </c>
      <c r="GW25" s="32">
        <v>1.429526995930682</v>
      </c>
      <c r="GX25" s="32">
        <v>91.396501457725947</v>
      </c>
      <c r="GY25" s="32">
        <v>3.1744804168990779</v>
      </c>
      <c r="GZ25" s="32">
        <v>2.3381924198250732</v>
      </c>
      <c r="HA25" s="32">
        <v>7.8724319348909129</v>
      </c>
      <c r="HB25" s="32">
        <v>4.1720116618075798</v>
      </c>
      <c r="HC25" s="32">
        <v>6.502453702972061</v>
      </c>
      <c r="HD25" s="32">
        <v>10.311044327573251</v>
      </c>
      <c r="HE25" s="32">
        <v>5.3278288569575425</v>
      </c>
      <c r="HF25" s="32">
        <v>13.772351615326819</v>
      </c>
      <c r="HG25" s="32">
        <v>4.333530213316255</v>
      </c>
      <c r="HH25" s="32">
        <v>18</v>
      </c>
      <c r="HI25" s="32">
        <v>3.5045305885170968</v>
      </c>
      <c r="HJ25" s="32">
        <v>13.772351615326819</v>
      </c>
      <c r="HK25" s="32">
        <v>2.8258027990289638</v>
      </c>
      <c r="HL25" s="32">
        <v>10.311044327573251</v>
      </c>
      <c r="HM25" s="32">
        <v>2.282319661320753</v>
      </c>
      <c r="HN25" s="32">
        <v>7.5394440270473329</v>
      </c>
      <c r="HO25" s="32">
        <v>1.859053991861364</v>
      </c>
      <c r="HP25" s="32">
        <v>5.3809166040570995</v>
      </c>
      <c r="HQ25" s="32">
        <v>1.5409786071196927</v>
      </c>
      <c r="HR25" s="32">
        <v>3.7588279489105929</v>
      </c>
      <c r="HS25" s="32">
        <v>1.3130663235646372</v>
      </c>
      <c r="HT25" s="32">
        <v>2.5965439519158533</v>
      </c>
      <c r="HU25" s="32">
        <v>1.1602899576650942</v>
      </c>
      <c r="HV25" s="32">
        <v>1.8174305033809166</v>
      </c>
      <c r="HW25" s="32">
        <v>1.3448534936138241</v>
      </c>
      <c r="HX25" s="32">
        <v>1.1021788129226144</v>
      </c>
      <c r="HY25" s="32">
        <v>1.0127723516153269</v>
      </c>
      <c r="HZ25" s="32">
        <v>0</v>
      </c>
      <c r="IA25" s="32">
        <v>0</v>
      </c>
      <c r="IB25" s="32">
        <v>0</v>
      </c>
      <c r="IC25" s="32">
        <v>0</v>
      </c>
      <c r="ID25" s="32">
        <v>0</v>
      </c>
      <c r="IE25" s="32">
        <v>0</v>
      </c>
      <c r="IF25" s="32">
        <v>0</v>
      </c>
      <c r="IG25" s="32">
        <v>0</v>
      </c>
      <c r="IH25" s="32">
        <v>0</v>
      </c>
      <c r="II25" s="32">
        <v>0</v>
      </c>
      <c r="IJ25" s="32">
        <v>0</v>
      </c>
      <c r="IK25" s="32">
        <v>0</v>
      </c>
      <c r="IL25" s="32">
        <v>0</v>
      </c>
      <c r="IM25" s="32">
        <v>0</v>
      </c>
      <c r="IN25" s="32">
        <v>0</v>
      </c>
      <c r="IO25" s="32">
        <v>0</v>
      </c>
      <c r="IP25" s="32">
        <v>0</v>
      </c>
      <c r="IQ25" s="32">
        <v>0</v>
      </c>
      <c r="IR25" s="32">
        <v>0</v>
      </c>
      <c r="IS25" s="32">
        <v>0</v>
      </c>
      <c r="IT25" s="32">
        <v>0</v>
      </c>
      <c r="IU25" s="32">
        <v>0</v>
      </c>
      <c r="IV25" s="32">
        <v>0</v>
      </c>
      <c r="IW25" s="32">
        <v>0</v>
      </c>
      <c r="IX25" s="32">
        <v>0</v>
      </c>
      <c r="IY25" s="32">
        <v>0</v>
      </c>
      <c r="IZ25" s="32">
        <v>0</v>
      </c>
      <c r="JA25" s="32">
        <v>0</v>
      </c>
      <c r="JB25" s="32">
        <v>0</v>
      </c>
      <c r="JC25" s="32">
        <v>0</v>
      </c>
      <c r="JD25" s="32">
        <v>0</v>
      </c>
      <c r="JE25" s="32">
        <v>0</v>
      </c>
      <c r="JF25" s="32">
        <v>0</v>
      </c>
      <c r="JG25" s="32">
        <v>0</v>
      </c>
      <c r="JH25" s="32">
        <v>0</v>
      </c>
      <c r="JI25" s="32">
        <v>1</v>
      </c>
      <c r="JJ25" s="32">
        <v>1.390625</v>
      </c>
      <c r="JK25" s="32">
        <v>1.1394929837826946</v>
      </c>
      <c r="JL25" s="32">
        <v>1.784347667638484</v>
      </c>
      <c r="JM25" s="32">
        <v>2.1425959183673466</v>
      </c>
      <c r="JN25" s="32">
        <v>3.2318877405231148</v>
      </c>
      <c r="JO25" s="32">
        <v>2.4310313411078717</v>
      </c>
      <c r="JP25" s="32">
        <v>5.8148897959183676</v>
      </c>
      <c r="JQ25" s="32">
        <v>17.507361108916182</v>
      </c>
      <c r="JR25" s="32">
        <v>1.0836370262390671</v>
      </c>
      <c r="JS25" s="32">
        <v>27.122448979591834</v>
      </c>
      <c r="JT25" s="32">
        <v>21.617295804672739</v>
      </c>
      <c r="JU25" s="32">
        <v>1.4087152516904582</v>
      </c>
      <c r="JV25" s="32">
        <v>20.421159550867412</v>
      </c>
      <c r="JW25" s="32">
        <v>17.507361108916182</v>
      </c>
      <c r="JX25" s="32">
        <v>1.5819402704733281</v>
      </c>
      <c r="JY25" s="32">
        <v>15.100247345918794</v>
      </c>
      <c r="JZ25" s="32">
        <v>13.983486570872627</v>
      </c>
      <c r="KA25" s="32">
        <v>1.7982719759579262</v>
      </c>
      <c r="KB25" s="32">
        <v>10.917194656501268</v>
      </c>
      <c r="KC25" s="32">
        <v>10.955715730690443</v>
      </c>
      <c r="KD25" s="32">
        <v>11.000590639948767</v>
      </c>
      <c r="KE25" s="32">
        <v>2.0625</v>
      </c>
      <c r="KF25" s="32">
        <v>7.9207762954669025</v>
      </c>
      <c r="KG25" s="32">
        <v>7.799887801851269</v>
      </c>
      <c r="KH25" s="32">
        <v>8.5135917655512898</v>
      </c>
      <c r="KI25" s="32">
        <v>1.7982719759579262</v>
      </c>
      <c r="KJ25" s="32">
        <v>5.6391720930779803</v>
      </c>
      <c r="KK25" s="32">
        <v>5.4614063867946152</v>
      </c>
      <c r="KL25" s="32">
        <v>6.4774083970868919</v>
      </c>
      <c r="KM25" s="32">
        <v>1.5819402704733281</v>
      </c>
      <c r="KN25" s="32">
        <v>3.9484940383450535</v>
      </c>
      <c r="KO25" s="32">
        <v>3.7852340436382792</v>
      </c>
      <c r="KP25" s="32">
        <v>4.84695898396226</v>
      </c>
      <c r="KQ25" s="32">
        <v>2.8546868822184095</v>
      </c>
      <c r="KR25" s="32">
        <v>2.6326530612244898</v>
      </c>
      <c r="KS25" s="32">
        <v>3.5771619755840924</v>
      </c>
      <c r="KT25" s="32">
        <v>2.0638848929161564</v>
      </c>
      <c r="KU25" s="32">
        <v>1.9033586188367773</v>
      </c>
      <c r="KV25" s="32">
        <v>1.8812654591199247</v>
      </c>
      <c r="KW25" s="32">
        <v>2.6229358213590785</v>
      </c>
      <c r="KX25" s="32">
        <v>1.3760924617295502</v>
      </c>
      <c r="KY25" s="32">
        <v>1.360119523029891</v>
      </c>
      <c r="KZ25" s="32">
        <v>1.4249929876157041</v>
      </c>
      <c r="LA25" s="32">
        <v>1.9391989706939112</v>
      </c>
      <c r="LB25" s="32">
        <v>0.9833408187871967</v>
      </c>
      <c r="LC25" s="32">
        <v>1.0302431128159353</v>
      </c>
      <c r="LD25" s="32">
        <v>1.1740771277273925</v>
      </c>
      <c r="LE25" s="32">
        <v>1.4808698729952825</v>
      </c>
      <c r="LF25" s="32">
        <v>0.74484638221315191</v>
      </c>
      <c r="LG25" s="32">
        <v>1.0550790911949952</v>
      </c>
      <c r="LH25" s="32">
        <v>1.0706410493870033</v>
      </c>
      <c r="LI25" s="32">
        <v>1.0108798204829621</v>
      </c>
      <c r="LJ25" s="32">
        <v>0.76280232718792973</v>
      </c>
      <c r="LK25" s="32">
        <v>1.0006799887801852</v>
      </c>
      <c r="LL25" s="32">
        <v>0</v>
      </c>
      <c r="LM25" s="32">
        <v>0</v>
      </c>
      <c r="LN25" s="32">
        <v>0</v>
      </c>
      <c r="LO25" s="32">
        <v>0</v>
      </c>
      <c r="LP25" s="32">
        <v>0</v>
      </c>
      <c r="LQ25" s="32">
        <v>0</v>
      </c>
      <c r="LR25" s="32">
        <v>0</v>
      </c>
      <c r="LS25" s="32">
        <v>0</v>
      </c>
      <c r="LT25" s="32">
        <v>0</v>
      </c>
      <c r="LU25" s="32">
        <v>0</v>
      </c>
      <c r="LV25" s="32">
        <v>0</v>
      </c>
      <c r="LW25" s="32">
        <v>0</v>
      </c>
      <c r="LX25" s="32">
        <v>0</v>
      </c>
    </row>
    <row r="26" spans="1:336" s="32" customFormat="1" ht="14.25" x14ac:dyDescent="0.2">
      <c r="A26" s="5">
        <v>20</v>
      </c>
      <c r="B26" s="27" t="s">
        <v>682</v>
      </c>
      <c r="C26" s="27" t="s">
        <v>381</v>
      </c>
      <c r="D26" s="27" t="s">
        <v>382</v>
      </c>
      <c r="E26" s="27" t="s">
        <v>381</v>
      </c>
      <c r="F26" s="28" t="s">
        <v>383</v>
      </c>
      <c r="G26" s="28" t="s">
        <v>384</v>
      </c>
      <c r="H26" s="29">
        <v>-1</v>
      </c>
      <c r="I26" s="30">
        <v>8.4600000000000009</v>
      </c>
      <c r="J26" s="31">
        <v>16.658972529333333</v>
      </c>
      <c r="K26" s="29" t="s">
        <v>385</v>
      </c>
      <c r="L26" s="16">
        <v>0</v>
      </c>
      <c r="M26" s="16">
        <v>2</v>
      </c>
      <c r="N26" s="27" t="s">
        <v>381</v>
      </c>
      <c r="O26" s="27">
        <v>0</v>
      </c>
      <c r="P26" s="27">
        <v>0</v>
      </c>
      <c r="Q26" s="27">
        <v>0</v>
      </c>
      <c r="R26" s="27">
        <v>0</v>
      </c>
      <c r="S26" s="27">
        <v>0</v>
      </c>
      <c r="T26" s="27">
        <v>25</v>
      </c>
      <c r="U26" s="27">
        <v>0</v>
      </c>
      <c r="V26" s="27">
        <v>25</v>
      </c>
      <c r="W26" s="27">
        <v>4</v>
      </c>
      <c r="X26" s="27" t="s">
        <v>381</v>
      </c>
      <c r="Y26" s="17">
        <v>588.37935740059993</v>
      </c>
      <c r="Z26" s="17">
        <v>570.36879740059987</v>
      </c>
      <c r="AA26" s="17">
        <v>596.4419174006</v>
      </c>
      <c r="AB26" s="17">
        <v>578.43135740059995</v>
      </c>
      <c r="AC26" s="17">
        <v>939.77817740060004</v>
      </c>
      <c r="AD26" s="17">
        <v>865.74139796820009</v>
      </c>
      <c r="AE26" s="17">
        <v>0</v>
      </c>
      <c r="AF26" s="17">
        <v>597.44952604819991</v>
      </c>
      <c r="AG26" s="17">
        <v>523.41274661579996</v>
      </c>
      <c r="AH26" s="17">
        <v>409.44093642279995</v>
      </c>
      <c r="AI26" s="17">
        <v>427.45150110679992</v>
      </c>
      <c r="AJ26" s="17">
        <v>0</v>
      </c>
      <c r="AK26" s="17">
        <v>0</v>
      </c>
      <c r="AL26" s="17">
        <v>693.72771796239999</v>
      </c>
      <c r="AM26" s="17">
        <v>247.0582794382</v>
      </c>
      <c r="AN26" s="17">
        <v>229.0477147542</v>
      </c>
      <c r="AO26" s="17">
        <v>0</v>
      </c>
      <c r="AP26" s="17">
        <v>0</v>
      </c>
      <c r="AQ26" s="17">
        <v>173.021500038</v>
      </c>
      <c r="AR26" s="17">
        <v>155.010935354</v>
      </c>
      <c r="AS26" s="32">
        <v>351.39907160999996</v>
      </c>
      <c r="AT26" s="32">
        <v>343.3364713524</v>
      </c>
      <c r="AU26" s="32">
        <v>55.0547752254</v>
      </c>
      <c r="AV26" s="32">
        <v>57.070425289800006</v>
      </c>
      <c r="AW26" s="32">
        <v>69.070425289799999</v>
      </c>
      <c r="AX26" s="32">
        <v>71.086075354200005</v>
      </c>
      <c r="AY26" s="32">
        <v>83.086075354200005</v>
      </c>
      <c r="AZ26" s="32">
        <v>85.101725418599997</v>
      </c>
      <c r="BA26" s="32">
        <v>97.101725418599997</v>
      </c>
      <c r="BB26" s="32">
        <v>99.117375483000004</v>
      </c>
      <c r="BC26" s="32">
        <v>111.117375483</v>
      </c>
      <c r="BD26" s="32">
        <v>113.13302554740001</v>
      </c>
      <c r="BE26" s="32">
        <v>125.13302554740001</v>
      </c>
      <c r="BF26" s="32">
        <v>127.1486756118</v>
      </c>
      <c r="BG26" s="32">
        <v>139.1486756118</v>
      </c>
      <c r="BH26" s="32">
        <v>141.16432567620001</v>
      </c>
      <c r="BI26" s="32">
        <v>153.16432567620001</v>
      </c>
      <c r="BJ26" s="32">
        <v>155.17997574060001</v>
      </c>
      <c r="BK26" s="32">
        <v>167.17997574060001</v>
      </c>
      <c r="BL26" s="32">
        <v>169.19562580499999</v>
      </c>
      <c r="BM26" s="32">
        <v>181.19562580499999</v>
      </c>
      <c r="BN26" s="32">
        <v>183.2112758694</v>
      </c>
      <c r="BO26" s="32">
        <v>195.2112758694</v>
      </c>
      <c r="BP26" s="32">
        <v>197.2269259338</v>
      </c>
      <c r="BQ26" s="32">
        <v>209.2269259338</v>
      </c>
      <c r="BR26" s="32">
        <v>211.24257599820001</v>
      </c>
      <c r="BS26" s="32">
        <v>223.24257599820001</v>
      </c>
      <c r="BT26" s="32">
        <v>225.25822606260002</v>
      </c>
      <c r="BU26" s="32">
        <v>237.25822606260002</v>
      </c>
      <c r="BV26" s="32">
        <v>239.27387612699999</v>
      </c>
      <c r="BW26" s="32">
        <v>251.27387612699999</v>
      </c>
      <c r="BX26" s="32">
        <v>253.2895261914</v>
      </c>
      <c r="BY26" s="32">
        <v>267.30517625580001</v>
      </c>
      <c r="BZ26" s="32">
        <v>281.32082632020001</v>
      </c>
      <c r="CA26" s="32">
        <v>295.33647638460002</v>
      </c>
      <c r="CB26" s="32">
        <v>0</v>
      </c>
      <c r="CC26" s="32">
        <v>0</v>
      </c>
      <c r="CD26" s="32">
        <v>0</v>
      </c>
      <c r="CE26" s="32">
        <v>0</v>
      </c>
      <c r="CF26" s="32">
        <v>0</v>
      </c>
      <c r="CG26" s="32">
        <v>0</v>
      </c>
      <c r="CH26" s="32">
        <v>0</v>
      </c>
      <c r="CI26" s="32">
        <v>0</v>
      </c>
      <c r="CJ26" s="32">
        <v>0</v>
      </c>
      <c r="CK26" s="32">
        <v>0</v>
      </c>
      <c r="CL26" s="32">
        <v>0</v>
      </c>
      <c r="CM26" s="32">
        <v>0</v>
      </c>
      <c r="CN26" s="32">
        <v>0</v>
      </c>
      <c r="CO26" s="32">
        <v>0</v>
      </c>
      <c r="CP26" s="32">
        <v>0</v>
      </c>
      <c r="CQ26" s="32">
        <v>0</v>
      </c>
      <c r="CR26" s="32">
        <v>0</v>
      </c>
      <c r="CS26" s="32">
        <v>0</v>
      </c>
      <c r="CT26" s="32">
        <v>0</v>
      </c>
      <c r="CU26" s="32">
        <v>0</v>
      </c>
      <c r="CV26" s="32">
        <v>0</v>
      </c>
      <c r="CW26" s="32">
        <v>0</v>
      </c>
      <c r="CX26" s="32">
        <v>0</v>
      </c>
      <c r="CY26" s="32">
        <v>0</v>
      </c>
      <c r="CZ26" s="32">
        <v>0</v>
      </c>
      <c r="DA26" s="32">
        <v>0</v>
      </c>
      <c r="DB26" s="32">
        <v>0</v>
      </c>
      <c r="DC26" s="32">
        <v>0</v>
      </c>
      <c r="DD26" s="32">
        <v>0</v>
      </c>
      <c r="DE26" s="32">
        <v>0</v>
      </c>
      <c r="DF26" s="32">
        <v>0</v>
      </c>
      <c r="DG26" s="32">
        <v>0</v>
      </c>
      <c r="DH26" s="32">
        <v>0</v>
      </c>
      <c r="DI26" s="32">
        <v>0</v>
      </c>
      <c r="DJ26" s="32">
        <v>0</v>
      </c>
      <c r="DK26" s="32">
        <v>55.0547752254</v>
      </c>
      <c r="DL26" s="32">
        <v>57.070425289800006</v>
      </c>
      <c r="DM26" s="32">
        <v>69.070425289799999</v>
      </c>
      <c r="DN26" s="32">
        <v>71.086075354200005</v>
      </c>
      <c r="DO26" s="32">
        <v>81.070425289799999</v>
      </c>
      <c r="DP26" s="32">
        <v>83.086075354200005</v>
      </c>
      <c r="DQ26" s="32">
        <v>85.101725418599997</v>
      </c>
      <c r="DR26" s="32">
        <v>95.086075354200005</v>
      </c>
      <c r="DS26" s="32">
        <v>97.101725418599997</v>
      </c>
      <c r="DT26" s="32">
        <v>99.117375483000004</v>
      </c>
      <c r="DU26" s="32">
        <v>109.1017254186</v>
      </c>
      <c r="DV26" s="32">
        <v>111.117375483</v>
      </c>
      <c r="DW26" s="32">
        <v>113.13302554740001</v>
      </c>
      <c r="DX26" s="32">
        <v>123.117375483</v>
      </c>
      <c r="DY26" s="32">
        <v>125.13302554740001</v>
      </c>
      <c r="DZ26" s="32">
        <v>137.1330255474</v>
      </c>
      <c r="EA26" s="32">
        <v>139.1486756118</v>
      </c>
      <c r="EB26" s="32">
        <v>149.1330255474</v>
      </c>
      <c r="EC26" s="32">
        <v>151.1486756118</v>
      </c>
      <c r="ED26" s="32">
        <v>153.16432567620001</v>
      </c>
      <c r="EE26" s="32">
        <v>163.1486756118</v>
      </c>
      <c r="EF26" s="32">
        <v>165.16432567620001</v>
      </c>
      <c r="EG26" s="32">
        <v>167.17997574060001</v>
      </c>
      <c r="EH26" s="32">
        <v>177.16432567620001</v>
      </c>
      <c r="EI26" s="32">
        <v>179.17997574060001</v>
      </c>
      <c r="EJ26" s="32">
        <v>181.19562580499999</v>
      </c>
      <c r="EK26" s="32">
        <v>191.17997574060001</v>
      </c>
      <c r="EL26" s="32">
        <v>193.19562580499999</v>
      </c>
      <c r="EM26" s="32">
        <v>205.19562580499999</v>
      </c>
      <c r="EN26" s="32">
        <v>207.2112758694</v>
      </c>
      <c r="EO26" s="32">
        <v>217.19562580499999</v>
      </c>
      <c r="EP26" s="32">
        <v>219.2112758694</v>
      </c>
      <c r="EQ26" s="32">
        <v>221.2269259338</v>
      </c>
      <c r="ER26" s="32">
        <v>231.2112758694</v>
      </c>
      <c r="ES26" s="32">
        <v>233.2269259338</v>
      </c>
      <c r="ET26" s="32">
        <v>235.24257599820001</v>
      </c>
      <c r="EU26" s="32">
        <v>245.2269259338</v>
      </c>
      <c r="EV26" s="32">
        <v>247.24257599820001</v>
      </c>
      <c r="EW26" s="32">
        <v>249.25822606260002</v>
      </c>
      <c r="EX26" s="32">
        <v>259.24257599819998</v>
      </c>
      <c r="EY26" s="32">
        <v>261.25822606259999</v>
      </c>
      <c r="EZ26" s="32">
        <v>273.25822606259999</v>
      </c>
      <c r="FA26" s="32">
        <v>275.27387612699999</v>
      </c>
      <c r="FB26" s="32">
        <v>287.27387612699999</v>
      </c>
      <c r="FC26" s="32">
        <v>289.2895261914</v>
      </c>
      <c r="FD26" s="32">
        <v>0</v>
      </c>
      <c r="FE26" s="32">
        <v>0</v>
      </c>
      <c r="FF26" s="32">
        <v>0</v>
      </c>
      <c r="FG26" s="32">
        <v>0</v>
      </c>
      <c r="FH26" s="32">
        <v>0</v>
      </c>
      <c r="FI26" s="32">
        <v>0</v>
      </c>
      <c r="FJ26" s="32">
        <v>0</v>
      </c>
      <c r="FK26" s="32">
        <v>0</v>
      </c>
      <c r="FL26" s="32">
        <v>0</v>
      </c>
      <c r="FM26" s="32">
        <v>0</v>
      </c>
      <c r="FN26" s="32">
        <v>0</v>
      </c>
      <c r="FO26" s="32">
        <v>0</v>
      </c>
      <c r="FP26" s="32">
        <v>0</v>
      </c>
      <c r="FQ26" s="32">
        <v>0</v>
      </c>
      <c r="FR26" s="32">
        <v>0</v>
      </c>
      <c r="FS26" s="32">
        <v>0</v>
      </c>
      <c r="FT26" s="32">
        <v>0</v>
      </c>
      <c r="FU26" s="32">
        <v>0</v>
      </c>
      <c r="FV26" s="32">
        <v>0</v>
      </c>
      <c r="FW26" s="32">
        <v>0</v>
      </c>
      <c r="FX26" s="32">
        <v>0</v>
      </c>
      <c r="FY26" s="32">
        <v>0</v>
      </c>
      <c r="FZ26" s="32">
        <v>0</v>
      </c>
      <c r="GA26" s="3">
        <v>19.683000000000003</v>
      </c>
      <c r="GB26" s="32">
        <v>1.9683000000000004</v>
      </c>
      <c r="GC26" s="32">
        <v>0</v>
      </c>
      <c r="GD26" s="32">
        <v>16.290125</v>
      </c>
      <c r="GE26" s="32">
        <v>5</v>
      </c>
      <c r="GF26" s="32">
        <v>6.5610000000000017</v>
      </c>
      <c r="GG26" s="32">
        <v>3.2805000000000009</v>
      </c>
      <c r="GH26" s="32">
        <v>0</v>
      </c>
      <c r="GI26" s="32">
        <v>0</v>
      </c>
      <c r="GJ26" s="32">
        <v>0</v>
      </c>
      <c r="GK26" s="32">
        <v>20.995200000000004</v>
      </c>
      <c r="GL26" s="32">
        <v>0</v>
      </c>
      <c r="GM26" s="32">
        <v>0</v>
      </c>
      <c r="GN26" s="32">
        <v>0</v>
      </c>
      <c r="GO26" s="32">
        <v>30</v>
      </c>
      <c r="GP26" s="32">
        <v>10</v>
      </c>
      <c r="GQ26" s="32">
        <v>2.2848800000000007</v>
      </c>
      <c r="GR26" s="32">
        <v>22.387279999999993</v>
      </c>
      <c r="GS26" s="32">
        <v>1</v>
      </c>
      <c r="GT26" s="32">
        <v>26</v>
      </c>
      <c r="GU26" s="32">
        <v>1.0268454372456677</v>
      </c>
      <c r="GV26" s="32">
        <v>51.049562682215743</v>
      </c>
      <c r="GW26" s="32">
        <v>1.429526995930682</v>
      </c>
      <c r="GX26" s="32">
        <v>91.396501457725947</v>
      </c>
      <c r="GY26" s="32">
        <v>3.1744804168990779</v>
      </c>
      <c r="GZ26" s="32">
        <v>2.3381924198250732</v>
      </c>
      <c r="HA26" s="32">
        <v>7.8724319348909129</v>
      </c>
      <c r="HB26" s="32">
        <v>4.1720116618075798</v>
      </c>
      <c r="HC26" s="32">
        <v>6.502453702972061</v>
      </c>
      <c r="HD26" s="32">
        <v>10.311044327573251</v>
      </c>
      <c r="HE26" s="32">
        <v>5.3278288569575425</v>
      </c>
      <c r="HF26" s="32">
        <v>13.772351615326819</v>
      </c>
      <c r="HG26" s="32">
        <v>4.333530213316255</v>
      </c>
      <c r="HH26" s="32">
        <v>18</v>
      </c>
      <c r="HI26" s="32">
        <v>3.5045305885170968</v>
      </c>
      <c r="HJ26" s="32">
        <v>13.772351615326819</v>
      </c>
      <c r="HK26" s="32">
        <v>2.8258027990289638</v>
      </c>
      <c r="HL26" s="32">
        <v>10.311044327573251</v>
      </c>
      <c r="HM26" s="32">
        <v>2.282319661320753</v>
      </c>
      <c r="HN26" s="32">
        <v>7.5394440270473329</v>
      </c>
      <c r="HO26" s="32">
        <v>1.859053991861364</v>
      </c>
      <c r="HP26" s="32">
        <v>5.3809166040570995</v>
      </c>
      <c r="HQ26" s="32">
        <v>1.5409786071196927</v>
      </c>
      <c r="HR26" s="32">
        <v>3.7588279489105929</v>
      </c>
      <c r="HS26" s="32">
        <v>1.3130663235646372</v>
      </c>
      <c r="HT26" s="32">
        <v>2.5965439519158533</v>
      </c>
      <c r="HU26" s="32">
        <v>1.1602899576650942</v>
      </c>
      <c r="HV26" s="32">
        <v>1.8174305033809166</v>
      </c>
      <c r="HW26" s="32">
        <v>1.3448534936138241</v>
      </c>
      <c r="HX26" s="32">
        <v>1.1021788129226144</v>
      </c>
      <c r="HY26" s="32">
        <v>1.0127723516153269</v>
      </c>
      <c r="HZ26" s="32">
        <v>0</v>
      </c>
      <c r="IA26" s="32">
        <v>0</v>
      </c>
      <c r="IB26" s="32">
        <v>0</v>
      </c>
      <c r="IC26" s="32">
        <v>0</v>
      </c>
      <c r="ID26" s="32">
        <v>0</v>
      </c>
      <c r="IE26" s="32">
        <v>0</v>
      </c>
      <c r="IF26" s="32">
        <v>0</v>
      </c>
      <c r="IG26" s="32">
        <v>0</v>
      </c>
      <c r="IH26" s="32">
        <v>0</v>
      </c>
      <c r="II26" s="32">
        <v>0</v>
      </c>
      <c r="IJ26" s="32">
        <v>0</v>
      </c>
      <c r="IK26" s="32">
        <v>0</v>
      </c>
      <c r="IL26" s="32">
        <v>0</v>
      </c>
      <c r="IM26" s="32">
        <v>0</v>
      </c>
      <c r="IN26" s="32">
        <v>0</v>
      </c>
      <c r="IO26" s="32">
        <v>0</v>
      </c>
      <c r="IP26" s="32">
        <v>0</v>
      </c>
      <c r="IQ26" s="32">
        <v>0</v>
      </c>
      <c r="IR26" s="32">
        <v>0</v>
      </c>
      <c r="IS26" s="32">
        <v>0</v>
      </c>
      <c r="IT26" s="32">
        <v>0</v>
      </c>
      <c r="IU26" s="32">
        <v>0</v>
      </c>
      <c r="IV26" s="32">
        <v>0</v>
      </c>
      <c r="IW26" s="32">
        <v>0</v>
      </c>
      <c r="IX26" s="32">
        <v>0</v>
      </c>
      <c r="IY26" s="32">
        <v>0</v>
      </c>
      <c r="IZ26" s="32">
        <v>0</v>
      </c>
      <c r="JA26" s="32">
        <v>0</v>
      </c>
      <c r="JB26" s="32">
        <v>0</v>
      </c>
      <c r="JC26" s="32">
        <v>0</v>
      </c>
      <c r="JD26" s="32">
        <v>0</v>
      </c>
      <c r="JE26" s="32">
        <v>0</v>
      </c>
      <c r="JF26" s="32">
        <v>0</v>
      </c>
      <c r="JG26" s="32">
        <v>0</v>
      </c>
      <c r="JH26" s="32">
        <v>0</v>
      </c>
      <c r="JI26" s="32">
        <v>1</v>
      </c>
      <c r="JJ26" s="32">
        <v>1.2</v>
      </c>
      <c r="JK26" s="32">
        <v>1.0759303628813179</v>
      </c>
      <c r="JL26" s="32">
        <v>1.4019825072886296</v>
      </c>
      <c r="JM26" s="32">
        <v>2.1425959183673466</v>
      </c>
      <c r="JN26" s="32">
        <v>2.2148858061010874</v>
      </c>
      <c r="JO26" s="32">
        <v>1.7358600583090378</v>
      </c>
      <c r="JP26" s="32">
        <v>5.8148897959183676</v>
      </c>
      <c r="JQ26" s="32">
        <v>12.004907405944122</v>
      </c>
      <c r="JR26" s="32">
        <v>1.053527696793003</v>
      </c>
      <c r="JS26" s="32">
        <v>27.122448979591834</v>
      </c>
      <c r="JT26" s="32">
        <v>14.744863869781826</v>
      </c>
      <c r="JU26" s="32">
        <v>1.2615777610818932</v>
      </c>
      <c r="JV26" s="32">
        <v>20.421159550867412</v>
      </c>
      <c r="JW26" s="32">
        <v>12.004907405944122</v>
      </c>
      <c r="JX26" s="32">
        <v>15.100247345918794</v>
      </c>
      <c r="JY26" s="32">
        <v>9.655657713915085</v>
      </c>
      <c r="JZ26" s="32">
        <v>8.6793221317257281</v>
      </c>
      <c r="KA26" s="32">
        <v>10.955715730690443</v>
      </c>
      <c r="KB26" s="32">
        <v>7.6670604266325109</v>
      </c>
      <c r="KC26" s="32">
        <v>6.2749865633253243</v>
      </c>
      <c r="KD26" s="32">
        <v>7.799887801851269</v>
      </c>
      <c r="KE26" s="32">
        <v>6.0090611770341935</v>
      </c>
      <c r="KF26" s="32">
        <v>4.5366971950474495</v>
      </c>
      <c r="KG26" s="32">
        <v>5.4614063867946152</v>
      </c>
      <c r="KH26" s="32">
        <v>4.6516055980579276</v>
      </c>
      <c r="KI26" s="32">
        <v>3.2799466950004925</v>
      </c>
      <c r="KJ26" s="32">
        <v>3.7852340436382792</v>
      </c>
      <c r="KK26" s="32">
        <v>3.3630233078926741</v>
      </c>
      <c r="KL26" s="32">
        <v>2.6326530612244898</v>
      </c>
      <c r="KM26" s="32">
        <v>2.7366529784681544</v>
      </c>
      <c r="KN26" s="32">
        <v>2.431402562193008</v>
      </c>
      <c r="KO26" s="32">
        <v>1.8812654591199247</v>
      </c>
      <c r="KP26" s="32">
        <v>1.9785486018085445</v>
      </c>
      <c r="KQ26" s="32">
        <v>1.757858295410716</v>
      </c>
      <c r="KR26" s="32">
        <v>1.4249929876157041</v>
      </c>
      <c r="KS26" s="32">
        <v>1.4304534044026951</v>
      </c>
      <c r="KT26" s="32">
        <v>1.2708984660924176</v>
      </c>
      <c r="KU26" s="32">
        <v>1.1740771277273925</v>
      </c>
      <c r="KV26" s="32">
        <v>1.0341908913922457</v>
      </c>
      <c r="KW26" s="32">
        <v>0.91883567369045505</v>
      </c>
      <c r="KX26" s="32">
        <v>0.8488356681528213</v>
      </c>
      <c r="KY26" s="32">
        <v>0.74770055182978368</v>
      </c>
      <c r="KZ26" s="32">
        <v>0.66430090032447897</v>
      </c>
      <c r="LA26" s="32">
        <v>0.61369221366498139</v>
      </c>
      <c r="LB26" s="32">
        <v>0</v>
      </c>
      <c r="LC26" s="32">
        <v>0</v>
      </c>
      <c r="LD26" s="32">
        <v>0</v>
      </c>
      <c r="LE26" s="32">
        <v>0</v>
      </c>
      <c r="LF26" s="32">
        <v>0</v>
      </c>
      <c r="LG26" s="32">
        <v>0</v>
      </c>
      <c r="LH26" s="32">
        <v>0</v>
      </c>
      <c r="LI26" s="32">
        <v>0</v>
      </c>
      <c r="LJ26" s="32">
        <v>0</v>
      </c>
      <c r="LK26" s="32">
        <v>0</v>
      </c>
      <c r="LL26" s="32">
        <v>0</v>
      </c>
      <c r="LM26" s="32">
        <v>0</v>
      </c>
      <c r="LN26" s="32">
        <v>0</v>
      </c>
      <c r="LO26" s="32">
        <v>0</v>
      </c>
      <c r="LP26" s="32">
        <v>0</v>
      </c>
      <c r="LQ26" s="32">
        <v>0</v>
      </c>
      <c r="LR26" s="32">
        <v>0</v>
      </c>
      <c r="LS26" s="32">
        <v>0</v>
      </c>
      <c r="LT26" s="32">
        <v>0</v>
      </c>
      <c r="LU26" s="32">
        <v>0</v>
      </c>
      <c r="LV26" s="32">
        <v>0</v>
      </c>
      <c r="LW26" s="32">
        <v>0</v>
      </c>
      <c r="LX26" s="32">
        <v>0</v>
      </c>
    </row>
  </sheetData>
  <phoneticPr fontId="9" type="noConversion"/>
  <conditionalFormatting sqref="E5">
    <cfRule type="containsText" dxfId="1" priority="1" operator="containsText" text="T">
      <formula>NOT(ISERROR(SEARCH("T",E5)))</formula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.75" right="0.75" top="1" bottom="1" header="0.5" footer="0.5"/>
  <pageSetup orientation="portrait" r:id="rId1"/>
  <headerFooter alignWithMargins="0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D9A88-9E61-46C4-8B12-0BBEACFEE91B}">
  <sheetPr codeName="Sheet107"/>
  <dimension ref="A1:LY26"/>
  <sheetViews>
    <sheetView zoomScaleNormal="100" workbookViewId="0">
      <pane ySplit="6" topLeftCell="A7" activePane="bottomLeft" state="frozen"/>
      <selection activeCell="K39" sqref="K39"/>
      <selection pane="bottomLeft" activeCell="F13" sqref="A7:LX26"/>
    </sheetView>
  </sheetViews>
  <sheetFormatPr defaultRowHeight="12.75" x14ac:dyDescent="0.2"/>
  <cols>
    <col min="1" max="1" width="5.5703125" style="1" bestFit="1" customWidth="1"/>
    <col min="2" max="2" width="10.85546875" style="1" bestFit="1" customWidth="1"/>
    <col min="3" max="3" width="6.5703125" style="1" bestFit="1" customWidth="1"/>
    <col min="4" max="4" width="8.85546875" style="1" bestFit="1" customWidth="1"/>
    <col min="5" max="5" width="7.42578125" style="1" bestFit="1" customWidth="1"/>
    <col min="6" max="6" width="5.85546875" style="1" bestFit="1" customWidth="1"/>
    <col min="7" max="7" width="7.140625" style="1" bestFit="1" customWidth="1"/>
    <col min="8" max="8" width="4.42578125" style="1" bestFit="1" customWidth="1"/>
    <col min="9" max="9" width="9.5703125" style="1" bestFit="1" customWidth="1"/>
    <col min="10" max="10" width="7.140625" style="1" bestFit="1" customWidth="1"/>
    <col min="11" max="11" width="8.85546875" style="1" bestFit="1" customWidth="1"/>
    <col min="12" max="12" width="7.140625" style="1" bestFit="1" customWidth="1"/>
    <col min="13" max="13" width="11.85546875" style="1" bestFit="1" customWidth="1"/>
    <col min="14" max="14" width="7.5703125" style="1" bestFit="1" customWidth="1"/>
    <col min="15" max="16" width="5.28515625" style="1" bestFit="1" customWidth="1"/>
    <col min="17" max="18" width="8.85546875" style="1" bestFit="1" customWidth="1"/>
    <col min="19" max="19" width="6.42578125" style="1" bestFit="1" customWidth="1"/>
    <col min="20" max="20" width="18.140625" style="1" bestFit="1" customWidth="1"/>
    <col min="21" max="21" width="18.42578125" style="1" bestFit="1" customWidth="1"/>
    <col min="22" max="22" width="18.140625" style="1" bestFit="1" customWidth="1"/>
    <col min="23" max="23" width="18.42578125" style="1" bestFit="1" customWidth="1"/>
    <col min="24" max="24" width="12.140625" style="1" bestFit="1" customWidth="1"/>
    <col min="25" max="25" width="13.42578125" bestFit="1" customWidth="1"/>
    <col min="26" max="26" width="10.5703125" bestFit="1" customWidth="1"/>
    <col min="27" max="27" width="13.42578125" bestFit="1" customWidth="1"/>
    <col min="28" max="28" width="10.5703125" bestFit="1" customWidth="1"/>
    <col min="29" max="29" width="22.85546875" bestFit="1" customWidth="1"/>
    <col min="30" max="30" width="10.5703125" bestFit="1" customWidth="1"/>
    <col min="31" max="31" width="17.5703125" bestFit="1" customWidth="1"/>
    <col min="32" max="32" width="10.5703125" bestFit="1" customWidth="1"/>
    <col min="33" max="33" width="16.42578125" bestFit="1" customWidth="1"/>
    <col min="34" max="34" width="23.5703125" bestFit="1" customWidth="1"/>
    <col min="35" max="35" width="24.5703125" bestFit="1" customWidth="1"/>
    <col min="36" max="36" width="14.5703125" bestFit="1" customWidth="1"/>
    <col min="37" max="37" width="11.5703125" bestFit="1" customWidth="1"/>
    <col min="38" max="38" width="10.5703125" bestFit="1" customWidth="1"/>
    <col min="39" max="39" width="8.28515625" bestFit="1" customWidth="1"/>
    <col min="40" max="40" width="9.85546875" bestFit="1" customWidth="1"/>
    <col min="41" max="41" width="11.5703125" bestFit="1" customWidth="1"/>
    <col min="42" max="43" width="10.5703125" bestFit="1" customWidth="1"/>
    <col min="44" max="44" width="13.7109375" bestFit="1" customWidth="1"/>
    <col min="45" max="46" width="10.5703125" bestFit="1" customWidth="1"/>
    <col min="47" max="52" width="9.42578125" bestFit="1" customWidth="1"/>
    <col min="53" max="83" width="10.5703125" bestFit="1" customWidth="1"/>
    <col min="84" max="114" width="8.28515625" bestFit="1" customWidth="1"/>
    <col min="115" max="120" width="9.42578125" bestFit="1" customWidth="1"/>
    <col min="121" max="171" width="10.5703125" bestFit="1" customWidth="1"/>
    <col min="172" max="182" width="8.28515625" bestFit="1" customWidth="1"/>
    <col min="183" max="183" width="24.7109375" bestFit="1" customWidth="1"/>
    <col min="184" max="184" width="12.140625" bestFit="1" customWidth="1"/>
    <col min="185" max="185" width="19.5703125" bestFit="1" customWidth="1"/>
    <col min="186" max="186" width="12.140625" bestFit="1" customWidth="1"/>
    <col min="187" max="187" width="18.42578125" bestFit="1" customWidth="1"/>
    <col min="188" max="188" width="25.5703125" bestFit="1" customWidth="1"/>
    <col min="189" max="189" width="26.5703125" bestFit="1" customWidth="1"/>
    <col min="190" max="190" width="12.42578125" bestFit="1" customWidth="1"/>
    <col min="191" max="191" width="13.5703125" bestFit="1" customWidth="1"/>
    <col min="192" max="192" width="9.85546875" bestFit="1" customWidth="1"/>
    <col min="193" max="193" width="10.5703125" bestFit="1" customWidth="1"/>
    <col min="194" max="194" width="11.85546875" bestFit="1" customWidth="1"/>
    <col min="195" max="196" width="13.5703125" bestFit="1" customWidth="1"/>
    <col min="197" max="197" width="11.140625" bestFit="1" customWidth="1"/>
    <col min="198" max="198" width="15.7109375" bestFit="1" customWidth="1"/>
    <col min="199" max="200" width="9.85546875" bestFit="1" customWidth="1"/>
    <col min="201" max="209" width="9.5703125" bestFit="1" customWidth="1"/>
    <col min="210" max="268" width="10.7109375" bestFit="1" customWidth="1"/>
    <col min="269" max="277" width="9.5703125" bestFit="1" customWidth="1"/>
    <col min="278" max="336" width="10.7109375" bestFit="1" customWidth="1"/>
    <col min="337" max="337" width="9.140625" customWidth="1"/>
  </cols>
  <sheetData>
    <row r="1" spans="1:337" s="3" customFormat="1" ht="14.25" x14ac:dyDescent="0.2">
      <c r="A1" s="5" t="s">
        <v>160</v>
      </c>
      <c r="B1" s="5">
        <f>(COUNTA(6:6)-28)/2</f>
        <v>154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337" s="3" customFormat="1" ht="14.25" x14ac:dyDescent="0.2">
      <c r="A2" s="3" t="s">
        <v>513</v>
      </c>
      <c r="B2" s="5" t="s">
        <v>492</v>
      </c>
      <c r="C2" s="5" t="str">
        <f>IFERROR(IF(VLOOKUP(B2&amp;"-Archaeol",Statistics!N:Q,2,FALSE)=0,"",VLOOKUP(B2&amp;"-Archaeol",Statistics!N:Q,2,FALSE)),"")</f>
        <v>Bale, N. J., et al. (2019). "New Insights Into the Polar Lipid Composition of Extremely Halo(alkali)philic Euryarchaea From Hypersaline Lakes." Frontiers in Microbiology 10.</v>
      </c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337" s="3" customFormat="1" ht="14.25" x14ac:dyDescent="0.2">
      <c r="A3" s="3" t="s">
        <v>514</v>
      </c>
      <c r="B3" s="5" t="s">
        <v>512</v>
      </c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</row>
    <row r="4" spans="1:337" s="3" customFormat="1" ht="14.25" x14ac:dyDescent="0.2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GA4" s="6"/>
      <c r="GB4" s="6"/>
      <c r="GC4" s="6"/>
      <c r="GD4" s="6"/>
      <c r="GE4" s="6"/>
      <c r="GF4" s="6"/>
      <c r="GG4" s="6"/>
      <c r="GH4" s="6"/>
      <c r="GI4" s="6"/>
      <c r="GJ4" s="6"/>
      <c r="GK4" s="6"/>
      <c r="GL4" s="6"/>
      <c r="GM4" s="6"/>
      <c r="GN4" s="6"/>
      <c r="GO4" s="6"/>
      <c r="GP4" s="6"/>
      <c r="GQ4" s="6"/>
      <c r="GR4" s="6"/>
      <c r="GS4" s="6"/>
      <c r="GT4" s="6"/>
      <c r="GU4" s="6"/>
      <c r="GV4" s="6"/>
      <c r="GW4" s="6"/>
      <c r="GX4" s="6"/>
      <c r="GY4" s="6"/>
      <c r="GZ4" s="6"/>
      <c r="HA4" s="6"/>
      <c r="HB4" s="6"/>
      <c r="HC4" s="6"/>
      <c r="HD4" s="6"/>
      <c r="HE4" s="6"/>
      <c r="HF4" s="6"/>
      <c r="HG4" s="6"/>
      <c r="HH4" s="6"/>
      <c r="HI4" s="6"/>
      <c r="HJ4" s="6"/>
      <c r="HK4" s="6"/>
      <c r="HL4" s="6"/>
      <c r="HM4" s="6"/>
      <c r="HN4" s="6"/>
      <c r="HO4" s="6"/>
      <c r="HP4" s="6"/>
      <c r="HQ4" s="6"/>
      <c r="HR4" s="6"/>
      <c r="HS4" s="6"/>
      <c r="HT4" s="6"/>
      <c r="HU4" s="6"/>
      <c r="HV4" s="6"/>
      <c r="HW4" s="6"/>
      <c r="HX4" s="6"/>
      <c r="HY4" s="6"/>
      <c r="HZ4" s="6"/>
      <c r="IA4" s="6"/>
      <c r="IB4" s="6"/>
      <c r="IC4" s="6"/>
      <c r="ID4" s="6"/>
      <c r="IE4" s="6"/>
      <c r="IF4" s="6"/>
      <c r="IG4" s="6"/>
      <c r="IH4" s="6"/>
      <c r="II4" s="6"/>
      <c r="IJ4" s="6"/>
      <c r="IK4" s="6"/>
      <c r="IL4" s="6"/>
      <c r="IM4" s="6"/>
      <c r="IN4" s="6"/>
      <c r="IO4" s="6"/>
      <c r="IP4" s="6"/>
      <c r="IQ4" s="6"/>
      <c r="IR4" s="6"/>
      <c r="IS4" s="6"/>
      <c r="IT4" s="6"/>
      <c r="IU4" s="6"/>
      <c r="IV4" s="6"/>
      <c r="IW4" s="6"/>
      <c r="IX4" s="6"/>
      <c r="IY4" s="6"/>
      <c r="IZ4" s="6"/>
      <c r="JA4" s="6"/>
      <c r="JB4" s="6"/>
      <c r="JC4" s="6"/>
      <c r="JD4" s="6"/>
      <c r="JE4" s="6"/>
      <c r="JF4" s="6"/>
      <c r="JG4" s="6"/>
      <c r="JH4" s="6"/>
      <c r="JI4" s="6"/>
      <c r="JJ4" s="6"/>
      <c r="JK4" s="6"/>
      <c r="JL4" s="6"/>
      <c r="JM4" s="6"/>
      <c r="JN4" s="6"/>
      <c r="JO4" s="6"/>
      <c r="JP4" s="6"/>
      <c r="JQ4" s="6"/>
      <c r="JR4" s="6"/>
      <c r="JS4" s="6"/>
      <c r="JT4" s="6"/>
      <c r="JU4" s="6"/>
      <c r="JV4" s="6"/>
      <c r="JW4" s="6"/>
      <c r="JX4" s="6"/>
      <c r="JY4" s="6"/>
      <c r="JZ4" s="6"/>
      <c r="KA4" s="6"/>
      <c r="KB4" s="6"/>
      <c r="KC4" s="6"/>
      <c r="KD4" s="6"/>
      <c r="KE4" s="6"/>
      <c r="KF4" s="6"/>
      <c r="KG4" s="6"/>
      <c r="KH4" s="6"/>
      <c r="KI4" s="6"/>
      <c r="KJ4" s="6"/>
      <c r="KK4" s="6"/>
      <c r="KL4" s="6"/>
      <c r="KM4" s="6"/>
      <c r="KN4" s="6"/>
      <c r="KO4" s="6"/>
      <c r="KP4" s="6"/>
      <c r="KQ4" s="6"/>
      <c r="KR4" s="6"/>
      <c r="KS4" s="6"/>
      <c r="KT4" s="6"/>
      <c r="KU4" s="6"/>
      <c r="KV4" s="6"/>
      <c r="KW4" s="6"/>
      <c r="KX4" s="6"/>
      <c r="KY4" s="6"/>
      <c r="KZ4" s="6"/>
      <c r="LA4" s="6"/>
      <c r="LB4" s="6"/>
      <c r="LC4" s="6"/>
      <c r="LD4" s="6"/>
      <c r="LE4" s="6"/>
      <c r="LF4" s="6"/>
      <c r="LG4" s="6"/>
      <c r="LH4" s="6"/>
      <c r="LI4" s="6"/>
      <c r="LJ4" s="6"/>
      <c r="LK4" s="6"/>
      <c r="LL4" s="6"/>
      <c r="LM4" s="6"/>
      <c r="LN4" s="6"/>
      <c r="LO4" s="6"/>
      <c r="LP4" s="6"/>
      <c r="LQ4" s="6"/>
      <c r="LR4" s="6"/>
      <c r="LS4" s="6"/>
      <c r="LT4" s="6"/>
      <c r="LU4" s="6"/>
      <c r="LV4" s="6"/>
      <c r="LW4" s="6"/>
      <c r="LX4" s="6"/>
    </row>
    <row r="5" spans="1:337" s="3" customFormat="1" ht="14.25" x14ac:dyDescent="0.2">
      <c r="A5" s="5"/>
      <c r="B5" s="5"/>
      <c r="C5" s="5"/>
      <c r="D5" s="5" t="str">
        <f>VLOOKUP(B2&amp;"-Archaeol",Statistics!N:Q,4,FALSE)</f>
        <v>C6H15O11PS</v>
      </c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GA5" s="6"/>
      <c r="GB5" s="6"/>
      <c r="GC5" s="6"/>
      <c r="GD5" s="6"/>
      <c r="GE5" s="6"/>
      <c r="GF5" s="6"/>
      <c r="GG5" s="6"/>
      <c r="GH5" s="6"/>
      <c r="GI5" s="6"/>
      <c r="GJ5" s="6"/>
      <c r="GK5" s="6"/>
      <c r="GL5" s="6"/>
      <c r="GM5" s="6"/>
      <c r="GN5" s="6"/>
      <c r="GO5" s="6"/>
      <c r="GP5" s="6"/>
      <c r="GQ5" s="6"/>
      <c r="GR5" s="6"/>
      <c r="GS5" s="6"/>
      <c r="GT5" s="6"/>
      <c r="GU5" s="6"/>
      <c r="GV5" s="6"/>
      <c r="GW5" s="6"/>
      <c r="GX5" s="6"/>
      <c r="GY5" s="6"/>
      <c r="GZ5" s="6"/>
      <c r="HA5" s="6"/>
      <c r="HB5" s="6"/>
      <c r="HC5" s="6"/>
      <c r="HD5" s="6"/>
      <c r="HE5" s="6"/>
      <c r="HF5" s="6"/>
      <c r="HG5" s="6"/>
      <c r="HH5" s="6"/>
      <c r="HI5" s="6"/>
      <c r="HJ5" s="6"/>
      <c r="HK5" s="6"/>
      <c r="HL5" s="6"/>
      <c r="HM5" s="6"/>
      <c r="HN5" s="6"/>
      <c r="HO5" s="6"/>
      <c r="HP5" s="6"/>
      <c r="HQ5" s="6"/>
      <c r="HR5" s="6"/>
      <c r="HS5" s="6"/>
      <c r="HT5" s="6"/>
      <c r="HU5" s="6"/>
      <c r="HV5" s="6"/>
      <c r="HW5" s="6"/>
      <c r="HX5" s="6"/>
      <c r="HY5" s="6"/>
      <c r="HZ5" s="6"/>
      <c r="IA5" s="6"/>
      <c r="IB5" s="6"/>
      <c r="IC5" s="6"/>
      <c r="ID5" s="6"/>
      <c r="IE5" s="6"/>
      <c r="IF5" s="6"/>
      <c r="IG5" s="6"/>
      <c r="IH5" s="6"/>
      <c r="II5" s="6"/>
      <c r="IJ5" s="6"/>
      <c r="IK5" s="6"/>
      <c r="IL5" s="6"/>
      <c r="IM5" s="6"/>
      <c r="IN5" s="6"/>
      <c r="IO5" s="6"/>
      <c r="IP5" s="6"/>
      <c r="IQ5" s="6"/>
      <c r="IR5" s="6"/>
      <c r="IS5" s="6"/>
      <c r="IT5" s="6"/>
      <c r="IU5" s="6"/>
      <c r="IV5" s="6"/>
      <c r="IW5" s="6"/>
      <c r="IX5" s="6"/>
      <c r="IY5" s="6"/>
      <c r="IZ5" s="6"/>
      <c r="JA5" s="6"/>
      <c r="JB5" s="6"/>
      <c r="JC5" s="6"/>
      <c r="JD5" s="6"/>
      <c r="JE5" s="6"/>
      <c r="JF5" s="6"/>
      <c r="JG5" s="6"/>
      <c r="JH5" s="6"/>
      <c r="JI5" s="6"/>
      <c r="JJ5" s="6"/>
      <c r="JK5" s="6"/>
      <c r="JL5" s="6"/>
      <c r="JM5" s="6"/>
      <c r="JN5" s="6"/>
      <c r="JO5" s="6"/>
      <c r="JP5" s="6"/>
      <c r="JQ5" s="6"/>
      <c r="JR5" s="6"/>
      <c r="JS5" s="6"/>
      <c r="JT5" s="6"/>
      <c r="JU5" s="6"/>
      <c r="JV5" s="6"/>
      <c r="JW5" s="6"/>
      <c r="JX5" s="6"/>
      <c r="JY5" s="6"/>
      <c r="JZ5" s="6"/>
      <c r="KA5" s="6"/>
      <c r="KB5" s="6"/>
      <c r="KC5" s="6"/>
      <c r="KD5" s="6"/>
      <c r="KE5" s="6"/>
      <c r="KF5" s="6"/>
      <c r="KG5" s="6"/>
      <c r="KH5" s="6"/>
      <c r="KI5" s="6"/>
      <c r="KJ5" s="6"/>
      <c r="KK5" s="6"/>
      <c r="KL5" s="6"/>
      <c r="KM5" s="6"/>
      <c r="KN5" s="6"/>
      <c r="KO5" s="6"/>
      <c r="KP5" s="6"/>
      <c r="KQ5" s="6"/>
      <c r="KR5" s="6"/>
      <c r="KS5" s="6"/>
      <c r="KT5" s="6"/>
      <c r="KU5" s="6"/>
      <c r="KV5" s="6"/>
      <c r="KW5" s="6"/>
      <c r="KX5" s="6"/>
      <c r="KY5" s="6"/>
      <c r="KZ5" s="6"/>
      <c r="LA5" s="6"/>
      <c r="LB5" s="6"/>
      <c r="LC5" s="6"/>
      <c r="LD5" s="6"/>
      <c r="LE5" s="6"/>
      <c r="LF5" s="6"/>
      <c r="LG5" s="6"/>
      <c r="LH5" s="6"/>
      <c r="LI5" s="6"/>
      <c r="LJ5" s="6"/>
      <c r="LK5" s="6"/>
      <c r="LL5" s="6"/>
      <c r="LM5" s="6"/>
      <c r="LN5" s="6"/>
      <c r="LO5" s="6"/>
      <c r="LP5" s="6"/>
      <c r="LQ5" s="6"/>
      <c r="LR5" s="6"/>
      <c r="LS5" s="6"/>
      <c r="LT5" s="6"/>
      <c r="LU5" s="6"/>
      <c r="LV5" s="6"/>
      <c r="LW5" s="6"/>
      <c r="LX5" s="6"/>
      <c r="LY5" s="6"/>
    </row>
    <row r="6" spans="1:337" s="26" customFormat="1" ht="15" x14ac:dyDescent="0.2">
      <c r="A6" s="18" t="s">
        <v>6</v>
      </c>
      <c r="B6" s="19" t="s">
        <v>7</v>
      </c>
      <c r="C6" s="19" t="s">
        <v>158</v>
      </c>
      <c r="D6" s="19" t="s">
        <v>8</v>
      </c>
      <c r="E6" s="19" t="s">
        <v>157</v>
      </c>
      <c r="F6" s="19" t="s">
        <v>507</v>
      </c>
      <c r="G6" s="19" t="s">
        <v>505</v>
      </c>
      <c r="H6" s="19" t="s">
        <v>511</v>
      </c>
      <c r="I6" s="19" t="s">
        <v>502</v>
      </c>
      <c r="J6" s="19" t="s">
        <v>161</v>
      </c>
      <c r="K6" s="19" t="s">
        <v>509</v>
      </c>
      <c r="L6" s="7" t="s">
        <v>227</v>
      </c>
      <c r="M6" s="19" t="s">
        <v>498</v>
      </c>
      <c r="N6" s="19" t="s">
        <v>198</v>
      </c>
      <c r="O6" s="19" t="s">
        <v>173</v>
      </c>
      <c r="P6" s="19" t="s">
        <v>174</v>
      </c>
      <c r="Q6" s="18" t="s">
        <v>175</v>
      </c>
      <c r="R6" s="19" t="s">
        <v>176</v>
      </c>
      <c r="S6" s="19" t="s">
        <v>9</v>
      </c>
      <c r="T6" s="19" t="s">
        <v>11</v>
      </c>
      <c r="U6" s="19" t="s">
        <v>13</v>
      </c>
      <c r="V6" s="19" t="s">
        <v>12</v>
      </c>
      <c r="W6" s="19" t="s">
        <v>14</v>
      </c>
      <c r="X6" s="19" t="s">
        <v>0</v>
      </c>
      <c r="Y6" s="20" t="s">
        <v>2</v>
      </c>
      <c r="Z6" s="20" t="s">
        <v>4</v>
      </c>
      <c r="AA6" s="20" t="s">
        <v>3</v>
      </c>
      <c r="AB6" s="20" t="s">
        <v>5</v>
      </c>
      <c r="AC6" s="21" t="s">
        <v>1</v>
      </c>
      <c r="AD6" s="21" t="s">
        <v>199</v>
      </c>
      <c r="AE6" s="21" t="s">
        <v>203</v>
      </c>
      <c r="AF6" s="22" t="s">
        <v>159</v>
      </c>
      <c r="AG6" s="22" t="s">
        <v>200</v>
      </c>
      <c r="AH6" s="22" t="s">
        <v>201</v>
      </c>
      <c r="AI6" s="22" t="s">
        <v>202</v>
      </c>
      <c r="AJ6" s="23" t="s">
        <v>497</v>
      </c>
      <c r="AK6" s="23" t="s">
        <v>207</v>
      </c>
      <c r="AL6" s="24" t="s">
        <v>155</v>
      </c>
      <c r="AM6" s="23" t="s">
        <v>17</v>
      </c>
      <c r="AN6" s="23" t="s">
        <v>18</v>
      </c>
      <c r="AO6" s="23" t="s">
        <v>208</v>
      </c>
      <c r="AP6" s="23" t="s">
        <v>496</v>
      </c>
      <c r="AQ6" s="23" t="s">
        <v>204</v>
      </c>
      <c r="AR6" s="23" t="s">
        <v>205</v>
      </c>
      <c r="AS6" s="25" t="s">
        <v>15</v>
      </c>
      <c r="AT6" s="25" t="s">
        <v>16</v>
      </c>
      <c r="AU6" s="25" t="s">
        <v>19</v>
      </c>
      <c r="AV6" s="25" t="s">
        <v>20</v>
      </c>
      <c r="AW6" s="25" t="s">
        <v>21</v>
      </c>
      <c r="AX6" s="25" t="s">
        <v>22</v>
      </c>
      <c r="AY6" s="25" t="s">
        <v>23</v>
      </c>
      <c r="AZ6" s="25" t="s">
        <v>24</v>
      </c>
      <c r="BA6" s="25" t="s">
        <v>25</v>
      </c>
      <c r="BB6" s="25" t="s">
        <v>26</v>
      </c>
      <c r="BC6" s="25" t="s">
        <v>27</v>
      </c>
      <c r="BD6" s="25" t="s">
        <v>28</v>
      </c>
      <c r="BE6" s="25" t="s">
        <v>29</v>
      </c>
      <c r="BF6" s="25" t="s">
        <v>30</v>
      </c>
      <c r="BG6" s="25" t="s">
        <v>31</v>
      </c>
      <c r="BH6" s="25" t="s">
        <v>32</v>
      </c>
      <c r="BI6" s="25" t="s">
        <v>33</v>
      </c>
      <c r="BJ6" s="25" t="s">
        <v>34</v>
      </c>
      <c r="BK6" s="25" t="s">
        <v>35</v>
      </c>
      <c r="BL6" s="25" t="s">
        <v>36</v>
      </c>
      <c r="BM6" s="25" t="s">
        <v>37</v>
      </c>
      <c r="BN6" s="25" t="s">
        <v>38</v>
      </c>
      <c r="BO6" s="25" t="s">
        <v>39</v>
      </c>
      <c r="BP6" s="25" t="s">
        <v>40</v>
      </c>
      <c r="BQ6" s="25" t="s">
        <v>41</v>
      </c>
      <c r="BR6" s="25" t="s">
        <v>42</v>
      </c>
      <c r="BS6" s="25" t="s">
        <v>43</v>
      </c>
      <c r="BT6" s="25" t="s">
        <v>44</v>
      </c>
      <c r="BU6" s="25" t="s">
        <v>45</v>
      </c>
      <c r="BV6" s="25" t="s">
        <v>46</v>
      </c>
      <c r="BW6" s="25" t="s">
        <v>47</v>
      </c>
      <c r="BX6" s="25" t="s">
        <v>48</v>
      </c>
      <c r="BY6" s="25" t="s">
        <v>49</v>
      </c>
      <c r="BZ6" s="25" t="s">
        <v>50</v>
      </c>
      <c r="CA6" s="25" t="s">
        <v>51</v>
      </c>
      <c r="CB6" s="25" t="s">
        <v>52</v>
      </c>
      <c r="CC6" s="25" t="s">
        <v>53</v>
      </c>
      <c r="CD6" s="25" t="s">
        <v>54</v>
      </c>
      <c r="CE6" s="25" t="s">
        <v>55</v>
      </c>
      <c r="CF6" s="25" t="s">
        <v>56</v>
      </c>
      <c r="CG6" s="25" t="s">
        <v>57</v>
      </c>
      <c r="CH6" s="25" t="s">
        <v>58</v>
      </c>
      <c r="CI6" s="25" t="s">
        <v>59</v>
      </c>
      <c r="CJ6" s="25" t="s">
        <v>60</v>
      </c>
      <c r="CK6" s="25" t="s">
        <v>61</v>
      </c>
      <c r="CL6" s="25" t="s">
        <v>62</v>
      </c>
      <c r="CM6" s="25" t="s">
        <v>63</v>
      </c>
      <c r="CN6" s="25" t="s">
        <v>64</v>
      </c>
      <c r="CO6" s="25" t="s">
        <v>65</v>
      </c>
      <c r="CP6" s="25" t="s">
        <v>66</v>
      </c>
      <c r="CQ6" s="25" t="s">
        <v>67</v>
      </c>
      <c r="CR6" s="25" t="s">
        <v>68</v>
      </c>
      <c r="CS6" s="25" t="s">
        <v>69</v>
      </c>
      <c r="CT6" s="25" t="s">
        <v>70</v>
      </c>
      <c r="CU6" s="25" t="s">
        <v>71</v>
      </c>
      <c r="CV6" s="25" t="s">
        <v>72</v>
      </c>
      <c r="CW6" s="25" t="s">
        <v>73</v>
      </c>
      <c r="CX6" s="25" t="s">
        <v>74</v>
      </c>
      <c r="CY6" s="25" t="s">
        <v>75</v>
      </c>
      <c r="CZ6" s="25" t="s">
        <v>76</v>
      </c>
      <c r="DA6" s="25" t="s">
        <v>77</v>
      </c>
      <c r="DB6" s="25" t="s">
        <v>78</v>
      </c>
      <c r="DC6" s="25" t="s">
        <v>79</v>
      </c>
      <c r="DD6" s="25" t="s">
        <v>80</v>
      </c>
      <c r="DE6" s="25" t="s">
        <v>81</v>
      </c>
      <c r="DF6" s="25" t="s">
        <v>82</v>
      </c>
      <c r="DG6" s="25" t="s">
        <v>83</v>
      </c>
      <c r="DH6" s="25" t="s">
        <v>84</v>
      </c>
      <c r="DI6" s="25" t="s">
        <v>85</v>
      </c>
      <c r="DJ6" s="25" t="s">
        <v>86</v>
      </c>
      <c r="DK6" s="25" t="s">
        <v>87</v>
      </c>
      <c r="DL6" s="25" t="s">
        <v>88</v>
      </c>
      <c r="DM6" s="25" t="s">
        <v>89</v>
      </c>
      <c r="DN6" s="25" t="s">
        <v>90</v>
      </c>
      <c r="DO6" s="25" t="s">
        <v>91</v>
      </c>
      <c r="DP6" s="25" t="s">
        <v>92</v>
      </c>
      <c r="DQ6" s="25" t="s">
        <v>93</v>
      </c>
      <c r="DR6" s="25" t="s">
        <v>94</v>
      </c>
      <c r="DS6" s="25" t="s">
        <v>95</v>
      </c>
      <c r="DT6" s="25" t="s">
        <v>96</v>
      </c>
      <c r="DU6" s="25" t="s">
        <v>97</v>
      </c>
      <c r="DV6" s="25" t="s">
        <v>98</v>
      </c>
      <c r="DW6" s="25" t="s">
        <v>99</v>
      </c>
      <c r="DX6" s="25" t="s">
        <v>100</v>
      </c>
      <c r="DY6" s="25" t="s">
        <v>101</v>
      </c>
      <c r="DZ6" s="25" t="s">
        <v>102</v>
      </c>
      <c r="EA6" s="25" t="s">
        <v>103</v>
      </c>
      <c r="EB6" s="25" t="s">
        <v>104</v>
      </c>
      <c r="EC6" s="25" t="s">
        <v>105</v>
      </c>
      <c r="ED6" s="25" t="s">
        <v>106</v>
      </c>
      <c r="EE6" s="25" t="s">
        <v>107</v>
      </c>
      <c r="EF6" s="25" t="s">
        <v>108</v>
      </c>
      <c r="EG6" s="25" t="s">
        <v>109</v>
      </c>
      <c r="EH6" s="25" t="s">
        <v>110</v>
      </c>
      <c r="EI6" s="25" t="s">
        <v>111</v>
      </c>
      <c r="EJ6" s="25" t="s">
        <v>112</v>
      </c>
      <c r="EK6" s="25" t="s">
        <v>113</v>
      </c>
      <c r="EL6" s="25" t="s">
        <v>114</v>
      </c>
      <c r="EM6" s="25" t="s">
        <v>115</v>
      </c>
      <c r="EN6" s="25" t="s">
        <v>116</v>
      </c>
      <c r="EO6" s="25" t="s">
        <v>117</v>
      </c>
      <c r="EP6" s="25" t="s">
        <v>118</v>
      </c>
      <c r="EQ6" s="25" t="s">
        <v>119</v>
      </c>
      <c r="ER6" s="25" t="s">
        <v>120</v>
      </c>
      <c r="ES6" s="25" t="s">
        <v>121</v>
      </c>
      <c r="ET6" s="25" t="s">
        <v>122</v>
      </c>
      <c r="EU6" s="25" t="s">
        <v>123</v>
      </c>
      <c r="EV6" s="25" t="s">
        <v>124</v>
      </c>
      <c r="EW6" s="25" t="s">
        <v>125</v>
      </c>
      <c r="EX6" s="25" t="s">
        <v>126</v>
      </c>
      <c r="EY6" s="25" t="s">
        <v>127</v>
      </c>
      <c r="EZ6" s="25" t="s">
        <v>128</v>
      </c>
      <c r="FA6" s="25" t="s">
        <v>129</v>
      </c>
      <c r="FB6" s="25" t="s">
        <v>130</v>
      </c>
      <c r="FC6" s="25" t="s">
        <v>131</v>
      </c>
      <c r="FD6" s="25" t="s">
        <v>132</v>
      </c>
      <c r="FE6" s="25" t="s">
        <v>133</v>
      </c>
      <c r="FF6" s="25" t="s">
        <v>134</v>
      </c>
      <c r="FG6" s="25" t="s">
        <v>135</v>
      </c>
      <c r="FH6" s="25" t="s">
        <v>136</v>
      </c>
      <c r="FI6" s="25" t="s">
        <v>137</v>
      </c>
      <c r="FJ6" s="25" t="s">
        <v>138</v>
      </c>
      <c r="FK6" s="25" t="s">
        <v>139</v>
      </c>
      <c r="FL6" s="25" t="s">
        <v>140</v>
      </c>
      <c r="FM6" s="25" t="s">
        <v>141</v>
      </c>
      <c r="FN6" s="25" t="s">
        <v>142</v>
      </c>
      <c r="FO6" s="25" t="s">
        <v>143</v>
      </c>
      <c r="FP6" s="25" t="s">
        <v>144</v>
      </c>
      <c r="FQ6" s="25" t="s">
        <v>145</v>
      </c>
      <c r="FR6" s="25" t="s">
        <v>146</v>
      </c>
      <c r="FS6" s="25" t="s">
        <v>147</v>
      </c>
      <c r="FT6" s="25" t="s">
        <v>148</v>
      </c>
      <c r="FU6" s="25" t="s">
        <v>149</v>
      </c>
      <c r="FV6" s="25" t="s">
        <v>150</v>
      </c>
      <c r="FW6" s="25" t="s">
        <v>151</v>
      </c>
      <c r="FX6" s="25" t="s">
        <v>152</v>
      </c>
      <c r="FY6" s="25" t="s">
        <v>153</v>
      </c>
      <c r="FZ6" s="25" t="s">
        <v>154</v>
      </c>
      <c r="GA6" s="6" t="s">
        <v>210</v>
      </c>
      <c r="GB6" s="6" t="s">
        <v>211</v>
      </c>
      <c r="GC6" s="6" t="s">
        <v>212</v>
      </c>
      <c r="GD6" s="6" t="s">
        <v>213</v>
      </c>
      <c r="GE6" s="6" t="s">
        <v>214</v>
      </c>
      <c r="GF6" s="6" t="s">
        <v>215</v>
      </c>
      <c r="GG6" s="6" t="s">
        <v>216</v>
      </c>
      <c r="GH6" s="6" t="s">
        <v>515</v>
      </c>
      <c r="GI6" s="6" t="s">
        <v>218</v>
      </c>
      <c r="GJ6" s="6" t="s">
        <v>219</v>
      </c>
      <c r="GK6" s="6" t="s">
        <v>220</v>
      </c>
      <c r="GL6" s="6" t="s">
        <v>221</v>
      </c>
      <c r="GM6" s="6" t="s">
        <v>222</v>
      </c>
      <c r="GN6" s="6" t="s">
        <v>654</v>
      </c>
      <c r="GO6" s="6" t="s">
        <v>224</v>
      </c>
      <c r="GP6" s="6" t="s">
        <v>225</v>
      </c>
      <c r="GQ6" s="26" t="s">
        <v>516</v>
      </c>
      <c r="GR6" s="26" t="s">
        <v>517</v>
      </c>
      <c r="GS6" s="26" t="s">
        <v>518</v>
      </c>
      <c r="GT6" s="26" t="s">
        <v>519</v>
      </c>
      <c r="GU6" s="26" t="s">
        <v>520</v>
      </c>
      <c r="GV6" s="26" t="s">
        <v>521</v>
      </c>
      <c r="GW6" s="26" t="s">
        <v>522</v>
      </c>
      <c r="GX6" s="26" t="s">
        <v>523</v>
      </c>
      <c r="GY6" s="26" t="s">
        <v>524</v>
      </c>
      <c r="GZ6" s="26" t="s">
        <v>525</v>
      </c>
      <c r="HA6" s="26" t="s">
        <v>526</v>
      </c>
      <c r="HB6" s="26" t="s">
        <v>527</v>
      </c>
      <c r="HC6" s="26" t="s">
        <v>528</v>
      </c>
      <c r="HD6" s="26" t="s">
        <v>529</v>
      </c>
      <c r="HE6" s="26" t="s">
        <v>530</v>
      </c>
      <c r="HF6" s="26" t="s">
        <v>531</v>
      </c>
      <c r="HG6" s="26" t="s">
        <v>532</v>
      </c>
      <c r="HH6" s="26" t="s">
        <v>533</v>
      </c>
      <c r="HI6" s="26" t="s">
        <v>534</v>
      </c>
      <c r="HJ6" s="26" t="s">
        <v>535</v>
      </c>
      <c r="HK6" s="26" t="s">
        <v>536</v>
      </c>
      <c r="HL6" s="26" t="s">
        <v>537</v>
      </c>
      <c r="HM6" s="26" t="s">
        <v>538</v>
      </c>
      <c r="HN6" s="26" t="s">
        <v>539</v>
      </c>
      <c r="HO6" s="26" t="s">
        <v>540</v>
      </c>
      <c r="HP6" s="26" t="s">
        <v>541</v>
      </c>
      <c r="HQ6" s="26" t="s">
        <v>542</v>
      </c>
      <c r="HR6" s="26" t="s">
        <v>543</v>
      </c>
      <c r="HS6" s="26" t="s">
        <v>544</v>
      </c>
      <c r="HT6" s="26" t="s">
        <v>545</v>
      </c>
      <c r="HU6" s="26" t="s">
        <v>546</v>
      </c>
      <c r="HV6" s="26" t="s">
        <v>547</v>
      </c>
      <c r="HW6" s="26" t="s">
        <v>548</v>
      </c>
      <c r="HX6" s="26" t="s">
        <v>549</v>
      </c>
      <c r="HY6" s="26" t="s">
        <v>550</v>
      </c>
      <c r="HZ6" s="26" t="s">
        <v>551</v>
      </c>
      <c r="IA6" s="26" t="s">
        <v>552</v>
      </c>
      <c r="IB6" s="26" t="s">
        <v>553</v>
      </c>
      <c r="IC6" s="26" t="s">
        <v>554</v>
      </c>
      <c r="ID6" s="26" t="s">
        <v>555</v>
      </c>
      <c r="IE6" s="26" t="s">
        <v>556</v>
      </c>
      <c r="IF6" s="26" t="s">
        <v>557</v>
      </c>
      <c r="IG6" s="26" t="s">
        <v>558</v>
      </c>
      <c r="IH6" s="26" t="s">
        <v>559</v>
      </c>
      <c r="II6" s="26" t="s">
        <v>560</v>
      </c>
      <c r="IJ6" s="26" t="s">
        <v>561</v>
      </c>
      <c r="IK6" s="26" t="s">
        <v>562</v>
      </c>
      <c r="IL6" s="26" t="s">
        <v>563</v>
      </c>
      <c r="IM6" s="26" t="s">
        <v>564</v>
      </c>
      <c r="IN6" s="26" t="s">
        <v>565</v>
      </c>
      <c r="IO6" s="26" t="s">
        <v>566</v>
      </c>
      <c r="IP6" s="26" t="s">
        <v>567</v>
      </c>
      <c r="IQ6" s="26" t="s">
        <v>568</v>
      </c>
      <c r="IR6" s="26" t="s">
        <v>569</v>
      </c>
      <c r="IS6" s="26" t="s">
        <v>570</v>
      </c>
      <c r="IT6" s="26" t="s">
        <v>571</v>
      </c>
      <c r="IU6" s="26" t="s">
        <v>572</v>
      </c>
      <c r="IV6" s="26" t="s">
        <v>573</v>
      </c>
      <c r="IW6" s="26" t="s">
        <v>574</v>
      </c>
      <c r="IX6" s="26" t="s">
        <v>575</v>
      </c>
      <c r="IY6" s="26" t="s">
        <v>576</v>
      </c>
      <c r="IZ6" s="26" t="s">
        <v>577</v>
      </c>
      <c r="JA6" s="26" t="s">
        <v>578</v>
      </c>
      <c r="JB6" s="26" t="s">
        <v>579</v>
      </c>
      <c r="JC6" s="26" t="s">
        <v>580</v>
      </c>
      <c r="JD6" s="26" t="s">
        <v>581</v>
      </c>
      <c r="JE6" s="26" t="s">
        <v>582</v>
      </c>
      <c r="JF6" s="26" t="s">
        <v>583</v>
      </c>
      <c r="JG6" s="26" t="s">
        <v>584</v>
      </c>
      <c r="JH6" s="26" t="s">
        <v>585</v>
      </c>
      <c r="JI6" s="26" t="s">
        <v>586</v>
      </c>
      <c r="JJ6" s="26" t="s">
        <v>587</v>
      </c>
      <c r="JK6" s="26" t="s">
        <v>588</v>
      </c>
      <c r="JL6" s="26" t="s">
        <v>589</v>
      </c>
      <c r="JM6" s="26" t="s">
        <v>590</v>
      </c>
      <c r="JN6" s="26" t="s">
        <v>591</v>
      </c>
      <c r="JO6" s="26" t="s">
        <v>592</v>
      </c>
      <c r="JP6" s="26" t="s">
        <v>593</v>
      </c>
      <c r="JQ6" s="26" t="s">
        <v>594</v>
      </c>
      <c r="JR6" s="26" t="s">
        <v>595</v>
      </c>
      <c r="JS6" s="26" t="s">
        <v>596</v>
      </c>
      <c r="JT6" s="26" t="s">
        <v>597</v>
      </c>
      <c r="JU6" s="26" t="s">
        <v>598</v>
      </c>
      <c r="JV6" s="26" t="s">
        <v>599</v>
      </c>
      <c r="JW6" s="26" t="s">
        <v>600</v>
      </c>
      <c r="JX6" s="26" t="s">
        <v>601</v>
      </c>
      <c r="JY6" s="26" t="s">
        <v>602</v>
      </c>
      <c r="JZ6" s="26" t="s">
        <v>603</v>
      </c>
      <c r="KA6" s="26" t="s">
        <v>604</v>
      </c>
      <c r="KB6" s="26" t="s">
        <v>605</v>
      </c>
      <c r="KC6" s="26" t="s">
        <v>606</v>
      </c>
      <c r="KD6" s="26" t="s">
        <v>607</v>
      </c>
      <c r="KE6" s="26" t="s">
        <v>608</v>
      </c>
      <c r="KF6" s="26" t="s">
        <v>609</v>
      </c>
      <c r="KG6" s="26" t="s">
        <v>610</v>
      </c>
      <c r="KH6" s="26" t="s">
        <v>611</v>
      </c>
      <c r="KI6" s="26" t="s">
        <v>612</v>
      </c>
      <c r="KJ6" s="26" t="s">
        <v>613</v>
      </c>
      <c r="KK6" s="26" t="s">
        <v>614</v>
      </c>
      <c r="KL6" s="26" t="s">
        <v>615</v>
      </c>
      <c r="KM6" s="26" t="s">
        <v>616</v>
      </c>
      <c r="KN6" s="26" t="s">
        <v>617</v>
      </c>
      <c r="KO6" s="26" t="s">
        <v>618</v>
      </c>
      <c r="KP6" s="26" t="s">
        <v>619</v>
      </c>
      <c r="KQ6" s="26" t="s">
        <v>620</v>
      </c>
      <c r="KR6" s="26" t="s">
        <v>621</v>
      </c>
      <c r="KS6" s="26" t="s">
        <v>622</v>
      </c>
      <c r="KT6" s="26" t="s">
        <v>623</v>
      </c>
      <c r="KU6" s="26" t="s">
        <v>624</v>
      </c>
      <c r="KV6" s="26" t="s">
        <v>625</v>
      </c>
      <c r="KW6" s="26" t="s">
        <v>626</v>
      </c>
      <c r="KX6" s="26" t="s">
        <v>627</v>
      </c>
      <c r="KY6" s="26" t="s">
        <v>628</v>
      </c>
      <c r="KZ6" s="26" t="s">
        <v>629</v>
      </c>
      <c r="LA6" s="26" t="s">
        <v>630</v>
      </c>
      <c r="LB6" s="26" t="s">
        <v>631</v>
      </c>
      <c r="LC6" s="26" t="s">
        <v>632</v>
      </c>
      <c r="LD6" s="26" t="s">
        <v>633</v>
      </c>
      <c r="LE6" s="26" t="s">
        <v>634</v>
      </c>
      <c r="LF6" s="26" t="s">
        <v>635</v>
      </c>
      <c r="LG6" s="26" t="s">
        <v>636</v>
      </c>
      <c r="LH6" s="26" t="s">
        <v>637</v>
      </c>
      <c r="LI6" s="26" t="s">
        <v>638</v>
      </c>
      <c r="LJ6" s="26" t="s">
        <v>639</v>
      </c>
      <c r="LK6" s="26" t="s">
        <v>640</v>
      </c>
      <c r="LL6" s="26" t="s">
        <v>641</v>
      </c>
      <c r="LM6" s="26" t="s">
        <v>642</v>
      </c>
      <c r="LN6" s="26" t="s">
        <v>643</v>
      </c>
      <c r="LO6" s="26" t="s">
        <v>644</v>
      </c>
      <c r="LP6" s="26" t="s">
        <v>645</v>
      </c>
      <c r="LQ6" s="26" t="s">
        <v>646</v>
      </c>
      <c r="LR6" s="26" t="s">
        <v>647</v>
      </c>
      <c r="LS6" s="26" t="s">
        <v>648</v>
      </c>
      <c r="LT6" s="26" t="s">
        <v>649</v>
      </c>
      <c r="LU6" s="26" t="s">
        <v>650</v>
      </c>
      <c r="LV6" s="26" t="s">
        <v>651</v>
      </c>
      <c r="LW6" s="26" t="s">
        <v>652</v>
      </c>
      <c r="LX6" s="26" t="s">
        <v>653</v>
      </c>
    </row>
    <row r="7" spans="1:337" s="32" customFormat="1" ht="14.25" x14ac:dyDescent="0.2">
      <c r="A7" s="5">
        <v>1</v>
      </c>
      <c r="B7" s="27" t="s">
        <v>655</v>
      </c>
      <c r="C7" s="27" t="s">
        <v>386</v>
      </c>
      <c r="D7" s="27" t="s">
        <v>387</v>
      </c>
      <c r="E7" s="27" t="s">
        <v>386</v>
      </c>
      <c r="F7" s="28" t="s">
        <v>388</v>
      </c>
      <c r="G7" s="28" t="s">
        <v>389</v>
      </c>
      <c r="H7" s="29">
        <v>-1</v>
      </c>
      <c r="I7" s="30">
        <v>2.33</v>
      </c>
      <c r="J7" s="31">
        <v>12.261779000633398</v>
      </c>
      <c r="K7" s="29" t="s">
        <v>390</v>
      </c>
      <c r="L7" s="16">
        <v>0</v>
      </c>
      <c r="M7" s="16">
        <v>2</v>
      </c>
      <c r="N7" s="27" t="s">
        <v>386</v>
      </c>
      <c r="O7" s="27">
        <v>0</v>
      </c>
      <c r="P7" s="27">
        <v>0</v>
      </c>
      <c r="Q7" s="27">
        <v>0</v>
      </c>
      <c r="R7" s="27">
        <v>0</v>
      </c>
      <c r="S7" s="27">
        <v>0</v>
      </c>
      <c r="T7" s="27">
        <v>20</v>
      </c>
      <c r="U7" s="27">
        <v>0</v>
      </c>
      <c r="V7" s="27">
        <v>20</v>
      </c>
      <c r="W7" s="27">
        <v>0</v>
      </c>
      <c r="X7" s="27" t="s">
        <v>386</v>
      </c>
      <c r="Y7" s="17">
        <v>606.32047204660012</v>
      </c>
      <c r="Z7" s="17">
        <v>588.30991204660006</v>
      </c>
      <c r="AA7" s="17">
        <v>606.32047204660012</v>
      </c>
      <c r="AB7" s="17">
        <v>588.30991204660006</v>
      </c>
      <c r="AC7" s="17">
        <v>887.64109204660008</v>
      </c>
      <c r="AD7" s="17">
        <v>733.64749758180005</v>
      </c>
      <c r="AE7" s="17">
        <v>807.68427701420012</v>
      </c>
      <c r="AF7" s="17">
        <v>527.3712757262</v>
      </c>
      <c r="AG7" s="17">
        <v>453.33449629379999</v>
      </c>
      <c r="AH7" s="17">
        <v>339.36268610079998</v>
      </c>
      <c r="AI7" s="17">
        <v>357.37325078479995</v>
      </c>
      <c r="AJ7" s="17">
        <v>509.36071104220002</v>
      </c>
      <c r="AK7" s="17">
        <v>0</v>
      </c>
      <c r="AL7" s="17">
        <v>0</v>
      </c>
      <c r="AM7" s="17">
        <v>0</v>
      </c>
      <c r="AN7" s="17">
        <v>0</v>
      </c>
      <c r="AO7" s="17">
        <v>0</v>
      </c>
      <c r="AP7" s="17">
        <v>252.97831503820004</v>
      </c>
      <c r="AQ7" s="17">
        <v>173.021500038</v>
      </c>
      <c r="AR7" s="17">
        <v>155.010935354</v>
      </c>
      <c r="AS7" s="32">
        <v>281.32082128799999</v>
      </c>
      <c r="AT7" s="32">
        <v>281.32082128799999</v>
      </c>
      <c r="AU7" s="32">
        <v>55.0547752254</v>
      </c>
      <c r="AV7" s="32">
        <v>57.070425289800006</v>
      </c>
      <c r="AW7" s="32">
        <v>69.070425289799999</v>
      </c>
      <c r="AX7" s="32">
        <v>71.086075354200005</v>
      </c>
      <c r="AY7" s="32">
        <v>83.086075354200005</v>
      </c>
      <c r="AZ7" s="32">
        <v>85.101725418599997</v>
      </c>
      <c r="BA7" s="32">
        <v>97.101725418599997</v>
      </c>
      <c r="BB7" s="32">
        <v>99.117375483000004</v>
      </c>
      <c r="BC7" s="32">
        <v>111.117375483</v>
      </c>
      <c r="BD7" s="32">
        <v>113.13302554740001</v>
      </c>
      <c r="BE7" s="32">
        <v>125.13302554740001</v>
      </c>
      <c r="BF7" s="32">
        <v>127.1486756118</v>
      </c>
      <c r="BG7" s="32">
        <v>139.1486756118</v>
      </c>
      <c r="BH7" s="32">
        <v>141.16432567620001</v>
      </c>
      <c r="BI7" s="32">
        <v>153.16432567620001</v>
      </c>
      <c r="BJ7" s="32">
        <v>155.17997574060001</v>
      </c>
      <c r="BK7" s="32">
        <v>167.17997574060001</v>
      </c>
      <c r="BL7" s="32">
        <v>169.19562580499999</v>
      </c>
      <c r="BM7" s="32">
        <v>181.19562580499999</v>
      </c>
      <c r="BN7" s="32">
        <v>183.2112758694</v>
      </c>
      <c r="BO7" s="32">
        <v>197.2269259338</v>
      </c>
      <c r="BP7" s="32">
        <v>211.24257599820001</v>
      </c>
      <c r="BQ7" s="32">
        <v>225.25822606260002</v>
      </c>
      <c r="BR7" s="32">
        <v>0</v>
      </c>
      <c r="BS7" s="32">
        <v>0</v>
      </c>
      <c r="BT7" s="32">
        <v>0</v>
      </c>
      <c r="BU7" s="32">
        <v>0</v>
      </c>
      <c r="BV7" s="32">
        <v>0</v>
      </c>
      <c r="BW7" s="32">
        <v>0</v>
      </c>
      <c r="BX7" s="32">
        <v>0</v>
      </c>
      <c r="BY7" s="32">
        <v>0</v>
      </c>
      <c r="BZ7" s="32">
        <v>0</v>
      </c>
      <c r="CA7" s="32">
        <v>0</v>
      </c>
      <c r="CB7" s="32">
        <v>0</v>
      </c>
      <c r="CC7" s="32">
        <v>0</v>
      </c>
      <c r="CD7" s="32">
        <v>0</v>
      </c>
      <c r="CE7" s="32">
        <v>0</v>
      </c>
      <c r="CF7" s="32">
        <v>0</v>
      </c>
      <c r="CG7" s="32">
        <v>0</v>
      </c>
      <c r="CH7" s="32">
        <v>0</v>
      </c>
      <c r="CI7" s="32">
        <v>0</v>
      </c>
      <c r="CJ7" s="32">
        <v>0</v>
      </c>
      <c r="CK7" s="32">
        <v>0</v>
      </c>
      <c r="CL7" s="32">
        <v>0</v>
      </c>
      <c r="CM7" s="32">
        <v>0</v>
      </c>
      <c r="CN7" s="32">
        <v>0</v>
      </c>
      <c r="CO7" s="32">
        <v>0</v>
      </c>
      <c r="CP7" s="32">
        <v>0</v>
      </c>
      <c r="CQ7" s="32">
        <v>0</v>
      </c>
      <c r="CR7" s="32">
        <v>0</v>
      </c>
      <c r="CS7" s="32">
        <v>0</v>
      </c>
      <c r="CT7" s="32">
        <v>0</v>
      </c>
      <c r="CU7" s="32">
        <v>0</v>
      </c>
      <c r="CV7" s="32">
        <v>0</v>
      </c>
      <c r="CW7" s="32">
        <v>0</v>
      </c>
      <c r="CX7" s="32">
        <v>0</v>
      </c>
      <c r="CY7" s="32">
        <v>0</v>
      </c>
      <c r="CZ7" s="32">
        <v>0</v>
      </c>
      <c r="DA7" s="32">
        <v>0</v>
      </c>
      <c r="DB7" s="32">
        <v>0</v>
      </c>
      <c r="DC7" s="32">
        <v>0</v>
      </c>
      <c r="DD7" s="32">
        <v>0</v>
      </c>
      <c r="DE7" s="32">
        <v>0</v>
      </c>
      <c r="DF7" s="32">
        <v>0</v>
      </c>
      <c r="DG7" s="32">
        <v>0</v>
      </c>
      <c r="DH7" s="32">
        <v>0</v>
      </c>
      <c r="DI7" s="32">
        <v>0</v>
      </c>
      <c r="DJ7" s="32">
        <v>0</v>
      </c>
      <c r="DK7" s="32">
        <v>55.0547752254</v>
      </c>
      <c r="DL7" s="32">
        <v>57.070425289800006</v>
      </c>
      <c r="DM7" s="32">
        <v>69.070425289799999</v>
      </c>
      <c r="DN7" s="32">
        <v>71.086075354200005</v>
      </c>
      <c r="DO7" s="32">
        <v>83.086075354200005</v>
      </c>
      <c r="DP7" s="32">
        <v>85.101725418599997</v>
      </c>
      <c r="DQ7" s="32">
        <v>97.101725418599997</v>
      </c>
      <c r="DR7" s="32">
        <v>99.117375483000004</v>
      </c>
      <c r="DS7" s="32">
        <v>111.117375483</v>
      </c>
      <c r="DT7" s="32">
        <v>113.13302554740001</v>
      </c>
      <c r="DU7" s="32">
        <v>125.13302554740001</v>
      </c>
      <c r="DV7" s="32">
        <v>127.1486756118</v>
      </c>
      <c r="DW7" s="32">
        <v>139.1486756118</v>
      </c>
      <c r="DX7" s="32">
        <v>141.16432567620001</v>
      </c>
      <c r="DY7" s="32">
        <v>153.16432567620001</v>
      </c>
      <c r="DZ7" s="32">
        <v>155.17997574060001</v>
      </c>
      <c r="EA7" s="32">
        <v>167.17997574060001</v>
      </c>
      <c r="EB7" s="32">
        <v>169.19562580499999</v>
      </c>
      <c r="EC7" s="32">
        <v>181.19562580499999</v>
      </c>
      <c r="ED7" s="32">
        <v>183.2112758694</v>
      </c>
      <c r="EE7" s="32">
        <v>197.2269259338</v>
      </c>
      <c r="EF7" s="32">
        <v>211.24257599820001</v>
      </c>
      <c r="EG7" s="32">
        <v>225.25822606260002</v>
      </c>
      <c r="EH7" s="32">
        <v>0</v>
      </c>
      <c r="EI7" s="32">
        <v>0</v>
      </c>
      <c r="EJ7" s="32">
        <v>0</v>
      </c>
      <c r="EK7" s="32">
        <v>0</v>
      </c>
      <c r="EL7" s="32">
        <v>0</v>
      </c>
      <c r="EM7" s="32">
        <v>0</v>
      </c>
      <c r="EN7" s="32">
        <v>0</v>
      </c>
      <c r="EO7" s="32">
        <v>0</v>
      </c>
      <c r="EP7" s="32">
        <v>0</v>
      </c>
      <c r="EQ7" s="32">
        <v>0</v>
      </c>
      <c r="ER7" s="32">
        <v>0</v>
      </c>
      <c r="ES7" s="32">
        <v>0</v>
      </c>
      <c r="ET7" s="32">
        <v>0</v>
      </c>
      <c r="EU7" s="32">
        <v>0</v>
      </c>
      <c r="EV7" s="32">
        <v>0</v>
      </c>
      <c r="EW7" s="32">
        <v>0</v>
      </c>
      <c r="EX7" s="32">
        <v>0</v>
      </c>
      <c r="EY7" s="32">
        <v>0</v>
      </c>
      <c r="EZ7" s="32">
        <v>0</v>
      </c>
      <c r="FA7" s="32">
        <v>0</v>
      </c>
      <c r="FB7" s="32">
        <v>0</v>
      </c>
      <c r="FC7" s="32">
        <v>0</v>
      </c>
      <c r="FD7" s="32">
        <v>0</v>
      </c>
      <c r="FE7" s="32">
        <v>0</v>
      </c>
      <c r="FF7" s="32">
        <v>0</v>
      </c>
      <c r="FG7" s="32">
        <v>0</v>
      </c>
      <c r="FH7" s="32">
        <v>0</v>
      </c>
      <c r="FI7" s="32">
        <v>0</v>
      </c>
      <c r="FJ7" s="32">
        <v>0</v>
      </c>
      <c r="FK7" s="32">
        <v>0</v>
      </c>
      <c r="FL7" s="32">
        <v>0</v>
      </c>
      <c r="FM7" s="32">
        <v>0</v>
      </c>
      <c r="FN7" s="32">
        <v>0</v>
      </c>
      <c r="FO7" s="32">
        <v>0</v>
      </c>
      <c r="FP7" s="32">
        <v>0</v>
      </c>
      <c r="FQ7" s="32">
        <v>0</v>
      </c>
      <c r="FR7" s="32">
        <v>0</v>
      </c>
      <c r="FS7" s="32">
        <v>0</v>
      </c>
      <c r="FT7" s="32">
        <v>0</v>
      </c>
      <c r="FU7" s="32">
        <v>0</v>
      </c>
      <c r="FV7" s="32">
        <v>0</v>
      </c>
      <c r="FW7" s="32">
        <v>0</v>
      </c>
      <c r="FX7" s="32">
        <v>0</v>
      </c>
      <c r="FY7" s="32">
        <v>0</v>
      </c>
      <c r="FZ7" s="32">
        <v>0</v>
      </c>
      <c r="GA7" s="3">
        <v>30</v>
      </c>
      <c r="GB7" s="32">
        <v>20</v>
      </c>
      <c r="GC7" s="32">
        <v>150</v>
      </c>
      <c r="GD7" s="32">
        <v>30</v>
      </c>
      <c r="GE7" s="32">
        <v>30</v>
      </c>
      <c r="GF7" s="32">
        <v>40</v>
      </c>
      <c r="GG7" s="32">
        <v>20</v>
      </c>
      <c r="GH7" s="32">
        <v>15</v>
      </c>
      <c r="GI7" s="32">
        <v>0</v>
      </c>
      <c r="GJ7" s="32">
        <v>0</v>
      </c>
      <c r="GK7" s="32">
        <v>2</v>
      </c>
      <c r="GL7" s="32">
        <v>0</v>
      </c>
      <c r="GM7" s="32">
        <v>0</v>
      </c>
      <c r="GN7" s="32">
        <v>30</v>
      </c>
      <c r="GO7" s="32">
        <v>30</v>
      </c>
      <c r="GP7" s="32">
        <v>10</v>
      </c>
      <c r="GQ7" s="32">
        <v>1</v>
      </c>
      <c r="GR7" s="32">
        <v>1</v>
      </c>
      <c r="GS7" s="32">
        <v>1</v>
      </c>
      <c r="GT7" s="32">
        <v>26</v>
      </c>
      <c r="GU7" s="32">
        <v>1.0338291173353296</v>
      </c>
      <c r="GV7" s="32">
        <v>51.049562682215743</v>
      </c>
      <c r="GW7" s="32">
        <v>1.5412658773652741</v>
      </c>
      <c r="GX7" s="32">
        <v>91.396501457725947</v>
      </c>
      <c r="GY7" s="32">
        <v>3.7401585041617</v>
      </c>
      <c r="GZ7" s="32">
        <v>2.3381924198250732</v>
      </c>
      <c r="HA7" s="32">
        <v>9.6602540378443855</v>
      </c>
      <c r="HB7" s="32">
        <v>4.1720116618075798</v>
      </c>
      <c r="HC7" s="32">
        <v>7.0823732062775377</v>
      </c>
      <c r="HD7" s="32">
        <v>10.311044327573251</v>
      </c>
      <c r="HE7" s="32">
        <v>5.0747148627992109</v>
      </c>
      <c r="HF7" s="32">
        <v>13.772351615326819</v>
      </c>
      <c r="HG7" s="32">
        <v>3.5660011963983362</v>
      </c>
      <c r="HH7" s="32">
        <v>18</v>
      </c>
      <c r="HI7" s="32">
        <v>2.4849543960638525</v>
      </c>
      <c r="HJ7" s="32">
        <v>13.772351615326819</v>
      </c>
      <c r="HK7" s="32">
        <v>1.7602966507846922</v>
      </c>
      <c r="HL7" s="32">
        <v>10.311044327573251</v>
      </c>
      <c r="HM7" s="32">
        <v>7.5394440270473329</v>
      </c>
      <c r="HN7" s="32">
        <v>5.3809166040570995</v>
      </c>
      <c r="HO7" s="32">
        <v>3.7588279489105929</v>
      </c>
      <c r="HP7" s="32">
        <v>0</v>
      </c>
      <c r="HQ7" s="32">
        <v>0</v>
      </c>
      <c r="HR7" s="32">
        <v>0</v>
      </c>
      <c r="HS7" s="32">
        <v>0</v>
      </c>
      <c r="HT7" s="32">
        <v>0</v>
      </c>
      <c r="HU7" s="32">
        <v>0</v>
      </c>
      <c r="HV7" s="32">
        <v>0</v>
      </c>
      <c r="HW7" s="32">
        <v>0</v>
      </c>
      <c r="HX7" s="32">
        <v>0</v>
      </c>
      <c r="HY7" s="32">
        <v>0</v>
      </c>
      <c r="HZ7" s="32">
        <v>0</v>
      </c>
      <c r="IA7" s="32">
        <v>0</v>
      </c>
      <c r="IB7" s="32">
        <v>0</v>
      </c>
      <c r="IC7" s="32">
        <v>0</v>
      </c>
      <c r="ID7" s="32">
        <v>0</v>
      </c>
      <c r="IE7" s="32">
        <v>0</v>
      </c>
      <c r="IF7" s="32">
        <v>0</v>
      </c>
      <c r="IG7" s="32">
        <v>0</v>
      </c>
      <c r="IH7" s="32">
        <v>0</v>
      </c>
      <c r="II7" s="32">
        <v>0</v>
      </c>
      <c r="IJ7" s="32">
        <v>0</v>
      </c>
      <c r="IK7" s="32">
        <v>0</v>
      </c>
      <c r="IL7" s="32">
        <v>0</v>
      </c>
      <c r="IM7" s="32">
        <v>0</v>
      </c>
      <c r="IN7" s="32">
        <v>0</v>
      </c>
      <c r="IO7" s="32">
        <v>0</v>
      </c>
      <c r="IP7" s="32">
        <v>0</v>
      </c>
      <c r="IQ7" s="32">
        <v>0</v>
      </c>
      <c r="IR7" s="32">
        <v>0</v>
      </c>
      <c r="IS7" s="32">
        <v>0</v>
      </c>
      <c r="IT7" s="32">
        <v>0</v>
      </c>
      <c r="IU7" s="32">
        <v>0</v>
      </c>
      <c r="IV7" s="32">
        <v>0</v>
      </c>
      <c r="IW7" s="32">
        <v>0</v>
      </c>
      <c r="IX7" s="32">
        <v>0</v>
      </c>
      <c r="IY7" s="32">
        <v>0</v>
      </c>
      <c r="IZ7" s="32">
        <v>0</v>
      </c>
      <c r="JA7" s="32">
        <v>0</v>
      </c>
      <c r="JB7" s="32">
        <v>0</v>
      </c>
      <c r="JC7" s="32">
        <v>0</v>
      </c>
      <c r="JD7" s="32">
        <v>0</v>
      </c>
      <c r="JE7" s="32">
        <v>0</v>
      </c>
      <c r="JF7" s="32">
        <v>0</v>
      </c>
      <c r="JG7" s="32">
        <v>0</v>
      </c>
      <c r="JH7" s="32">
        <v>0</v>
      </c>
      <c r="JI7" s="32">
        <v>1</v>
      </c>
      <c r="JJ7" s="32">
        <v>26</v>
      </c>
      <c r="JK7" s="32">
        <v>1.0338291173353296</v>
      </c>
      <c r="JL7" s="32">
        <v>51.049562682215743</v>
      </c>
      <c r="JM7" s="32">
        <v>1.5412658773652741</v>
      </c>
      <c r="JN7" s="32">
        <v>91.396501457725947</v>
      </c>
      <c r="JO7" s="32">
        <v>3.7401585041617</v>
      </c>
      <c r="JP7" s="32">
        <v>2.3381924198250732</v>
      </c>
      <c r="JQ7" s="32">
        <v>9.6602540378443855</v>
      </c>
      <c r="JR7" s="32">
        <v>4.1720116618075798</v>
      </c>
      <c r="JS7" s="32">
        <v>7.0823732062775377</v>
      </c>
      <c r="JT7" s="32">
        <v>10.311044327573251</v>
      </c>
      <c r="JU7" s="32">
        <v>5.0747148627992109</v>
      </c>
      <c r="JV7" s="32">
        <v>13.772351615326819</v>
      </c>
      <c r="JW7" s="32">
        <v>3.5660011963983362</v>
      </c>
      <c r="JX7" s="32">
        <v>18</v>
      </c>
      <c r="JY7" s="32">
        <v>2.4849543960638525</v>
      </c>
      <c r="JZ7" s="32">
        <v>13.772351615326819</v>
      </c>
      <c r="KA7" s="32">
        <v>1.7602966507846922</v>
      </c>
      <c r="KB7" s="32">
        <v>10.311044327573251</v>
      </c>
      <c r="KC7" s="32">
        <v>7.5394440270473329</v>
      </c>
      <c r="KD7" s="32">
        <v>5.3809166040570995</v>
      </c>
      <c r="KE7" s="32">
        <v>3.7588279489105929</v>
      </c>
      <c r="KF7" s="32">
        <v>0</v>
      </c>
      <c r="KG7" s="32">
        <v>0</v>
      </c>
      <c r="KH7" s="32">
        <v>0</v>
      </c>
      <c r="KI7" s="32">
        <v>0</v>
      </c>
      <c r="KJ7" s="32">
        <v>0</v>
      </c>
      <c r="KK7" s="32">
        <v>0</v>
      </c>
      <c r="KL7" s="32">
        <v>0</v>
      </c>
      <c r="KM7" s="32">
        <v>0</v>
      </c>
      <c r="KN7" s="32">
        <v>0</v>
      </c>
      <c r="KO7" s="32">
        <v>0</v>
      </c>
      <c r="KP7" s="32">
        <v>0</v>
      </c>
      <c r="KQ7" s="32">
        <v>0</v>
      </c>
      <c r="KR7" s="32">
        <v>0</v>
      </c>
      <c r="KS7" s="32">
        <v>0</v>
      </c>
      <c r="KT7" s="32">
        <v>0</v>
      </c>
      <c r="KU7" s="32">
        <v>0</v>
      </c>
      <c r="KV7" s="32">
        <v>0</v>
      </c>
      <c r="KW7" s="32">
        <v>0</v>
      </c>
      <c r="KX7" s="32">
        <v>0</v>
      </c>
      <c r="KY7" s="32">
        <v>0</v>
      </c>
      <c r="KZ7" s="32">
        <v>0</v>
      </c>
      <c r="LA7" s="32">
        <v>0</v>
      </c>
      <c r="LB7" s="32">
        <v>0</v>
      </c>
      <c r="LC7" s="32">
        <v>0</v>
      </c>
      <c r="LD7" s="32">
        <v>0</v>
      </c>
      <c r="LE7" s="32">
        <v>0</v>
      </c>
      <c r="LF7" s="32">
        <v>0</v>
      </c>
      <c r="LG7" s="32">
        <v>0</v>
      </c>
      <c r="LH7" s="32">
        <v>0</v>
      </c>
      <c r="LI7" s="32">
        <v>0</v>
      </c>
      <c r="LJ7" s="32">
        <v>0</v>
      </c>
      <c r="LK7" s="32">
        <v>0</v>
      </c>
      <c r="LL7" s="32">
        <v>0</v>
      </c>
      <c r="LM7" s="32">
        <v>0</v>
      </c>
      <c r="LN7" s="32">
        <v>0</v>
      </c>
      <c r="LO7" s="32">
        <v>0</v>
      </c>
      <c r="LP7" s="32">
        <v>0</v>
      </c>
      <c r="LQ7" s="32">
        <v>0</v>
      </c>
      <c r="LR7" s="32">
        <v>0</v>
      </c>
      <c r="LS7" s="32">
        <v>0</v>
      </c>
      <c r="LT7" s="32">
        <v>0</v>
      </c>
      <c r="LU7" s="32">
        <v>0</v>
      </c>
      <c r="LV7" s="32">
        <v>0</v>
      </c>
      <c r="LW7" s="32">
        <v>0</v>
      </c>
      <c r="LX7" s="32">
        <v>0</v>
      </c>
    </row>
    <row r="8" spans="1:337" s="32" customFormat="1" ht="14.25" x14ac:dyDescent="0.2">
      <c r="A8" s="5">
        <v>2</v>
      </c>
      <c r="B8" s="27" t="s">
        <v>656</v>
      </c>
      <c r="C8" s="27" t="s">
        <v>391</v>
      </c>
      <c r="D8" s="27" t="s">
        <v>392</v>
      </c>
      <c r="E8" s="27" t="s">
        <v>391</v>
      </c>
      <c r="F8" s="28" t="s">
        <v>393</v>
      </c>
      <c r="G8" s="28" t="s">
        <v>394</v>
      </c>
      <c r="H8" s="29">
        <v>-1</v>
      </c>
      <c r="I8" s="30">
        <v>1.35</v>
      </c>
      <c r="J8" s="31">
        <v>12.012108656198087</v>
      </c>
      <c r="K8" s="29" t="s">
        <v>395</v>
      </c>
      <c r="L8" s="16">
        <v>0</v>
      </c>
      <c r="M8" s="16">
        <v>2</v>
      </c>
      <c r="N8" s="27" t="s">
        <v>391</v>
      </c>
      <c r="O8" s="27">
        <v>0</v>
      </c>
      <c r="P8" s="27">
        <v>0</v>
      </c>
      <c r="Q8" s="27">
        <v>0</v>
      </c>
      <c r="R8" s="27">
        <v>0</v>
      </c>
      <c r="S8" s="27">
        <v>0</v>
      </c>
      <c r="T8" s="27">
        <v>20</v>
      </c>
      <c r="U8" s="27">
        <v>0</v>
      </c>
      <c r="V8" s="27">
        <v>20</v>
      </c>
      <c r="W8" s="27">
        <v>1</v>
      </c>
      <c r="X8" s="27" t="s">
        <v>391</v>
      </c>
      <c r="Y8" s="17">
        <v>604.30482198220011</v>
      </c>
      <c r="Z8" s="17">
        <v>586.29426198220006</v>
      </c>
      <c r="AA8" s="17">
        <v>606.32046198219996</v>
      </c>
      <c r="AB8" s="17">
        <v>588.3099019821999</v>
      </c>
      <c r="AC8" s="17">
        <v>885.62544198220007</v>
      </c>
      <c r="AD8" s="17">
        <v>731.63184751740005</v>
      </c>
      <c r="AE8" s="17">
        <v>805.66862694980011</v>
      </c>
      <c r="AF8" s="17">
        <v>527.3712757262</v>
      </c>
      <c r="AG8" s="17">
        <v>453.33449629379999</v>
      </c>
      <c r="AH8" s="17">
        <v>339.36268610079998</v>
      </c>
      <c r="AI8" s="17">
        <v>357.37325078479995</v>
      </c>
      <c r="AJ8" s="17">
        <v>509.36071104220002</v>
      </c>
      <c r="AK8" s="17">
        <v>0</v>
      </c>
      <c r="AL8" s="17">
        <v>0</v>
      </c>
      <c r="AM8" s="17">
        <v>0</v>
      </c>
      <c r="AN8" s="17">
        <v>0</v>
      </c>
      <c r="AO8" s="17">
        <v>0</v>
      </c>
      <c r="AP8" s="17">
        <v>252.97831503820004</v>
      </c>
      <c r="AQ8" s="17">
        <v>173.021500038</v>
      </c>
      <c r="AR8" s="17">
        <v>155.010935354</v>
      </c>
      <c r="AS8" s="32">
        <v>281.32082128799999</v>
      </c>
      <c r="AT8" s="32">
        <v>279.30517122359998</v>
      </c>
      <c r="AU8" s="32">
        <v>55.0547752254</v>
      </c>
      <c r="AV8" s="32">
        <v>57.070425289800006</v>
      </c>
      <c r="AW8" s="32">
        <v>69.070425289799999</v>
      </c>
      <c r="AX8" s="32">
        <v>71.086075354200005</v>
      </c>
      <c r="AY8" s="32">
        <v>83.086075354200005</v>
      </c>
      <c r="AZ8" s="32">
        <v>85.101725418599997</v>
      </c>
      <c r="BA8" s="32">
        <v>97.101725418599997</v>
      </c>
      <c r="BB8" s="32">
        <v>99.117375483000004</v>
      </c>
      <c r="BC8" s="32">
        <v>111.117375483</v>
      </c>
      <c r="BD8" s="32">
        <v>113.13302554740001</v>
      </c>
      <c r="BE8" s="32">
        <v>125.13302554740001</v>
      </c>
      <c r="BF8" s="32">
        <v>127.1486756118</v>
      </c>
      <c r="BG8" s="32">
        <v>139.1486756118</v>
      </c>
      <c r="BH8" s="32">
        <v>141.16432567620001</v>
      </c>
      <c r="BI8" s="32">
        <v>153.16432567620001</v>
      </c>
      <c r="BJ8" s="32">
        <v>155.17997574060001</v>
      </c>
      <c r="BK8" s="32">
        <v>167.17997574060001</v>
      </c>
      <c r="BL8" s="32">
        <v>169.19562580499999</v>
      </c>
      <c r="BM8" s="32">
        <v>181.19562580499999</v>
      </c>
      <c r="BN8" s="32">
        <v>183.2112758694</v>
      </c>
      <c r="BO8" s="32">
        <v>197.2269259338</v>
      </c>
      <c r="BP8" s="32">
        <v>211.24257599820001</v>
      </c>
      <c r="BQ8" s="32">
        <v>225.25822606260002</v>
      </c>
      <c r="BR8" s="32">
        <v>0</v>
      </c>
      <c r="BS8" s="32">
        <v>0</v>
      </c>
      <c r="BT8" s="32">
        <v>0</v>
      </c>
      <c r="BU8" s="32">
        <v>0</v>
      </c>
      <c r="BV8" s="32">
        <v>0</v>
      </c>
      <c r="BW8" s="32">
        <v>0</v>
      </c>
      <c r="BX8" s="32">
        <v>0</v>
      </c>
      <c r="BY8" s="32">
        <v>0</v>
      </c>
      <c r="BZ8" s="32">
        <v>0</v>
      </c>
      <c r="CA8" s="32">
        <v>0</v>
      </c>
      <c r="CB8" s="32">
        <v>0</v>
      </c>
      <c r="CC8" s="32">
        <v>0</v>
      </c>
      <c r="CD8" s="32">
        <v>0</v>
      </c>
      <c r="CE8" s="32">
        <v>0</v>
      </c>
      <c r="CF8" s="32">
        <v>0</v>
      </c>
      <c r="CG8" s="32">
        <v>0</v>
      </c>
      <c r="CH8" s="32">
        <v>0</v>
      </c>
      <c r="CI8" s="32">
        <v>0</v>
      </c>
      <c r="CJ8" s="32">
        <v>0</v>
      </c>
      <c r="CK8" s="32">
        <v>0</v>
      </c>
      <c r="CL8" s="32">
        <v>0</v>
      </c>
      <c r="CM8" s="32">
        <v>0</v>
      </c>
      <c r="CN8" s="32">
        <v>0</v>
      </c>
      <c r="CO8" s="32">
        <v>0</v>
      </c>
      <c r="CP8" s="32">
        <v>0</v>
      </c>
      <c r="CQ8" s="32">
        <v>0</v>
      </c>
      <c r="CR8" s="32">
        <v>0</v>
      </c>
      <c r="CS8" s="32">
        <v>0</v>
      </c>
      <c r="CT8" s="32">
        <v>0</v>
      </c>
      <c r="CU8" s="32">
        <v>0</v>
      </c>
      <c r="CV8" s="32">
        <v>0</v>
      </c>
      <c r="CW8" s="32">
        <v>0</v>
      </c>
      <c r="CX8" s="32">
        <v>0</v>
      </c>
      <c r="CY8" s="32">
        <v>0</v>
      </c>
      <c r="CZ8" s="32">
        <v>0</v>
      </c>
      <c r="DA8" s="32">
        <v>0</v>
      </c>
      <c r="DB8" s="32">
        <v>0</v>
      </c>
      <c r="DC8" s="32">
        <v>0</v>
      </c>
      <c r="DD8" s="32">
        <v>0</v>
      </c>
      <c r="DE8" s="32">
        <v>0</v>
      </c>
      <c r="DF8" s="32">
        <v>0</v>
      </c>
      <c r="DG8" s="32">
        <v>0</v>
      </c>
      <c r="DH8" s="32">
        <v>0</v>
      </c>
      <c r="DI8" s="32">
        <v>0</v>
      </c>
      <c r="DJ8" s="32">
        <v>0</v>
      </c>
      <c r="DK8" s="32">
        <v>55.0547752254</v>
      </c>
      <c r="DL8" s="32">
        <v>57.070425289800006</v>
      </c>
      <c r="DM8" s="32">
        <v>69.070425289799999</v>
      </c>
      <c r="DN8" s="32">
        <v>71.086075354200005</v>
      </c>
      <c r="DO8" s="32">
        <v>81.070425289799999</v>
      </c>
      <c r="DP8" s="32">
        <v>83.086075354200005</v>
      </c>
      <c r="DQ8" s="32">
        <v>85.101725418599997</v>
      </c>
      <c r="DR8" s="32">
        <v>95.086075354200005</v>
      </c>
      <c r="DS8" s="32">
        <v>97.101725418599997</v>
      </c>
      <c r="DT8" s="32">
        <v>99.117375483000004</v>
      </c>
      <c r="DU8" s="32">
        <v>109.1017254186</v>
      </c>
      <c r="DV8" s="32">
        <v>111.117375483</v>
      </c>
      <c r="DW8" s="32">
        <v>113.13302554740001</v>
      </c>
      <c r="DX8" s="32">
        <v>123.117375483</v>
      </c>
      <c r="DY8" s="32">
        <v>125.13302554740001</v>
      </c>
      <c r="DZ8" s="32">
        <v>127.1486756118</v>
      </c>
      <c r="EA8" s="32">
        <v>137.1330255474</v>
      </c>
      <c r="EB8" s="32">
        <v>139.1486756118</v>
      </c>
      <c r="EC8" s="32">
        <v>141.16432567620001</v>
      </c>
      <c r="ED8" s="32">
        <v>151.1486756118</v>
      </c>
      <c r="EE8" s="32">
        <v>153.16432567620001</v>
      </c>
      <c r="EF8" s="32">
        <v>155.17997574060001</v>
      </c>
      <c r="EG8" s="32">
        <v>165.16432567620001</v>
      </c>
      <c r="EH8" s="32">
        <v>167.17997574060001</v>
      </c>
      <c r="EI8" s="32">
        <v>169.19562580499999</v>
      </c>
      <c r="EJ8" s="32">
        <v>179.17997574060001</v>
      </c>
      <c r="EK8" s="32">
        <v>181.19562580499999</v>
      </c>
      <c r="EL8" s="32">
        <v>183.2112758694</v>
      </c>
      <c r="EM8" s="32">
        <v>195.2112758694</v>
      </c>
      <c r="EN8" s="32">
        <v>197.2269259338</v>
      </c>
      <c r="EO8" s="32">
        <v>209.2269259338</v>
      </c>
      <c r="EP8" s="32">
        <v>211.24257599820001</v>
      </c>
      <c r="EQ8" s="32">
        <v>223.24257599820001</v>
      </c>
      <c r="ER8" s="32">
        <v>225.25822606260002</v>
      </c>
      <c r="ES8" s="32">
        <v>0</v>
      </c>
      <c r="ET8" s="32">
        <v>0</v>
      </c>
      <c r="EU8" s="32">
        <v>0</v>
      </c>
      <c r="EV8" s="32">
        <v>0</v>
      </c>
      <c r="EW8" s="32">
        <v>0</v>
      </c>
      <c r="EX8" s="32">
        <v>0</v>
      </c>
      <c r="EY8" s="32">
        <v>0</v>
      </c>
      <c r="EZ8" s="32">
        <v>0</v>
      </c>
      <c r="FA8" s="32">
        <v>0</v>
      </c>
      <c r="FB8" s="32">
        <v>0</v>
      </c>
      <c r="FC8" s="32">
        <v>0</v>
      </c>
      <c r="FD8" s="32">
        <v>0</v>
      </c>
      <c r="FE8" s="32">
        <v>0</v>
      </c>
      <c r="FF8" s="32">
        <v>0</v>
      </c>
      <c r="FG8" s="32">
        <v>0</v>
      </c>
      <c r="FH8" s="32">
        <v>0</v>
      </c>
      <c r="FI8" s="32">
        <v>0</v>
      </c>
      <c r="FJ8" s="32">
        <v>0</v>
      </c>
      <c r="FK8" s="32">
        <v>0</v>
      </c>
      <c r="FL8" s="32">
        <v>0</v>
      </c>
      <c r="FM8" s="32">
        <v>0</v>
      </c>
      <c r="FN8" s="32">
        <v>0</v>
      </c>
      <c r="FO8" s="32">
        <v>0</v>
      </c>
      <c r="FP8" s="32">
        <v>0</v>
      </c>
      <c r="FQ8" s="32">
        <v>0</v>
      </c>
      <c r="FR8" s="32">
        <v>0</v>
      </c>
      <c r="FS8" s="32">
        <v>0</v>
      </c>
      <c r="FT8" s="32">
        <v>0</v>
      </c>
      <c r="FU8" s="32">
        <v>0</v>
      </c>
      <c r="FV8" s="32">
        <v>0</v>
      </c>
      <c r="FW8" s="32">
        <v>0</v>
      </c>
      <c r="FX8" s="32">
        <v>0</v>
      </c>
      <c r="FY8" s="32">
        <v>0</v>
      </c>
      <c r="FZ8" s="32">
        <v>0</v>
      </c>
      <c r="GA8" s="3">
        <v>27</v>
      </c>
      <c r="GB8" s="32">
        <v>18</v>
      </c>
      <c r="GC8" s="32">
        <v>135</v>
      </c>
      <c r="GD8" s="32">
        <v>36</v>
      </c>
      <c r="GE8" s="32">
        <v>36</v>
      </c>
      <c r="GF8" s="32">
        <v>48</v>
      </c>
      <c r="GG8" s="32">
        <v>24</v>
      </c>
      <c r="GH8" s="32">
        <v>18</v>
      </c>
      <c r="GI8" s="32">
        <v>0</v>
      </c>
      <c r="GJ8" s="32">
        <v>0</v>
      </c>
      <c r="GK8" s="32">
        <v>3.6</v>
      </c>
      <c r="GL8" s="32">
        <v>0</v>
      </c>
      <c r="GM8" s="32">
        <v>0</v>
      </c>
      <c r="GN8" s="32">
        <v>33</v>
      </c>
      <c r="GO8" s="32">
        <v>30</v>
      </c>
      <c r="GP8" s="32">
        <v>10</v>
      </c>
      <c r="GQ8" s="32">
        <v>1.3</v>
      </c>
      <c r="GR8" s="32">
        <v>2.2999999999999998</v>
      </c>
      <c r="GS8" s="32">
        <v>1</v>
      </c>
      <c r="GT8" s="32">
        <v>26</v>
      </c>
      <c r="GU8" s="32">
        <v>1.0338291173353296</v>
      </c>
      <c r="GV8" s="32">
        <v>51.049562682215743</v>
      </c>
      <c r="GW8" s="32">
        <v>1.5412658773652741</v>
      </c>
      <c r="GX8" s="32">
        <v>91.396501457725947</v>
      </c>
      <c r="GY8" s="32">
        <v>3.7401585041617</v>
      </c>
      <c r="GZ8" s="32">
        <v>2.3381924198250732</v>
      </c>
      <c r="HA8" s="32">
        <v>9.6602540378443855</v>
      </c>
      <c r="HB8" s="32">
        <v>4.1720116618075798</v>
      </c>
      <c r="HC8" s="32">
        <v>7.0823732062775377</v>
      </c>
      <c r="HD8" s="32">
        <v>10.311044327573251</v>
      </c>
      <c r="HE8" s="32">
        <v>5.0747148627992109</v>
      </c>
      <c r="HF8" s="32">
        <v>13.772351615326819</v>
      </c>
      <c r="HG8" s="32">
        <v>3.5660011963983362</v>
      </c>
      <c r="HH8" s="32">
        <v>18</v>
      </c>
      <c r="HI8" s="32">
        <v>2.4849543960638525</v>
      </c>
      <c r="HJ8" s="32">
        <v>13.772351615326819</v>
      </c>
      <c r="HK8" s="32">
        <v>1.7602966507846922</v>
      </c>
      <c r="HL8" s="32">
        <v>10.311044327573251</v>
      </c>
      <c r="HM8" s="32">
        <v>7.5394440270473329</v>
      </c>
      <c r="HN8" s="32">
        <v>5.3809166040570995</v>
      </c>
      <c r="HO8" s="32">
        <v>3.7588279489105929</v>
      </c>
      <c r="HP8" s="32">
        <v>0</v>
      </c>
      <c r="HQ8" s="32">
        <v>0</v>
      </c>
      <c r="HR8" s="32">
        <v>0</v>
      </c>
      <c r="HS8" s="32">
        <v>0</v>
      </c>
      <c r="HT8" s="32">
        <v>0</v>
      </c>
      <c r="HU8" s="32">
        <v>0</v>
      </c>
      <c r="HV8" s="32">
        <v>0</v>
      </c>
      <c r="HW8" s="32">
        <v>0</v>
      </c>
      <c r="HX8" s="32">
        <v>0</v>
      </c>
      <c r="HY8" s="32">
        <v>0</v>
      </c>
      <c r="HZ8" s="32">
        <v>0</v>
      </c>
      <c r="IA8" s="32">
        <v>0</v>
      </c>
      <c r="IB8" s="32">
        <v>0</v>
      </c>
      <c r="IC8" s="32">
        <v>0</v>
      </c>
      <c r="ID8" s="32">
        <v>0</v>
      </c>
      <c r="IE8" s="32">
        <v>0</v>
      </c>
      <c r="IF8" s="32">
        <v>0</v>
      </c>
      <c r="IG8" s="32">
        <v>0</v>
      </c>
      <c r="IH8" s="32">
        <v>0</v>
      </c>
      <c r="II8" s="32">
        <v>0</v>
      </c>
      <c r="IJ8" s="32">
        <v>0</v>
      </c>
      <c r="IK8" s="32">
        <v>0</v>
      </c>
      <c r="IL8" s="32">
        <v>0</v>
      </c>
      <c r="IM8" s="32">
        <v>0</v>
      </c>
      <c r="IN8" s="32">
        <v>0</v>
      </c>
      <c r="IO8" s="32">
        <v>0</v>
      </c>
      <c r="IP8" s="32">
        <v>0</v>
      </c>
      <c r="IQ8" s="32">
        <v>0</v>
      </c>
      <c r="IR8" s="32">
        <v>0</v>
      </c>
      <c r="IS8" s="32">
        <v>0</v>
      </c>
      <c r="IT8" s="32">
        <v>0</v>
      </c>
      <c r="IU8" s="32">
        <v>0</v>
      </c>
      <c r="IV8" s="32">
        <v>0</v>
      </c>
      <c r="IW8" s="32">
        <v>0</v>
      </c>
      <c r="IX8" s="32">
        <v>0</v>
      </c>
      <c r="IY8" s="32">
        <v>0</v>
      </c>
      <c r="IZ8" s="32">
        <v>0</v>
      </c>
      <c r="JA8" s="32">
        <v>0</v>
      </c>
      <c r="JB8" s="32">
        <v>0</v>
      </c>
      <c r="JC8" s="32">
        <v>0</v>
      </c>
      <c r="JD8" s="32">
        <v>0</v>
      </c>
      <c r="JE8" s="32">
        <v>0</v>
      </c>
      <c r="JF8" s="32">
        <v>0</v>
      </c>
      <c r="JG8" s="32">
        <v>0</v>
      </c>
      <c r="JH8" s="32">
        <v>0</v>
      </c>
      <c r="JI8" s="32">
        <v>1</v>
      </c>
      <c r="JJ8" s="32">
        <v>4.125</v>
      </c>
      <c r="JK8" s="32">
        <v>1.095683193077468</v>
      </c>
      <c r="JL8" s="32">
        <v>7.2623906705539358</v>
      </c>
      <c r="JM8" s="32">
        <v>1.1728000000000001</v>
      </c>
      <c r="JN8" s="32">
        <v>2.5309310892394863</v>
      </c>
      <c r="JO8" s="32">
        <v>12.349125364431487</v>
      </c>
      <c r="JP8" s="32">
        <v>1.7281777777777778</v>
      </c>
      <c r="JQ8" s="32">
        <v>13.164746412555075</v>
      </c>
      <c r="JR8" s="32">
        <v>1.3345481049562684</v>
      </c>
      <c r="JS8" s="32">
        <v>9.8888888888888893</v>
      </c>
      <c r="JT8" s="32">
        <v>18.320508075688771</v>
      </c>
      <c r="JU8" s="32">
        <v>2.6348610067618332</v>
      </c>
      <c r="JV8" s="32">
        <v>6.5492895730664351</v>
      </c>
      <c r="JW8" s="32">
        <v>13.164746412555075</v>
      </c>
      <c r="JX8" s="32">
        <v>3.3277610818933128</v>
      </c>
      <c r="JY8" s="32">
        <v>4.2528916662432898</v>
      </c>
      <c r="JZ8" s="32">
        <v>9.1494297255984218</v>
      </c>
      <c r="KA8" s="32">
        <v>4.1930879038317048</v>
      </c>
      <c r="KB8" s="32">
        <v>2.7558299039780527</v>
      </c>
      <c r="KC8" s="32">
        <v>6.1320023927966725</v>
      </c>
      <c r="KD8" s="32">
        <v>5.25</v>
      </c>
      <c r="KE8" s="32">
        <v>1.8467543904215145</v>
      </c>
      <c r="KF8" s="32">
        <v>3.969908792127705</v>
      </c>
      <c r="KG8" s="32">
        <v>4.1930879038317048</v>
      </c>
      <c r="KH8" s="32">
        <v>1.3468305983166522</v>
      </c>
      <c r="KI8" s="32">
        <v>2.5205933015693844</v>
      </c>
      <c r="KJ8" s="32">
        <v>3.3277610818933128</v>
      </c>
      <c r="KK8" s="32">
        <v>1.6415002990995839</v>
      </c>
      <c r="KL8" s="32">
        <v>2.6348610067618332</v>
      </c>
      <c r="KM8" s="32">
        <v>1.1900741626961731</v>
      </c>
      <c r="KN8" s="32">
        <v>2.0952291510142746</v>
      </c>
      <c r="KO8" s="32">
        <v>1.0237592703370215</v>
      </c>
      <c r="KP8" s="32">
        <v>1.6897069872276482</v>
      </c>
      <c r="KQ8" s="32">
        <v>0</v>
      </c>
      <c r="KR8" s="32">
        <v>0</v>
      </c>
      <c r="KS8" s="32">
        <v>0</v>
      </c>
      <c r="KT8" s="32">
        <v>0</v>
      </c>
      <c r="KU8" s="32">
        <v>0</v>
      </c>
      <c r="KV8" s="32">
        <v>0</v>
      </c>
      <c r="KW8" s="32">
        <v>0</v>
      </c>
      <c r="KX8" s="32">
        <v>0</v>
      </c>
      <c r="KY8" s="32">
        <v>0</v>
      </c>
      <c r="KZ8" s="32">
        <v>0</v>
      </c>
      <c r="LA8" s="32">
        <v>0</v>
      </c>
      <c r="LB8" s="32">
        <v>0</v>
      </c>
      <c r="LC8" s="32">
        <v>0</v>
      </c>
      <c r="LD8" s="32">
        <v>0</v>
      </c>
      <c r="LE8" s="32">
        <v>0</v>
      </c>
      <c r="LF8" s="32">
        <v>0</v>
      </c>
      <c r="LG8" s="32">
        <v>0</v>
      </c>
      <c r="LH8" s="32">
        <v>0</v>
      </c>
      <c r="LI8" s="32">
        <v>0</v>
      </c>
      <c r="LJ8" s="32">
        <v>0</v>
      </c>
      <c r="LK8" s="32">
        <v>0</v>
      </c>
      <c r="LL8" s="32">
        <v>0</v>
      </c>
      <c r="LM8" s="32">
        <v>0</v>
      </c>
      <c r="LN8" s="32">
        <v>0</v>
      </c>
      <c r="LO8" s="32">
        <v>0</v>
      </c>
      <c r="LP8" s="32">
        <v>0</v>
      </c>
      <c r="LQ8" s="32">
        <v>0</v>
      </c>
      <c r="LR8" s="32">
        <v>0</v>
      </c>
      <c r="LS8" s="32">
        <v>0</v>
      </c>
      <c r="LT8" s="32">
        <v>0</v>
      </c>
      <c r="LU8" s="32">
        <v>0</v>
      </c>
      <c r="LV8" s="32">
        <v>0</v>
      </c>
      <c r="LW8" s="32">
        <v>0</v>
      </c>
      <c r="LX8" s="32">
        <v>0</v>
      </c>
    </row>
    <row r="9" spans="1:337" s="32" customFormat="1" ht="14.25" x14ac:dyDescent="0.2">
      <c r="A9" s="5">
        <v>3</v>
      </c>
      <c r="B9" s="27" t="s">
        <v>657</v>
      </c>
      <c r="C9" s="27" t="s">
        <v>396</v>
      </c>
      <c r="D9" s="27" t="s">
        <v>397</v>
      </c>
      <c r="E9" s="27" t="s">
        <v>396</v>
      </c>
      <c r="F9" s="28" t="s">
        <v>398</v>
      </c>
      <c r="G9" s="28" t="s">
        <v>399</v>
      </c>
      <c r="H9" s="29">
        <v>-1</v>
      </c>
      <c r="I9" s="30">
        <v>0.34</v>
      </c>
      <c r="J9" s="31">
        <v>11.606529145564048</v>
      </c>
      <c r="K9" s="29" t="s">
        <v>400</v>
      </c>
      <c r="L9" s="16">
        <v>0</v>
      </c>
      <c r="M9" s="16">
        <v>2</v>
      </c>
      <c r="N9" s="27" t="s">
        <v>396</v>
      </c>
      <c r="O9" s="27">
        <v>0</v>
      </c>
      <c r="P9" s="27">
        <v>0</v>
      </c>
      <c r="Q9" s="27">
        <v>0</v>
      </c>
      <c r="R9" s="27">
        <v>0</v>
      </c>
      <c r="S9" s="27">
        <v>0</v>
      </c>
      <c r="T9" s="27">
        <v>20</v>
      </c>
      <c r="U9" s="27">
        <v>0</v>
      </c>
      <c r="V9" s="27">
        <v>20</v>
      </c>
      <c r="W9" s="27">
        <v>2</v>
      </c>
      <c r="X9" s="27" t="s">
        <v>396</v>
      </c>
      <c r="Y9" s="17">
        <v>602.2891719178001</v>
      </c>
      <c r="Z9" s="17">
        <v>584.27861191780005</v>
      </c>
      <c r="AA9" s="17">
        <v>606.32045191780003</v>
      </c>
      <c r="AB9" s="17">
        <v>588.30989191779997</v>
      </c>
      <c r="AC9" s="17">
        <v>883.60979191780007</v>
      </c>
      <c r="AD9" s="17">
        <v>729.61619745300004</v>
      </c>
      <c r="AE9" s="17">
        <v>803.65297688540011</v>
      </c>
      <c r="AF9" s="17">
        <v>527.3712757262</v>
      </c>
      <c r="AG9" s="17">
        <v>453.33449629379999</v>
      </c>
      <c r="AH9" s="17">
        <v>339.36268610079998</v>
      </c>
      <c r="AI9" s="17">
        <v>357.37325078479995</v>
      </c>
      <c r="AJ9" s="17">
        <v>509.36071104220002</v>
      </c>
      <c r="AK9" s="17">
        <v>0</v>
      </c>
      <c r="AL9" s="17">
        <v>0</v>
      </c>
      <c r="AM9" s="17">
        <v>0</v>
      </c>
      <c r="AN9" s="17">
        <v>0</v>
      </c>
      <c r="AO9" s="17">
        <v>0</v>
      </c>
      <c r="AP9" s="17">
        <v>252.97831503820004</v>
      </c>
      <c r="AQ9" s="17">
        <v>173.021500038</v>
      </c>
      <c r="AR9" s="17">
        <v>155.010935354</v>
      </c>
      <c r="AS9" s="32">
        <v>281.32082128799999</v>
      </c>
      <c r="AT9" s="32">
        <v>277.28952115919998</v>
      </c>
      <c r="AU9" s="32">
        <v>55.0547752254</v>
      </c>
      <c r="AV9" s="32">
        <v>57.070425289800006</v>
      </c>
      <c r="AW9" s="32">
        <v>69.070425289799999</v>
      </c>
      <c r="AX9" s="32">
        <v>71.086075354200005</v>
      </c>
      <c r="AY9" s="32">
        <v>83.086075354200005</v>
      </c>
      <c r="AZ9" s="32">
        <v>85.101725418599997</v>
      </c>
      <c r="BA9" s="32">
        <v>97.101725418599997</v>
      </c>
      <c r="BB9" s="32">
        <v>99.117375483000004</v>
      </c>
      <c r="BC9" s="32">
        <v>111.117375483</v>
      </c>
      <c r="BD9" s="32">
        <v>113.13302554740001</v>
      </c>
      <c r="BE9" s="32">
        <v>125.13302554740001</v>
      </c>
      <c r="BF9" s="32">
        <v>127.1486756118</v>
      </c>
      <c r="BG9" s="32">
        <v>139.1486756118</v>
      </c>
      <c r="BH9" s="32">
        <v>141.16432567620001</v>
      </c>
      <c r="BI9" s="32">
        <v>153.16432567620001</v>
      </c>
      <c r="BJ9" s="32">
        <v>155.17997574060001</v>
      </c>
      <c r="BK9" s="32">
        <v>167.17997574060001</v>
      </c>
      <c r="BL9" s="32">
        <v>169.19562580499999</v>
      </c>
      <c r="BM9" s="32">
        <v>181.19562580499999</v>
      </c>
      <c r="BN9" s="32">
        <v>183.2112758694</v>
      </c>
      <c r="BO9" s="32">
        <v>197.2269259338</v>
      </c>
      <c r="BP9" s="32">
        <v>211.24257599820001</v>
      </c>
      <c r="BQ9" s="32">
        <v>225.25822606260002</v>
      </c>
      <c r="BR9" s="32">
        <v>0</v>
      </c>
      <c r="BS9" s="32">
        <v>0</v>
      </c>
      <c r="BT9" s="32">
        <v>0</v>
      </c>
      <c r="BU9" s="32">
        <v>0</v>
      </c>
      <c r="BV9" s="32">
        <v>0</v>
      </c>
      <c r="BW9" s="32">
        <v>0</v>
      </c>
      <c r="BX9" s="32">
        <v>0</v>
      </c>
      <c r="BY9" s="32">
        <v>0</v>
      </c>
      <c r="BZ9" s="32">
        <v>0</v>
      </c>
      <c r="CA9" s="32">
        <v>0</v>
      </c>
      <c r="CB9" s="32">
        <v>0</v>
      </c>
      <c r="CC9" s="32">
        <v>0</v>
      </c>
      <c r="CD9" s="32">
        <v>0</v>
      </c>
      <c r="CE9" s="32">
        <v>0</v>
      </c>
      <c r="CF9" s="32">
        <v>0</v>
      </c>
      <c r="CG9" s="32">
        <v>0</v>
      </c>
      <c r="CH9" s="32">
        <v>0</v>
      </c>
      <c r="CI9" s="32">
        <v>0</v>
      </c>
      <c r="CJ9" s="32">
        <v>0</v>
      </c>
      <c r="CK9" s="32">
        <v>0</v>
      </c>
      <c r="CL9" s="32">
        <v>0</v>
      </c>
      <c r="CM9" s="32">
        <v>0</v>
      </c>
      <c r="CN9" s="32">
        <v>0</v>
      </c>
      <c r="CO9" s="32">
        <v>0</v>
      </c>
      <c r="CP9" s="32">
        <v>0</v>
      </c>
      <c r="CQ9" s="32">
        <v>0</v>
      </c>
      <c r="CR9" s="32">
        <v>0</v>
      </c>
      <c r="CS9" s="32">
        <v>0</v>
      </c>
      <c r="CT9" s="32">
        <v>0</v>
      </c>
      <c r="CU9" s="32">
        <v>0</v>
      </c>
      <c r="CV9" s="32">
        <v>0</v>
      </c>
      <c r="CW9" s="32">
        <v>0</v>
      </c>
      <c r="CX9" s="32">
        <v>0</v>
      </c>
      <c r="CY9" s="32">
        <v>0</v>
      </c>
      <c r="CZ9" s="32">
        <v>0</v>
      </c>
      <c r="DA9" s="32">
        <v>0</v>
      </c>
      <c r="DB9" s="32">
        <v>0</v>
      </c>
      <c r="DC9" s="32">
        <v>0</v>
      </c>
      <c r="DD9" s="32">
        <v>0</v>
      </c>
      <c r="DE9" s="32">
        <v>0</v>
      </c>
      <c r="DF9" s="32">
        <v>0</v>
      </c>
      <c r="DG9" s="32">
        <v>0</v>
      </c>
      <c r="DH9" s="32">
        <v>0</v>
      </c>
      <c r="DI9" s="32">
        <v>0</v>
      </c>
      <c r="DJ9" s="32">
        <v>0</v>
      </c>
      <c r="DK9" s="32">
        <v>55.0547752254</v>
      </c>
      <c r="DL9" s="32">
        <v>57.070425289800006</v>
      </c>
      <c r="DM9" s="32">
        <v>69.070425289799999</v>
      </c>
      <c r="DN9" s="32">
        <v>71.086075354200005</v>
      </c>
      <c r="DO9" s="32">
        <v>81.070425289799999</v>
      </c>
      <c r="DP9" s="32">
        <v>83.086075354200005</v>
      </c>
      <c r="DQ9" s="32">
        <v>85.101725418599997</v>
      </c>
      <c r="DR9" s="32">
        <v>95.086075354200005</v>
      </c>
      <c r="DS9" s="32">
        <v>97.101725418599997</v>
      </c>
      <c r="DT9" s="32">
        <v>99.117375483000004</v>
      </c>
      <c r="DU9" s="32">
        <v>109.1017254186</v>
      </c>
      <c r="DV9" s="32">
        <v>111.117375483</v>
      </c>
      <c r="DW9" s="32">
        <v>113.13302554740001</v>
      </c>
      <c r="DX9" s="32">
        <v>123.117375483</v>
      </c>
      <c r="DY9" s="32">
        <v>125.13302554740001</v>
      </c>
      <c r="DZ9" s="32">
        <v>127.1486756118</v>
      </c>
      <c r="EA9" s="32">
        <v>137.1330255474</v>
      </c>
      <c r="EB9" s="32">
        <v>139.1486756118</v>
      </c>
      <c r="EC9" s="32">
        <v>141.16432567620001</v>
      </c>
      <c r="ED9" s="32">
        <v>149.1330255474</v>
      </c>
      <c r="EE9" s="32">
        <v>151.1486756118</v>
      </c>
      <c r="EF9" s="32">
        <v>153.16432567620001</v>
      </c>
      <c r="EG9" s="32">
        <v>155.17997574060001</v>
      </c>
      <c r="EH9" s="32">
        <v>163.1486756118</v>
      </c>
      <c r="EI9" s="32">
        <v>165.16432567620001</v>
      </c>
      <c r="EJ9" s="32">
        <v>167.17997574060001</v>
      </c>
      <c r="EK9" s="32">
        <v>169.19562580499999</v>
      </c>
      <c r="EL9" s="32">
        <v>177.16432567620001</v>
      </c>
      <c r="EM9" s="32">
        <v>179.17997574060001</v>
      </c>
      <c r="EN9" s="32">
        <v>181.19562580499999</v>
      </c>
      <c r="EO9" s="32">
        <v>183.2112758694</v>
      </c>
      <c r="EP9" s="32">
        <v>193.19562580499999</v>
      </c>
      <c r="EQ9" s="32">
        <v>195.2112758694</v>
      </c>
      <c r="ER9" s="32">
        <v>207.2112758694</v>
      </c>
      <c r="ES9" s="32">
        <v>209.2269259338</v>
      </c>
      <c r="ET9" s="32">
        <v>221.2269259338</v>
      </c>
      <c r="EU9" s="32">
        <v>223.24257599820001</v>
      </c>
      <c r="EV9" s="32">
        <v>0</v>
      </c>
      <c r="EW9" s="32">
        <v>0</v>
      </c>
      <c r="EX9" s="32">
        <v>0</v>
      </c>
      <c r="EY9" s="32">
        <v>0</v>
      </c>
      <c r="EZ9" s="32">
        <v>0</v>
      </c>
      <c r="FA9" s="32">
        <v>0</v>
      </c>
      <c r="FB9" s="32">
        <v>0</v>
      </c>
      <c r="FC9" s="32">
        <v>0</v>
      </c>
      <c r="FD9" s="32">
        <v>0</v>
      </c>
      <c r="FE9" s="32">
        <v>0</v>
      </c>
      <c r="FF9" s="32">
        <v>0</v>
      </c>
      <c r="FG9" s="32">
        <v>0</v>
      </c>
      <c r="FH9" s="32">
        <v>0</v>
      </c>
      <c r="FI9" s="32">
        <v>0</v>
      </c>
      <c r="FJ9" s="32">
        <v>0</v>
      </c>
      <c r="FK9" s="32">
        <v>0</v>
      </c>
      <c r="FL9" s="32">
        <v>0</v>
      </c>
      <c r="FM9" s="32">
        <v>0</v>
      </c>
      <c r="FN9" s="32">
        <v>0</v>
      </c>
      <c r="FO9" s="32">
        <v>0</v>
      </c>
      <c r="FP9" s="32">
        <v>0</v>
      </c>
      <c r="FQ9" s="32">
        <v>0</v>
      </c>
      <c r="FR9" s="32">
        <v>0</v>
      </c>
      <c r="FS9" s="32">
        <v>0</v>
      </c>
      <c r="FT9" s="32">
        <v>0</v>
      </c>
      <c r="FU9" s="32">
        <v>0</v>
      </c>
      <c r="FV9" s="32">
        <v>0</v>
      </c>
      <c r="FW9" s="32">
        <v>0</v>
      </c>
      <c r="FX9" s="32">
        <v>0</v>
      </c>
      <c r="FY9" s="32">
        <v>0</v>
      </c>
      <c r="FZ9" s="32">
        <v>0</v>
      </c>
      <c r="GA9" s="3">
        <v>24.3</v>
      </c>
      <c r="GB9" s="32">
        <v>16.2</v>
      </c>
      <c r="GC9" s="32">
        <v>121.5</v>
      </c>
      <c r="GD9" s="32">
        <v>43.199999999999996</v>
      </c>
      <c r="GE9" s="32">
        <v>43.199999999999996</v>
      </c>
      <c r="GF9" s="32">
        <v>57.599999999999994</v>
      </c>
      <c r="GG9" s="32">
        <v>28.799999999999997</v>
      </c>
      <c r="GH9" s="32">
        <v>21.599999999999998</v>
      </c>
      <c r="GI9" s="32">
        <v>0</v>
      </c>
      <c r="GJ9" s="32">
        <v>0</v>
      </c>
      <c r="GK9" s="32">
        <v>6.48</v>
      </c>
      <c r="GL9" s="32">
        <v>0</v>
      </c>
      <c r="GM9" s="32">
        <v>0</v>
      </c>
      <c r="GN9" s="32">
        <v>36.300000000000004</v>
      </c>
      <c r="GO9" s="32">
        <v>30</v>
      </c>
      <c r="GP9" s="32">
        <v>10</v>
      </c>
      <c r="GQ9" s="32">
        <v>1.6900000000000002</v>
      </c>
      <c r="GR9" s="32">
        <v>5.2899999999999991</v>
      </c>
      <c r="GS9" s="32">
        <v>1</v>
      </c>
      <c r="GT9" s="32">
        <v>26</v>
      </c>
      <c r="GU9" s="32">
        <v>1.0338291173353296</v>
      </c>
      <c r="GV9" s="32">
        <v>51.049562682215743</v>
      </c>
      <c r="GW9" s="32">
        <v>1.5412658773652741</v>
      </c>
      <c r="GX9" s="32">
        <v>91.396501457725947</v>
      </c>
      <c r="GY9" s="32">
        <v>3.7401585041617</v>
      </c>
      <c r="GZ9" s="32">
        <v>2.3381924198250732</v>
      </c>
      <c r="HA9" s="32">
        <v>9.6602540378443855</v>
      </c>
      <c r="HB9" s="32">
        <v>4.1720116618075798</v>
      </c>
      <c r="HC9" s="32">
        <v>7.0823732062775377</v>
      </c>
      <c r="HD9" s="32">
        <v>10.311044327573251</v>
      </c>
      <c r="HE9" s="32">
        <v>5.0747148627992109</v>
      </c>
      <c r="HF9" s="32">
        <v>13.772351615326819</v>
      </c>
      <c r="HG9" s="32">
        <v>3.5660011963983362</v>
      </c>
      <c r="HH9" s="32">
        <v>18</v>
      </c>
      <c r="HI9" s="32">
        <v>2.4849543960638525</v>
      </c>
      <c r="HJ9" s="32">
        <v>13.772351615326819</v>
      </c>
      <c r="HK9" s="32">
        <v>1.7602966507846922</v>
      </c>
      <c r="HL9" s="32">
        <v>10.311044327573251</v>
      </c>
      <c r="HM9" s="32">
        <v>7.5394440270473329</v>
      </c>
      <c r="HN9" s="32">
        <v>5.3809166040570995</v>
      </c>
      <c r="HO9" s="32">
        <v>3.7588279489105929</v>
      </c>
      <c r="HP9" s="32">
        <v>0</v>
      </c>
      <c r="HQ9" s="32">
        <v>0</v>
      </c>
      <c r="HR9" s="32">
        <v>0</v>
      </c>
      <c r="HS9" s="32">
        <v>0</v>
      </c>
      <c r="HT9" s="32">
        <v>0</v>
      </c>
      <c r="HU9" s="32">
        <v>0</v>
      </c>
      <c r="HV9" s="32">
        <v>0</v>
      </c>
      <c r="HW9" s="32">
        <v>0</v>
      </c>
      <c r="HX9" s="32">
        <v>0</v>
      </c>
      <c r="HY9" s="32">
        <v>0</v>
      </c>
      <c r="HZ9" s="32">
        <v>0</v>
      </c>
      <c r="IA9" s="32">
        <v>0</v>
      </c>
      <c r="IB9" s="32">
        <v>0</v>
      </c>
      <c r="IC9" s="32">
        <v>0</v>
      </c>
      <c r="ID9" s="32">
        <v>0</v>
      </c>
      <c r="IE9" s="32">
        <v>0</v>
      </c>
      <c r="IF9" s="32">
        <v>0</v>
      </c>
      <c r="IG9" s="32">
        <v>0</v>
      </c>
      <c r="IH9" s="32">
        <v>0</v>
      </c>
      <c r="II9" s="32">
        <v>0</v>
      </c>
      <c r="IJ9" s="32">
        <v>0</v>
      </c>
      <c r="IK9" s="32">
        <v>0</v>
      </c>
      <c r="IL9" s="32">
        <v>0</v>
      </c>
      <c r="IM9" s="32">
        <v>0</v>
      </c>
      <c r="IN9" s="32">
        <v>0</v>
      </c>
      <c r="IO9" s="32">
        <v>0</v>
      </c>
      <c r="IP9" s="32">
        <v>0</v>
      </c>
      <c r="IQ9" s="32">
        <v>0</v>
      </c>
      <c r="IR9" s="32">
        <v>0</v>
      </c>
      <c r="IS9" s="32">
        <v>0</v>
      </c>
      <c r="IT9" s="32">
        <v>0</v>
      </c>
      <c r="IU9" s="32">
        <v>0</v>
      </c>
      <c r="IV9" s="32">
        <v>0</v>
      </c>
      <c r="IW9" s="32">
        <v>0</v>
      </c>
      <c r="IX9" s="32">
        <v>0</v>
      </c>
      <c r="IY9" s="32">
        <v>0</v>
      </c>
      <c r="IZ9" s="32">
        <v>0</v>
      </c>
      <c r="JA9" s="32">
        <v>0</v>
      </c>
      <c r="JB9" s="32">
        <v>0</v>
      </c>
      <c r="JC9" s="32">
        <v>0</v>
      </c>
      <c r="JD9" s="32">
        <v>0</v>
      </c>
      <c r="JE9" s="32">
        <v>0</v>
      </c>
      <c r="JF9" s="32">
        <v>0</v>
      </c>
      <c r="JG9" s="32">
        <v>0</v>
      </c>
      <c r="JH9" s="32">
        <v>0</v>
      </c>
      <c r="JI9" s="32">
        <v>1</v>
      </c>
      <c r="JJ9" s="32">
        <v>1.925925925925926</v>
      </c>
      <c r="JK9" s="32">
        <v>1.17578125</v>
      </c>
      <c r="JL9" s="32">
        <v>2.8573588165424901</v>
      </c>
      <c r="JM9" s="32">
        <v>1.6911999999999998</v>
      </c>
      <c r="JN9" s="32">
        <v>3.8125</v>
      </c>
      <c r="JO9" s="32">
        <v>4.3773890508584383</v>
      </c>
      <c r="JP9" s="32">
        <v>3.9127111111111117</v>
      </c>
      <c r="JQ9" s="32">
        <v>19.247119618832613</v>
      </c>
      <c r="JR9" s="32">
        <v>1.1486880466472305</v>
      </c>
      <c r="JS9" s="32">
        <v>21</v>
      </c>
      <c r="JT9" s="32">
        <v>26.98076211353316</v>
      </c>
      <c r="JU9" s="32">
        <v>1.7266048918941481</v>
      </c>
      <c r="JV9" s="32">
        <v>13.48590153939948</v>
      </c>
      <c r="JW9" s="32">
        <v>19.247119618832613</v>
      </c>
      <c r="JX9" s="32">
        <v>2.0345604808414723</v>
      </c>
      <c r="JY9" s="32">
        <v>8.3190062490474013</v>
      </c>
      <c r="JZ9" s="32">
        <v>13.224144588397632</v>
      </c>
      <c r="KA9" s="32">
        <v>2.4191501794807575</v>
      </c>
      <c r="KB9" s="32">
        <v>5.5460041660316008</v>
      </c>
      <c r="KC9" s="32">
        <v>4.9506172839506188</v>
      </c>
      <c r="KD9" s="32">
        <v>8.6980035891950074</v>
      </c>
      <c r="KE9" s="32">
        <v>2.8888888888888888</v>
      </c>
      <c r="KF9" s="32">
        <v>3.300411522633746</v>
      </c>
      <c r="KG9" s="32">
        <v>2.9051973784484075</v>
      </c>
      <c r="KH9" s="32">
        <v>5.4548631881915579</v>
      </c>
      <c r="KI9" s="32">
        <v>2.4191501794807575</v>
      </c>
      <c r="KJ9" s="32">
        <v>1.9367982522989384</v>
      </c>
      <c r="KK9" s="32">
        <v>1.7803688462124674</v>
      </c>
      <c r="KL9" s="32">
        <v>3.2808899523540767</v>
      </c>
      <c r="KM9" s="32">
        <v>2.0345604808414723</v>
      </c>
      <c r="KN9" s="32">
        <v>1.2469135802469138</v>
      </c>
      <c r="KO9" s="32">
        <v>1.9622504486493759</v>
      </c>
      <c r="KP9" s="32">
        <v>1.0487730528882793</v>
      </c>
      <c r="KQ9" s="32">
        <v>1.2851112440442596</v>
      </c>
      <c r="KR9" s="32">
        <v>1.0030483158055175</v>
      </c>
      <c r="KS9" s="32">
        <v>1.0356389055055324</v>
      </c>
      <c r="KT9" s="32">
        <v>0</v>
      </c>
      <c r="KU9" s="32">
        <v>0</v>
      </c>
      <c r="KV9" s="32">
        <v>0</v>
      </c>
      <c r="KW9" s="32">
        <v>0</v>
      </c>
      <c r="KX9" s="32">
        <v>0</v>
      </c>
      <c r="KY9" s="32">
        <v>0</v>
      </c>
      <c r="KZ9" s="32">
        <v>0</v>
      </c>
      <c r="LA9" s="32">
        <v>0</v>
      </c>
      <c r="LB9" s="32">
        <v>0</v>
      </c>
      <c r="LC9" s="32">
        <v>0</v>
      </c>
      <c r="LD9" s="32">
        <v>0</v>
      </c>
      <c r="LE9" s="32">
        <v>0</v>
      </c>
      <c r="LF9" s="32">
        <v>0</v>
      </c>
      <c r="LG9" s="32">
        <v>0</v>
      </c>
      <c r="LH9" s="32">
        <v>0</v>
      </c>
      <c r="LI9" s="32">
        <v>0</v>
      </c>
      <c r="LJ9" s="32">
        <v>0</v>
      </c>
      <c r="LK9" s="32">
        <v>0</v>
      </c>
      <c r="LL9" s="32">
        <v>0</v>
      </c>
      <c r="LM9" s="32">
        <v>0</v>
      </c>
      <c r="LN9" s="32">
        <v>0</v>
      </c>
      <c r="LO9" s="32">
        <v>0</v>
      </c>
      <c r="LP9" s="32">
        <v>0</v>
      </c>
      <c r="LQ9" s="32">
        <v>0</v>
      </c>
      <c r="LR9" s="32">
        <v>0</v>
      </c>
      <c r="LS9" s="32">
        <v>0</v>
      </c>
      <c r="LT9" s="32">
        <v>0</v>
      </c>
      <c r="LU9" s="32">
        <v>0</v>
      </c>
      <c r="LV9" s="32">
        <v>0</v>
      </c>
      <c r="LW9" s="32">
        <v>0</v>
      </c>
      <c r="LX9" s="32">
        <v>0</v>
      </c>
    </row>
    <row r="10" spans="1:337" s="32" customFormat="1" ht="14.25" x14ac:dyDescent="0.2">
      <c r="A10" s="5">
        <v>4</v>
      </c>
      <c r="B10" s="27" t="s">
        <v>658</v>
      </c>
      <c r="C10" s="27" t="s">
        <v>401</v>
      </c>
      <c r="D10" s="27" t="s">
        <v>402</v>
      </c>
      <c r="E10" s="27" t="s">
        <v>401</v>
      </c>
      <c r="F10" s="28" t="s">
        <v>403</v>
      </c>
      <c r="G10" s="28" t="s">
        <v>404</v>
      </c>
      <c r="H10" s="29">
        <v>-1</v>
      </c>
      <c r="I10" s="30">
        <v>-0.67</v>
      </c>
      <c r="J10" s="31">
        <v>11.200949636993284</v>
      </c>
      <c r="K10" s="29" t="s">
        <v>405</v>
      </c>
      <c r="L10" s="16">
        <v>0</v>
      </c>
      <c r="M10" s="16">
        <v>2</v>
      </c>
      <c r="N10" s="27" t="s">
        <v>401</v>
      </c>
      <c r="O10" s="27">
        <v>0</v>
      </c>
      <c r="P10" s="27">
        <v>0</v>
      </c>
      <c r="Q10" s="27">
        <v>0</v>
      </c>
      <c r="R10" s="27">
        <v>0</v>
      </c>
      <c r="S10" s="27">
        <v>0</v>
      </c>
      <c r="T10" s="27">
        <v>20</v>
      </c>
      <c r="U10" s="27">
        <v>0</v>
      </c>
      <c r="V10" s="27">
        <v>20</v>
      </c>
      <c r="W10" s="27">
        <v>3</v>
      </c>
      <c r="X10" s="27" t="s">
        <v>401</v>
      </c>
      <c r="Y10" s="17">
        <v>600.2735218534001</v>
      </c>
      <c r="Z10" s="17">
        <v>582.26296185340004</v>
      </c>
      <c r="AA10" s="17">
        <v>606.3204418534001</v>
      </c>
      <c r="AB10" s="17">
        <v>588.30988185340004</v>
      </c>
      <c r="AC10" s="17">
        <v>881.59414185340006</v>
      </c>
      <c r="AD10" s="17">
        <v>727.60054738860003</v>
      </c>
      <c r="AE10" s="17">
        <v>801.6373268210001</v>
      </c>
      <c r="AF10" s="17">
        <v>527.3712757262</v>
      </c>
      <c r="AG10" s="17">
        <v>453.33449629379999</v>
      </c>
      <c r="AH10" s="17">
        <v>339.36268610079998</v>
      </c>
      <c r="AI10" s="17">
        <v>357.37325078479995</v>
      </c>
      <c r="AJ10" s="17">
        <v>509.36071104220002</v>
      </c>
      <c r="AK10" s="17">
        <v>0</v>
      </c>
      <c r="AL10" s="17">
        <v>555.58686738279994</v>
      </c>
      <c r="AM10" s="17">
        <v>0</v>
      </c>
      <c r="AN10" s="17">
        <v>0</v>
      </c>
      <c r="AO10" s="17">
        <v>0</v>
      </c>
      <c r="AP10" s="17">
        <v>252.97831503820004</v>
      </c>
      <c r="AQ10" s="17">
        <v>173.021500038</v>
      </c>
      <c r="AR10" s="17">
        <v>155.010935354</v>
      </c>
      <c r="AS10" s="32">
        <v>281.32082128799999</v>
      </c>
      <c r="AT10" s="32">
        <v>275.27387109479997</v>
      </c>
      <c r="AU10" s="32">
        <v>55.0547752254</v>
      </c>
      <c r="AV10" s="32">
        <v>57.070425289800006</v>
      </c>
      <c r="AW10" s="32">
        <v>69.070425289799999</v>
      </c>
      <c r="AX10" s="32">
        <v>71.086075354200005</v>
      </c>
      <c r="AY10" s="32">
        <v>83.086075354200005</v>
      </c>
      <c r="AZ10" s="32">
        <v>85.101725418599997</v>
      </c>
      <c r="BA10" s="32">
        <v>97.101725418599997</v>
      </c>
      <c r="BB10" s="32">
        <v>99.117375483000004</v>
      </c>
      <c r="BC10" s="32">
        <v>111.117375483</v>
      </c>
      <c r="BD10" s="32">
        <v>113.13302554740001</v>
      </c>
      <c r="BE10" s="32">
        <v>125.13302554740001</v>
      </c>
      <c r="BF10" s="32">
        <v>127.1486756118</v>
      </c>
      <c r="BG10" s="32">
        <v>139.1486756118</v>
      </c>
      <c r="BH10" s="32">
        <v>141.16432567620001</v>
      </c>
      <c r="BI10" s="32">
        <v>153.16432567620001</v>
      </c>
      <c r="BJ10" s="32">
        <v>155.17997574060001</v>
      </c>
      <c r="BK10" s="32">
        <v>167.17997574060001</v>
      </c>
      <c r="BL10" s="32">
        <v>169.19562580499999</v>
      </c>
      <c r="BM10" s="32">
        <v>181.19562580499999</v>
      </c>
      <c r="BN10" s="32">
        <v>183.2112758694</v>
      </c>
      <c r="BO10" s="32">
        <v>197.2269259338</v>
      </c>
      <c r="BP10" s="32">
        <v>211.24257599820001</v>
      </c>
      <c r="BQ10" s="32">
        <v>225.25822606260002</v>
      </c>
      <c r="BR10" s="32">
        <v>0</v>
      </c>
      <c r="BS10" s="32">
        <v>0</v>
      </c>
      <c r="BT10" s="32">
        <v>0</v>
      </c>
      <c r="BU10" s="32">
        <v>0</v>
      </c>
      <c r="BV10" s="32">
        <v>0</v>
      </c>
      <c r="BW10" s="32">
        <v>0</v>
      </c>
      <c r="BX10" s="32">
        <v>0</v>
      </c>
      <c r="BY10" s="32">
        <v>0</v>
      </c>
      <c r="BZ10" s="32">
        <v>0</v>
      </c>
      <c r="CA10" s="32">
        <v>0</v>
      </c>
      <c r="CB10" s="32">
        <v>0</v>
      </c>
      <c r="CC10" s="32">
        <v>0</v>
      </c>
      <c r="CD10" s="32">
        <v>0</v>
      </c>
      <c r="CE10" s="32">
        <v>0</v>
      </c>
      <c r="CF10" s="32">
        <v>0</v>
      </c>
      <c r="CG10" s="32">
        <v>0</v>
      </c>
      <c r="CH10" s="32">
        <v>0</v>
      </c>
      <c r="CI10" s="32">
        <v>0</v>
      </c>
      <c r="CJ10" s="32">
        <v>0</v>
      </c>
      <c r="CK10" s="32">
        <v>0</v>
      </c>
      <c r="CL10" s="32">
        <v>0</v>
      </c>
      <c r="CM10" s="32">
        <v>0</v>
      </c>
      <c r="CN10" s="32">
        <v>0</v>
      </c>
      <c r="CO10" s="32">
        <v>0</v>
      </c>
      <c r="CP10" s="32">
        <v>0</v>
      </c>
      <c r="CQ10" s="32">
        <v>0</v>
      </c>
      <c r="CR10" s="32">
        <v>0</v>
      </c>
      <c r="CS10" s="32">
        <v>0</v>
      </c>
      <c r="CT10" s="32">
        <v>0</v>
      </c>
      <c r="CU10" s="32">
        <v>0</v>
      </c>
      <c r="CV10" s="32">
        <v>0</v>
      </c>
      <c r="CW10" s="32">
        <v>0</v>
      </c>
      <c r="CX10" s="32">
        <v>0</v>
      </c>
      <c r="CY10" s="32">
        <v>0</v>
      </c>
      <c r="CZ10" s="32">
        <v>0</v>
      </c>
      <c r="DA10" s="32">
        <v>0</v>
      </c>
      <c r="DB10" s="32">
        <v>0</v>
      </c>
      <c r="DC10" s="32">
        <v>0</v>
      </c>
      <c r="DD10" s="32">
        <v>0</v>
      </c>
      <c r="DE10" s="32">
        <v>0</v>
      </c>
      <c r="DF10" s="32">
        <v>0</v>
      </c>
      <c r="DG10" s="32">
        <v>0</v>
      </c>
      <c r="DH10" s="32">
        <v>0</v>
      </c>
      <c r="DI10" s="32">
        <v>0</v>
      </c>
      <c r="DJ10" s="32">
        <v>0</v>
      </c>
      <c r="DK10" s="32">
        <v>55.0547752254</v>
      </c>
      <c r="DL10" s="32">
        <v>57.070425289800006</v>
      </c>
      <c r="DM10" s="32">
        <v>69.070425289799999</v>
      </c>
      <c r="DN10" s="32">
        <v>71.086075354200005</v>
      </c>
      <c r="DO10" s="32">
        <v>81.070425289799999</v>
      </c>
      <c r="DP10" s="32">
        <v>83.086075354200005</v>
      </c>
      <c r="DQ10" s="32">
        <v>85.101725418599997</v>
      </c>
      <c r="DR10" s="32">
        <v>95.086075354200005</v>
      </c>
      <c r="DS10" s="32">
        <v>97.101725418599997</v>
      </c>
      <c r="DT10" s="32">
        <v>99.117375483000004</v>
      </c>
      <c r="DU10" s="32">
        <v>109.1017254186</v>
      </c>
      <c r="DV10" s="32">
        <v>111.117375483</v>
      </c>
      <c r="DW10" s="32">
        <v>113.13302554740001</v>
      </c>
      <c r="DX10" s="32">
        <v>123.117375483</v>
      </c>
      <c r="DY10" s="32">
        <v>125.13302554740001</v>
      </c>
      <c r="DZ10" s="32">
        <v>137.1330255474</v>
      </c>
      <c r="EA10" s="32">
        <v>139.1486756118</v>
      </c>
      <c r="EB10" s="32">
        <v>149.1330255474</v>
      </c>
      <c r="EC10" s="32">
        <v>151.1486756118</v>
      </c>
      <c r="ED10" s="32">
        <v>153.16432567620001</v>
      </c>
      <c r="EE10" s="32">
        <v>163.1486756118</v>
      </c>
      <c r="EF10" s="32">
        <v>165.16432567620001</v>
      </c>
      <c r="EG10" s="32">
        <v>167.17997574060001</v>
      </c>
      <c r="EH10" s="32">
        <v>177.16432567620001</v>
      </c>
      <c r="EI10" s="32">
        <v>179.17997574060001</v>
      </c>
      <c r="EJ10" s="32">
        <v>181.19562580499999</v>
      </c>
      <c r="EK10" s="32">
        <v>191.17997574060001</v>
      </c>
      <c r="EL10" s="32">
        <v>193.19562580499999</v>
      </c>
      <c r="EM10" s="32">
        <v>205.19562580499999</v>
      </c>
      <c r="EN10" s="32">
        <v>207.2112758694</v>
      </c>
      <c r="EO10" s="32">
        <v>219.2112758694</v>
      </c>
      <c r="EP10" s="32">
        <v>221.2269259338</v>
      </c>
      <c r="EQ10" s="32">
        <v>0</v>
      </c>
      <c r="ER10" s="32">
        <v>0</v>
      </c>
      <c r="ES10" s="32">
        <v>0</v>
      </c>
      <c r="ET10" s="32">
        <v>0</v>
      </c>
      <c r="EU10" s="32">
        <v>0</v>
      </c>
      <c r="EV10" s="32">
        <v>0</v>
      </c>
      <c r="EW10" s="32">
        <v>0</v>
      </c>
      <c r="EX10" s="32">
        <v>0</v>
      </c>
      <c r="EY10" s="32">
        <v>0</v>
      </c>
      <c r="EZ10" s="32">
        <v>0</v>
      </c>
      <c r="FA10" s="32">
        <v>0</v>
      </c>
      <c r="FB10" s="32">
        <v>0</v>
      </c>
      <c r="FC10" s="32">
        <v>0</v>
      </c>
      <c r="FD10" s="32">
        <v>0</v>
      </c>
      <c r="FE10" s="32">
        <v>0</v>
      </c>
      <c r="FF10" s="32">
        <v>0</v>
      </c>
      <c r="FG10" s="32">
        <v>0</v>
      </c>
      <c r="FH10" s="32">
        <v>0</v>
      </c>
      <c r="FI10" s="32">
        <v>0</v>
      </c>
      <c r="FJ10" s="32">
        <v>0</v>
      </c>
      <c r="FK10" s="32">
        <v>0</v>
      </c>
      <c r="FL10" s="32">
        <v>0</v>
      </c>
      <c r="FM10" s="32">
        <v>0</v>
      </c>
      <c r="FN10" s="32">
        <v>0</v>
      </c>
      <c r="FO10" s="32">
        <v>0</v>
      </c>
      <c r="FP10" s="32">
        <v>0</v>
      </c>
      <c r="FQ10" s="32">
        <v>0</v>
      </c>
      <c r="FR10" s="32">
        <v>0</v>
      </c>
      <c r="FS10" s="32">
        <v>0</v>
      </c>
      <c r="FT10" s="32">
        <v>0</v>
      </c>
      <c r="FU10" s="32">
        <v>0</v>
      </c>
      <c r="FV10" s="32">
        <v>0</v>
      </c>
      <c r="FW10" s="32">
        <v>0</v>
      </c>
      <c r="FX10" s="32">
        <v>0</v>
      </c>
      <c r="FY10" s="32">
        <v>0</v>
      </c>
      <c r="FZ10" s="32">
        <v>0</v>
      </c>
      <c r="GA10" s="3">
        <v>21.870000000000005</v>
      </c>
      <c r="GB10" s="32">
        <v>14.580000000000004</v>
      </c>
      <c r="GC10" s="32">
        <v>109.35000000000002</v>
      </c>
      <c r="GD10" s="32">
        <v>51.839999999999996</v>
      </c>
      <c r="GE10" s="32">
        <v>51.839999999999996</v>
      </c>
      <c r="GF10" s="32">
        <v>69.12</v>
      </c>
      <c r="GG10" s="32">
        <v>34.56</v>
      </c>
      <c r="GH10" s="32">
        <v>25.919999999999998</v>
      </c>
      <c r="GI10" s="32">
        <v>0</v>
      </c>
      <c r="GJ10" s="32">
        <v>0</v>
      </c>
      <c r="GK10" s="32">
        <v>11.664000000000001</v>
      </c>
      <c r="GL10" s="32">
        <v>0</v>
      </c>
      <c r="GM10" s="32">
        <v>0</v>
      </c>
      <c r="GN10" s="32">
        <v>39.930000000000014</v>
      </c>
      <c r="GO10" s="32">
        <v>30</v>
      </c>
      <c r="GP10" s="32">
        <v>10</v>
      </c>
      <c r="GQ10" s="32">
        <v>2.1970000000000005</v>
      </c>
      <c r="GR10" s="32">
        <v>12.166999999999996</v>
      </c>
      <c r="GS10" s="32">
        <v>1</v>
      </c>
      <c r="GT10" s="32">
        <v>26</v>
      </c>
      <c r="GU10" s="32">
        <v>1.0338291173353296</v>
      </c>
      <c r="GV10" s="32">
        <v>51.049562682215743</v>
      </c>
      <c r="GW10" s="32">
        <v>1.5412658773652741</v>
      </c>
      <c r="GX10" s="32">
        <v>91.396501457725947</v>
      </c>
      <c r="GY10" s="32">
        <v>3.7401585041617</v>
      </c>
      <c r="GZ10" s="32">
        <v>2.3381924198250732</v>
      </c>
      <c r="HA10" s="32">
        <v>9.6602540378443855</v>
      </c>
      <c r="HB10" s="32">
        <v>4.1720116618075798</v>
      </c>
      <c r="HC10" s="32">
        <v>7.0823732062775377</v>
      </c>
      <c r="HD10" s="32">
        <v>10.311044327573251</v>
      </c>
      <c r="HE10" s="32">
        <v>5.0747148627992109</v>
      </c>
      <c r="HF10" s="32">
        <v>13.772351615326819</v>
      </c>
      <c r="HG10" s="32">
        <v>3.5660011963983362</v>
      </c>
      <c r="HH10" s="32">
        <v>18</v>
      </c>
      <c r="HI10" s="32">
        <v>2.4849543960638525</v>
      </c>
      <c r="HJ10" s="32">
        <v>13.772351615326819</v>
      </c>
      <c r="HK10" s="32">
        <v>1.7602966507846922</v>
      </c>
      <c r="HL10" s="32">
        <v>10.311044327573251</v>
      </c>
      <c r="HM10" s="32">
        <v>7.5394440270473329</v>
      </c>
      <c r="HN10" s="32">
        <v>5.3809166040570995</v>
      </c>
      <c r="HO10" s="32">
        <v>3.7588279489105929</v>
      </c>
      <c r="HP10" s="32">
        <v>0</v>
      </c>
      <c r="HQ10" s="32">
        <v>0</v>
      </c>
      <c r="HR10" s="32">
        <v>0</v>
      </c>
      <c r="HS10" s="32">
        <v>0</v>
      </c>
      <c r="HT10" s="32">
        <v>0</v>
      </c>
      <c r="HU10" s="32">
        <v>0</v>
      </c>
      <c r="HV10" s="32">
        <v>0</v>
      </c>
      <c r="HW10" s="32">
        <v>0</v>
      </c>
      <c r="HX10" s="32">
        <v>0</v>
      </c>
      <c r="HY10" s="32">
        <v>0</v>
      </c>
      <c r="HZ10" s="32">
        <v>0</v>
      </c>
      <c r="IA10" s="32">
        <v>0</v>
      </c>
      <c r="IB10" s="32">
        <v>0</v>
      </c>
      <c r="IC10" s="32">
        <v>0</v>
      </c>
      <c r="ID10" s="32">
        <v>0</v>
      </c>
      <c r="IE10" s="32">
        <v>0</v>
      </c>
      <c r="IF10" s="32">
        <v>0</v>
      </c>
      <c r="IG10" s="32">
        <v>0</v>
      </c>
      <c r="IH10" s="32">
        <v>0</v>
      </c>
      <c r="II10" s="32">
        <v>0</v>
      </c>
      <c r="IJ10" s="32">
        <v>0</v>
      </c>
      <c r="IK10" s="32">
        <v>0</v>
      </c>
      <c r="IL10" s="32">
        <v>0</v>
      </c>
      <c r="IM10" s="32">
        <v>0</v>
      </c>
      <c r="IN10" s="32">
        <v>0</v>
      </c>
      <c r="IO10" s="32">
        <v>0</v>
      </c>
      <c r="IP10" s="32">
        <v>0</v>
      </c>
      <c r="IQ10" s="32">
        <v>0</v>
      </c>
      <c r="IR10" s="32">
        <v>0</v>
      </c>
      <c r="IS10" s="32">
        <v>0</v>
      </c>
      <c r="IT10" s="32">
        <v>0</v>
      </c>
      <c r="IU10" s="32">
        <v>0</v>
      </c>
      <c r="IV10" s="32">
        <v>0</v>
      </c>
      <c r="IW10" s="32">
        <v>0</v>
      </c>
      <c r="IX10" s="32">
        <v>0</v>
      </c>
      <c r="IY10" s="32">
        <v>0</v>
      </c>
      <c r="IZ10" s="32">
        <v>0</v>
      </c>
      <c r="JA10" s="32">
        <v>0</v>
      </c>
      <c r="JB10" s="32">
        <v>0</v>
      </c>
      <c r="JC10" s="32">
        <v>0</v>
      </c>
      <c r="JD10" s="32">
        <v>0</v>
      </c>
      <c r="JE10" s="32">
        <v>0</v>
      </c>
      <c r="JF10" s="32">
        <v>0</v>
      </c>
      <c r="JG10" s="32">
        <v>0</v>
      </c>
      <c r="JH10" s="32">
        <v>0</v>
      </c>
      <c r="JI10" s="32">
        <v>1</v>
      </c>
      <c r="JJ10" s="32">
        <v>1.390625</v>
      </c>
      <c r="JK10" s="32">
        <v>1.095683193077468</v>
      </c>
      <c r="JL10" s="32">
        <v>1.784347667638484</v>
      </c>
      <c r="JM10" s="32">
        <v>2.5551999999999997</v>
      </c>
      <c r="JN10" s="32">
        <v>2.5309310892394863</v>
      </c>
      <c r="JO10" s="32">
        <v>2.4310313411078717</v>
      </c>
      <c r="JP10" s="32">
        <v>7.5536000000000012</v>
      </c>
      <c r="JQ10" s="32">
        <v>13.164746412555075</v>
      </c>
      <c r="JR10" s="32">
        <v>1.0836370262390671</v>
      </c>
      <c r="JS10" s="32">
        <v>36.555555555555557</v>
      </c>
      <c r="JT10" s="32">
        <v>18.320508075688771</v>
      </c>
      <c r="JU10" s="32">
        <v>1.4087152516904582</v>
      </c>
      <c r="JV10" s="32">
        <v>23.19715829226574</v>
      </c>
      <c r="JW10" s="32">
        <v>13.164746412555075</v>
      </c>
      <c r="JX10" s="32">
        <v>14.011566664973158</v>
      </c>
      <c r="JY10" s="32">
        <v>9.1494297255984218</v>
      </c>
      <c r="JZ10" s="32">
        <v>8.7764976083700503</v>
      </c>
      <c r="KA10" s="32">
        <v>8.0233196159122109</v>
      </c>
      <c r="KB10" s="32">
        <v>6.1320023927966725</v>
      </c>
      <c r="KC10" s="32">
        <v>5.8509984055800333</v>
      </c>
      <c r="KD10" s="32">
        <v>4.3870175616860578</v>
      </c>
      <c r="KE10" s="32">
        <v>3.969908792127705</v>
      </c>
      <c r="KF10" s="32">
        <v>3.900665603720022</v>
      </c>
      <c r="KG10" s="32">
        <v>2.3873223932666088</v>
      </c>
      <c r="KH10" s="32">
        <v>2.5205933015693844</v>
      </c>
      <c r="KI10" s="32">
        <v>2.6004437358133479</v>
      </c>
      <c r="KJ10" s="32">
        <v>1.4389574759945132</v>
      </c>
      <c r="KK10" s="32">
        <v>1.6803955343795896</v>
      </c>
      <c r="KL10" s="32">
        <v>1.086707649579163</v>
      </c>
      <c r="KM10" s="32">
        <v>0.95930498399634212</v>
      </c>
      <c r="KN10" s="32">
        <v>1.0054192280986978</v>
      </c>
      <c r="KO10" s="32">
        <v>0</v>
      </c>
      <c r="KP10" s="32">
        <v>0</v>
      </c>
      <c r="KQ10" s="32">
        <v>0</v>
      </c>
      <c r="KR10" s="32">
        <v>0</v>
      </c>
      <c r="KS10" s="32">
        <v>0</v>
      </c>
      <c r="KT10" s="32">
        <v>0</v>
      </c>
      <c r="KU10" s="32">
        <v>0</v>
      </c>
      <c r="KV10" s="32">
        <v>0</v>
      </c>
      <c r="KW10" s="32">
        <v>0</v>
      </c>
      <c r="KX10" s="32">
        <v>0</v>
      </c>
      <c r="KY10" s="32">
        <v>0</v>
      </c>
      <c r="KZ10" s="32">
        <v>0</v>
      </c>
      <c r="LA10" s="32">
        <v>0</v>
      </c>
      <c r="LB10" s="32">
        <v>0</v>
      </c>
      <c r="LC10" s="32">
        <v>0</v>
      </c>
      <c r="LD10" s="32">
        <v>0</v>
      </c>
      <c r="LE10" s="32">
        <v>0</v>
      </c>
      <c r="LF10" s="32">
        <v>0</v>
      </c>
      <c r="LG10" s="32">
        <v>0</v>
      </c>
      <c r="LH10" s="32">
        <v>0</v>
      </c>
      <c r="LI10" s="32">
        <v>0</v>
      </c>
      <c r="LJ10" s="32">
        <v>0</v>
      </c>
      <c r="LK10" s="32">
        <v>0</v>
      </c>
      <c r="LL10" s="32">
        <v>0</v>
      </c>
      <c r="LM10" s="32">
        <v>0</v>
      </c>
      <c r="LN10" s="32">
        <v>0</v>
      </c>
      <c r="LO10" s="32">
        <v>0</v>
      </c>
      <c r="LP10" s="32">
        <v>0</v>
      </c>
      <c r="LQ10" s="32">
        <v>0</v>
      </c>
      <c r="LR10" s="32">
        <v>0</v>
      </c>
      <c r="LS10" s="32">
        <v>0</v>
      </c>
      <c r="LT10" s="32">
        <v>0</v>
      </c>
      <c r="LU10" s="32">
        <v>0</v>
      </c>
      <c r="LV10" s="32">
        <v>0</v>
      </c>
      <c r="LW10" s="32">
        <v>0</v>
      </c>
      <c r="LX10" s="32">
        <v>0</v>
      </c>
    </row>
    <row r="11" spans="1:337" s="32" customFormat="1" ht="14.25" x14ac:dyDescent="0.2">
      <c r="A11" s="5">
        <v>5</v>
      </c>
      <c r="B11" s="27" t="s">
        <v>659</v>
      </c>
      <c r="C11" s="27" t="s">
        <v>406</v>
      </c>
      <c r="D11" s="27" t="s">
        <v>407</v>
      </c>
      <c r="E11" s="27" t="s">
        <v>406</v>
      </c>
      <c r="F11" s="28" t="s">
        <v>408</v>
      </c>
      <c r="G11" s="28" t="s">
        <v>409</v>
      </c>
      <c r="H11" s="29">
        <v>-1</v>
      </c>
      <c r="I11" s="30">
        <v>-1.69</v>
      </c>
      <c r="J11" s="31">
        <v>10.795370130341</v>
      </c>
      <c r="K11" s="29" t="s">
        <v>410</v>
      </c>
      <c r="L11" s="16">
        <v>0</v>
      </c>
      <c r="M11" s="16">
        <v>2</v>
      </c>
      <c r="N11" s="27" t="s">
        <v>406</v>
      </c>
      <c r="O11" s="27">
        <v>0</v>
      </c>
      <c r="P11" s="27">
        <v>0</v>
      </c>
      <c r="Q11" s="27">
        <v>0</v>
      </c>
      <c r="R11" s="27">
        <v>0</v>
      </c>
      <c r="S11" s="27">
        <v>0</v>
      </c>
      <c r="T11" s="27">
        <v>20</v>
      </c>
      <c r="U11" s="27">
        <v>0</v>
      </c>
      <c r="V11" s="27">
        <v>20</v>
      </c>
      <c r="W11" s="27">
        <v>4</v>
      </c>
      <c r="X11" s="27" t="s">
        <v>406</v>
      </c>
      <c r="Y11" s="17">
        <v>598.25787178900009</v>
      </c>
      <c r="Z11" s="17">
        <v>580.24731178900004</v>
      </c>
      <c r="AA11" s="17">
        <v>606.32043178899994</v>
      </c>
      <c r="AB11" s="17">
        <v>588.30987178899989</v>
      </c>
      <c r="AC11" s="17">
        <v>879.57849178900005</v>
      </c>
      <c r="AD11" s="17">
        <v>725.58489732420003</v>
      </c>
      <c r="AE11" s="17">
        <v>799.6216767566001</v>
      </c>
      <c r="AF11" s="17">
        <v>527.3712757262</v>
      </c>
      <c r="AG11" s="17">
        <v>453.33449629379999</v>
      </c>
      <c r="AH11" s="17">
        <v>339.36268610079998</v>
      </c>
      <c r="AI11" s="17">
        <v>357.37325078479995</v>
      </c>
      <c r="AJ11" s="17">
        <v>509.36071104220002</v>
      </c>
      <c r="AK11" s="17">
        <v>0</v>
      </c>
      <c r="AL11" s="17">
        <v>553.57121731839993</v>
      </c>
      <c r="AM11" s="17">
        <v>0</v>
      </c>
      <c r="AN11" s="17">
        <v>0</v>
      </c>
      <c r="AO11" s="17">
        <v>0</v>
      </c>
      <c r="AP11" s="17">
        <v>252.97831503820004</v>
      </c>
      <c r="AQ11" s="17">
        <v>173.021500038</v>
      </c>
      <c r="AR11" s="17">
        <v>155.010935354</v>
      </c>
      <c r="AS11" s="32">
        <v>281.32082128799999</v>
      </c>
      <c r="AT11" s="32">
        <v>273.25822103039997</v>
      </c>
      <c r="AU11" s="32">
        <v>55.0547752254</v>
      </c>
      <c r="AV11" s="32">
        <v>57.070425289800006</v>
      </c>
      <c r="AW11" s="32">
        <v>69.070425289799999</v>
      </c>
      <c r="AX11" s="32">
        <v>71.086075354200005</v>
      </c>
      <c r="AY11" s="32">
        <v>83.086075354200005</v>
      </c>
      <c r="AZ11" s="32">
        <v>85.101725418599997</v>
      </c>
      <c r="BA11" s="32">
        <v>97.101725418599997</v>
      </c>
      <c r="BB11" s="32">
        <v>99.117375483000004</v>
      </c>
      <c r="BC11" s="32">
        <v>111.117375483</v>
      </c>
      <c r="BD11" s="32">
        <v>113.13302554740001</v>
      </c>
      <c r="BE11" s="32">
        <v>125.13302554740001</v>
      </c>
      <c r="BF11" s="32">
        <v>127.1486756118</v>
      </c>
      <c r="BG11" s="32">
        <v>139.1486756118</v>
      </c>
      <c r="BH11" s="32">
        <v>141.16432567620001</v>
      </c>
      <c r="BI11" s="32">
        <v>153.16432567620001</v>
      </c>
      <c r="BJ11" s="32">
        <v>155.17997574060001</v>
      </c>
      <c r="BK11" s="32">
        <v>167.17997574060001</v>
      </c>
      <c r="BL11" s="32">
        <v>169.19562580499999</v>
      </c>
      <c r="BM11" s="32">
        <v>181.19562580499999</v>
      </c>
      <c r="BN11" s="32">
        <v>183.2112758694</v>
      </c>
      <c r="BO11" s="32">
        <v>197.2269259338</v>
      </c>
      <c r="BP11" s="32">
        <v>211.24257599820001</v>
      </c>
      <c r="BQ11" s="32">
        <v>225.25822606260002</v>
      </c>
      <c r="BR11" s="32">
        <v>0</v>
      </c>
      <c r="BS11" s="32">
        <v>0</v>
      </c>
      <c r="BT11" s="32">
        <v>0</v>
      </c>
      <c r="BU11" s="32">
        <v>0</v>
      </c>
      <c r="BV11" s="32">
        <v>0</v>
      </c>
      <c r="BW11" s="32">
        <v>0</v>
      </c>
      <c r="BX11" s="32">
        <v>0</v>
      </c>
      <c r="BY11" s="32">
        <v>0</v>
      </c>
      <c r="BZ11" s="32">
        <v>0</v>
      </c>
      <c r="CA11" s="32">
        <v>0</v>
      </c>
      <c r="CB11" s="32">
        <v>0</v>
      </c>
      <c r="CC11" s="32">
        <v>0</v>
      </c>
      <c r="CD11" s="32">
        <v>0</v>
      </c>
      <c r="CE11" s="32">
        <v>0</v>
      </c>
      <c r="CF11" s="32">
        <v>0</v>
      </c>
      <c r="CG11" s="32">
        <v>0</v>
      </c>
      <c r="CH11" s="32">
        <v>0</v>
      </c>
      <c r="CI11" s="32">
        <v>0</v>
      </c>
      <c r="CJ11" s="32">
        <v>0</v>
      </c>
      <c r="CK11" s="32">
        <v>0</v>
      </c>
      <c r="CL11" s="32">
        <v>0</v>
      </c>
      <c r="CM11" s="32">
        <v>0</v>
      </c>
      <c r="CN11" s="32">
        <v>0</v>
      </c>
      <c r="CO11" s="32">
        <v>0</v>
      </c>
      <c r="CP11" s="32">
        <v>0</v>
      </c>
      <c r="CQ11" s="32">
        <v>0</v>
      </c>
      <c r="CR11" s="32">
        <v>0</v>
      </c>
      <c r="CS11" s="32">
        <v>0</v>
      </c>
      <c r="CT11" s="32">
        <v>0</v>
      </c>
      <c r="CU11" s="32">
        <v>0</v>
      </c>
      <c r="CV11" s="32">
        <v>0</v>
      </c>
      <c r="CW11" s="32">
        <v>0</v>
      </c>
      <c r="CX11" s="32">
        <v>0</v>
      </c>
      <c r="CY11" s="32">
        <v>0</v>
      </c>
      <c r="CZ11" s="32">
        <v>0</v>
      </c>
      <c r="DA11" s="32">
        <v>0</v>
      </c>
      <c r="DB11" s="32">
        <v>0</v>
      </c>
      <c r="DC11" s="32">
        <v>0</v>
      </c>
      <c r="DD11" s="32">
        <v>0</v>
      </c>
      <c r="DE11" s="32">
        <v>0</v>
      </c>
      <c r="DF11" s="32">
        <v>0</v>
      </c>
      <c r="DG11" s="32">
        <v>0</v>
      </c>
      <c r="DH11" s="32">
        <v>0</v>
      </c>
      <c r="DI11" s="32">
        <v>0</v>
      </c>
      <c r="DJ11" s="32">
        <v>0</v>
      </c>
      <c r="DK11" s="32">
        <v>55.0547752254</v>
      </c>
      <c r="DL11" s="32">
        <v>69.070425289799999</v>
      </c>
      <c r="DM11" s="32">
        <v>81.070425289799999</v>
      </c>
      <c r="DN11" s="32">
        <v>83.086075354200005</v>
      </c>
      <c r="DO11" s="32">
        <v>95.086075354200005</v>
      </c>
      <c r="DP11" s="32">
        <v>97.101725418599997</v>
      </c>
      <c r="DQ11" s="32">
        <v>109.1017254186</v>
      </c>
      <c r="DR11" s="32">
        <v>111.117375483</v>
      </c>
      <c r="DS11" s="32">
        <v>123.117375483</v>
      </c>
      <c r="DT11" s="32">
        <v>137.1330255474</v>
      </c>
      <c r="DU11" s="32">
        <v>149.1330255474</v>
      </c>
      <c r="DV11" s="32">
        <v>151.1486756118</v>
      </c>
      <c r="DW11" s="32">
        <v>163.1486756118</v>
      </c>
      <c r="DX11" s="32">
        <v>165.16432567620001</v>
      </c>
      <c r="DY11" s="32">
        <v>177.16432567620001</v>
      </c>
      <c r="DZ11" s="32">
        <v>179.17997574060001</v>
      </c>
      <c r="EA11" s="32">
        <v>191.17997574060001</v>
      </c>
      <c r="EB11" s="32">
        <v>205.19562580499999</v>
      </c>
      <c r="EC11" s="32">
        <v>217.19562580499999</v>
      </c>
      <c r="ED11" s="32">
        <v>219.2112758694</v>
      </c>
      <c r="EE11" s="32">
        <v>0</v>
      </c>
      <c r="EF11" s="32">
        <v>0</v>
      </c>
      <c r="EG11" s="32">
        <v>0</v>
      </c>
      <c r="EH11" s="32">
        <v>0</v>
      </c>
      <c r="EI11" s="32">
        <v>0</v>
      </c>
      <c r="EJ11" s="32">
        <v>0</v>
      </c>
      <c r="EK11" s="32">
        <v>0</v>
      </c>
      <c r="EL11" s="32">
        <v>0</v>
      </c>
      <c r="EM11" s="32">
        <v>0</v>
      </c>
      <c r="EN11" s="32">
        <v>0</v>
      </c>
      <c r="EO11" s="32">
        <v>0</v>
      </c>
      <c r="EP11" s="32">
        <v>0</v>
      </c>
      <c r="EQ11" s="32">
        <v>0</v>
      </c>
      <c r="ER11" s="32">
        <v>0</v>
      </c>
      <c r="ES11" s="32">
        <v>0</v>
      </c>
      <c r="ET11" s="32">
        <v>0</v>
      </c>
      <c r="EU11" s="32">
        <v>0</v>
      </c>
      <c r="EV11" s="32">
        <v>0</v>
      </c>
      <c r="EW11" s="32">
        <v>0</v>
      </c>
      <c r="EX11" s="32">
        <v>0</v>
      </c>
      <c r="EY11" s="32">
        <v>0</v>
      </c>
      <c r="EZ11" s="32">
        <v>0</v>
      </c>
      <c r="FA11" s="32">
        <v>0</v>
      </c>
      <c r="FB11" s="32">
        <v>0</v>
      </c>
      <c r="FC11" s="32">
        <v>0</v>
      </c>
      <c r="FD11" s="32">
        <v>0</v>
      </c>
      <c r="FE11" s="32">
        <v>0</v>
      </c>
      <c r="FF11" s="32">
        <v>0</v>
      </c>
      <c r="FG11" s="32">
        <v>0</v>
      </c>
      <c r="FH11" s="32">
        <v>0</v>
      </c>
      <c r="FI11" s="32">
        <v>0</v>
      </c>
      <c r="FJ11" s="32">
        <v>0</v>
      </c>
      <c r="FK11" s="32">
        <v>0</v>
      </c>
      <c r="FL11" s="32">
        <v>0</v>
      </c>
      <c r="FM11" s="32">
        <v>0</v>
      </c>
      <c r="FN11" s="32">
        <v>0</v>
      </c>
      <c r="FO11" s="32">
        <v>0</v>
      </c>
      <c r="FP11" s="32">
        <v>0</v>
      </c>
      <c r="FQ11" s="32">
        <v>0</v>
      </c>
      <c r="FR11" s="32">
        <v>0</v>
      </c>
      <c r="FS11" s="32">
        <v>0</v>
      </c>
      <c r="FT11" s="32">
        <v>0</v>
      </c>
      <c r="FU11" s="32">
        <v>0</v>
      </c>
      <c r="FV11" s="32">
        <v>0</v>
      </c>
      <c r="FW11" s="32">
        <v>0</v>
      </c>
      <c r="FX11" s="32">
        <v>0</v>
      </c>
      <c r="FY11" s="32">
        <v>0</v>
      </c>
      <c r="FZ11" s="32">
        <v>0</v>
      </c>
      <c r="GA11" s="3">
        <v>19.683000000000003</v>
      </c>
      <c r="GB11" s="32">
        <v>13.122000000000002</v>
      </c>
      <c r="GC11" s="32">
        <v>98.41500000000002</v>
      </c>
      <c r="GD11" s="32">
        <v>62.207999999999998</v>
      </c>
      <c r="GE11" s="32">
        <v>62.207999999999998</v>
      </c>
      <c r="GF11" s="32">
        <v>82.943999999999988</v>
      </c>
      <c r="GG11" s="32">
        <v>41.471999999999994</v>
      </c>
      <c r="GH11" s="32">
        <v>31.103999999999999</v>
      </c>
      <c r="GI11" s="32">
        <v>0</v>
      </c>
      <c r="GJ11" s="32">
        <v>0</v>
      </c>
      <c r="GK11" s="32">
        <v>20.995200000000004</v>
      </c>
      <c r="GL11" s="32">
        <v>0</v>
      </c>
      <c r="GM11" s="32">
        <v>0</v>
      </c>
      <c r="GN11" s="32">
        <v>43.923000000000009</v>
      </c>
      <c r="GO11" s="32">
        <v>30</v>
      </c>
      <c r="GP11" s="32">
        <v>10</v>
      </c>
      <c r="GQ11" s="32">
        <v>2.8561000000000005</v>
      </c>
      <c r="GR11" s="32">
        <v>27.984099999999991</v>
      </c>
      <c r="GS11" s="32">
        <v>1</v>
      </c>
      <c r="GT11" s="32">
        <v>26</v>
      </c>
      <c r="GU11" s="32">
        <v>1.0338291173353296</v>
      </c>
      <c r="GV11" s="32">
        <v>51.049562682215743</v>
      </c>
      <c r="GW11" s="32">
        <v>1.5412658773652741</v>
      </c>
      <c r="GX11" s="32">
        <v>91.396501457725947</v>
      </c>
      <c r="GY11" s="32">
        <v>3.7401585041617</v>
      </c>
      <c r="GZ11" s="32">
        <v>2.3381924198250732</v>
      </c>
      <c r="HA11" s="32">
        <v>9.6602540378443855</v>
      </c>
      <c r="HB11" s="32">
        <v>4.1720116618075798</v>
      </c>
      <c r="HC11" s="32">
        <v>7.0823732062775377</v>
      </c>
      <c r="HD11" s="32">
        <v>10.311044327573251</v>
      </c>
      <c r="HE11" s="32">
        <v>5.0747148627992109</v>
      </c>
      <c r="HF11" s="32">
        <v>13.772351615326819</v>
      </c>
      <c r="HG11" s="32">
        <v>3.5660011963983362</v>
      </c>
      <c r="HH11" s="32">
        <v>18</v>
      </c>
      <c r="HI11" s="32">
        <v>2.4849543960638525</v>
      </c>
      <c r="HJ11" s="32">
        <v>13.772351615326819</v>
      </c>
      <c r="HK11" s="32">
        <v>1.7602966507846922</v>
      </c>
      <c r="HL11" s="32">
        <v>10.311044327573251</v>
      </c>
      <c r="HM11" s="32">
        <v>7.5394440270473329</v>
      </c>
      <c r="HN11" s="32">
        <v>5.3809166040570995</v>
      </c>
      <c r="HO11" s="32">
        <v>3.7588279489105929</v>
      </c>
      <c r="HP11" s="32">
        <v>0</v>
      </c>
      <c r="HQ11" s="32">
        <v>0</v>
      </c>
      <c r="HR11" s="32">
        <v>0</v>
      </c>
      <c r="HS11" s="32">
        <v>0</v>
      </c>
      <c r="HT11" s="32">
        <v>0</v>
      </c>
      <c r="HU11" s="32">
        <v>0</v>
      </c>
      <c r="HV11" s="32">
        <v>0</v>
      </c>
      <c r="HW11" s="32">
        <v>0</v>
      </c>
      <c r="HX11" s="32">
        <v>0</v>
      </c>
      <c r="HY11" s="32">
        <v>0</v>
      </c>
      <c r="HZ11" s="32">
        <v>0</v>
      </c>
      <c r="IA11" s="32">
        <v>0</v>
      </c>
      <c r="IB11" s="32">
        <v>0</v>
      </c>
      <c r="IC11" s="32">
        <v>0</v>
      </c>
      <c r="ID11" s="32">
        <v>0</v>
      </c>
      <c r="IE11" s="32">
        <v>0</v>
      </c>
      <c r="IF11" s="32">
        <v>0</v>
      </c>
      <c r="IG11" s="32">
        <v>0</v>
      </c>
      <c r="IH11" s="32">
        <v>0</v>
      </c>
      <c r="II11" s="32">
        <v>0</v>
      </c>
      <c r="IJ11" s="32">
        <v>0</v>
      </c>
      <c r="IK11" s="32">
        <v>0</v>
      </c>
      <c r="IL11" s="32">
        <v>0</v>
      </c>
      <c r="IM11" s="32">
        <v>0</v>
      </c>
      <c r="IN11" s="32">
        <v>0</v>
      </c>
      <c r="IO11" s="32">
        <v>0</v>
      </c>
      <c r="IP11" s="32">
        <v>0</v>
      </c>
      <c r="IQ11" s="32">
        <v>0</v>
      </c>
      <c r="IR11" s="32">
        <v>0</v>
      </c>
      <c r="IS11" s="32">
        <v>0</v>
      </c>
      <c r="IT11" s="32">
        <v>0</v>
      </c>
      <c r="IU11" s="32">
        <v>0</v>
      </c>
      <c r="IV11" s="32">
        <v>0</v>
      </c>
      <c r="IW11" s="32">
        <v>0</v>
      </c>
      <c r="IX11" s="32">
        <v>0</v>
      </c>
      <c r="IY11" s="32">
        <v>0</v>
      </c>
      <c r="IZ11" s="32">
        <v>0</v>
      </c>
      <c r="JA11" s="32">
        <v>0</v>
      </c>
      <c r="JB11" s="32">
        <v>0</v>
      </c>
      <c r="JC11" s="32">
        <v>0</v>
      </c>
      <c r="JD11" s="32">
        <v>0</v>
      </c>
      <c r="JE11" s="32">
        <v>0</v>
      </c>
      <c r="JF11" s="32">
        <v>0</v>
      </c>
      <c r="JG11" s="32">
        <v>0</v>
      </c>
      <c r="JH11" s="32">
        <v>0</v>
      </c>
      <c r="JI11" s="32">
        <v>1</v>
      </c>
      <c r="JJ11" s="32">
        <v>1.0338291173353296</v>
      </c>
      <c r="JK11" s="32">
        <v>1.6911999999999998</v>
      </c>
      <c r="JL11" s="32">
        <v>1.5412658773652741</v>
      </c>
      <c r="JM11" s="32">
        <v>3.9127111111111117</v>
      </c>
      <c r="JN11" s="32">
        <v>3.7401585041617</v>
      </c>
      <c r="JO11" s="32">
        <v>9.8888888888888893</v>
      </c>
      <c r="JP11" s="32">
        <v>9.6602540378443855</v>
      </c>
      <c r="JQ11" s="32">
        <v>13.48590153939948</v>
      </c>
      <c r="JR11" s="32">
        <v>8.3190062490474013</v>
      </c>
      <c r="JS11" s="32">
        <v>6.4401693585629234</v>
      </c>
      <c r="JT11" s="32">
        <v>4.9506172839506188</v>
      </c>
      <c r="JU11" s="32">
        <v>5.5460041660316008</v>
      </c>
      <c r="JV11" s="32">
        <v>2.9051973784484075</v>
      </c>
      <c r="JW11" s="32">
        <v>3.300411522633746</v>
      </c>
      <c r="JX11" s="32">
        <v>1.7803688462124674</v>
      </c>
      <c r="JY11" s="32">
        <v>1.9367982522989384</v>
      </c>
      <c r="JZ11" s="32">
        <v>2.2002743484224974</v>
      </c>
      <c r="KA11" s="32">
        <v>1.1869125641416449</v>
      </c>
      <c r="KB11" s="32">
        <v>1.2911988348659589</v>
      </c>
      <c r="KC11" s="32">
        <v>0</v>
      </c>
      <c r="KD11" s="32">
        <v>0</v>
      </c>
      <c r="KE11" s="32">
        <v>0</v>
      </c>
      <c r="KF11" s="32">
        <v>0</v>
      </c>
      <c r="KG11" s="32">
        <v>0</v>
      </c>
      <c r="KH11" s="32">
        <v>0</v>
      </c>
      <c r="KI11" s="32">
        <v>0</v>
      </c>
      <c r="KJ11" s="32">
        <v>0</v>
      </c>
      <c r="KK11" s="32">
        <v>0</v>
      </c>
      <c r="KL11" s="32">
        <v>0</v>
      </c>
      <c r="KM11" s="32">
        <v>0</v>
      </c>
      <c r="KN11" s="32">
        <v>0</v>
      </c>
      <c r="KO11" s="32">
        <v>0</v>
      </c>
      <c r="KP11" s="32">
        <v>0</v>
      </c>
      <c r="KQ11" s="32">
        <v>0</v>
      </c>
      <c r="KR11" s="32">
        <v>0</v>
      </c>
      <c r="KS11" s="32">
        <v>0</v>
      </c>
      <c r="KT11" s="32">
        <v>0</v>
      </c>
      <c r="KU11" s="32">
        <v>0</v>
      </c>
      <c r="KV11" s="32">
        <v>0</v>
      </c>
      <c r="KW11" s="32">
        <v>0</v>
      </c>
      <c r="KX11" s="32">
        <v>0</v>
      </c>
      <c r="KY11" s="32">
        <v>0</v>
      </c>
      <c r="KZ11" s="32">
        <v>0</v>
      </c>
      <c r="LA11" s="32">
        <v>0</v>
      </c>
      <c r="LB11" s="32">
        <v>0</v>
      </c>
      <c r="LC11" s="32">
        <v>0</v>
      </c>
      <c r="LD11" s="32">
        <v>0</v>
      </c>
      <c r="LE11" s="32">
        <v>0</v>
      </c>
      <c r="LF11" s="32">
        <v>0</v>
      </c>
      <c r="LG11" s="32">
        <v>0</v>
      </c>
      <c r="LH11" s="32">
        <v>0</v>
      </c>
      <c r="LI11" s="32">
        <v>0</v>
      </c>
      <c r="LJ11" s="32">
        <v>0</v>
      </c>
      <c r="LK11" s="32">
        <v>0</v>
      </c>
      <c r="LL11" s="32">
        <v>0</v>
      </c>
      <c r="LM11" s="32">
        <v>0</v>
      </c>
      <c r="LN11" s="32">
        <v>0</v>
      </c>
      <c r="LO11" s="32">
        <v>0</v>
      </c>
      <c r="LP11" s="32">
        <v>0</v>
      </c>
      <c r="LQ11" s="32">
        <v>0</v>
      </c>
      <c r="LR11" s="32">
        <v>0</v>
      </c>
      <c r="LS11" s="32">
        <v>0</v>
      </c>
      <c r="LT11" s="32">
        <v>0</v>
      </c>
      <c r="LU11" s="32">
        <v>0</v>
      </c>
      <c r="LV11" s="32">
        <v>0</v>
      </c>
      <c r="LW11" s="32">
        <v>0</v>
      </c>
      <c r="LX11" s="32">
        <v>0</v>
      </c>
    </row>
    <row r="12" spans="1:337" s="32" customFormat="1" ht="14.25" x14ac:dyDescent="0.2">
      <c r="A12" s="5">
        <v>6</v>
      </c>
      <c r="B12" s="27" t="s">
        <v>657</v>
      </c>
      <c r="C12" s="27" t="s">
        <v>411</v>
      </c>
      <c r="D12" s="27" t="s">
        <v>397</v>
      </c>
      <c r="E12" s="27" t="s">
        <v>411</v>
      </c>
      <c r="F12" s="28" t="s">
        <v>412</v>
      </c>
      <c r="G12" s="28" t="s">
        <v>413</v>
      </c>
      <c r="H12" s="29">
        <v>-1</v>
      </c>
      <c r="I12" s="30">
        <v>1.01</v>
      </c>
      <c r="J12" s="31">
        <v>11.76243849626818</v>
      </c>
      <c r="K12" s="29" t="s">
        <v>414</v>
      </c>
      <c r="L12" s="16">
        <v>0</v>
      </c>
      <c r="M12" s="16">
        <v>2</v>
      </c>
      <c r="N12" s="27" t="s">
        <v>411</v>
      </c>
      <c r="O12" s="27">
        <v>0</v>
      </c>
      <c r="P12" s="27">
        <v>0</v>
      </c>
      <c r="Q12" s="27">
        <v>0</v>
      </c>
      <c r="R12" s="27">
        <v>0</v>
      </c>
      <c r="S12" s="27">
        <v>0</v>
      </c>
      <c r="T12" s="27">
        <v>20</v>
      </c>
      <c r="U12" s="27">
        <v>1</v>
      </c>
      <c r="V12" s="27">
        <v>20</v>
      </c>
      <c r="W12" s="27">
        <v>1</v>
      </c>
      <c r="X12" s="27" t="s">
        <v>411</v>
      </c>
      <c r="Y12" s="17">
        <v>604.30481191779995</v>
      </c>
      <c r="Z12" s="17">
        <v>586.2942519177999</v>
      </c>
      <c r="AA12" s="17">
        <v>604.30481191779995</v>
      </c>
      <c r="AB12" s="17">
        <v>586.2942519177999</v>
      </c>
      <c r="AC12" s="17">
        <v>883.60979191780007</v>
      </c>
      <c r="AD12" s="17">
        <v>729.61619745300004</v>
      </c>
      <c r="AE12" s="17">
        <v>803.65297688540011</v>
      </c>
      <c r="AF12" s="17">
        <v>525.35562566179999</v>
      </c>
      <c r="AG12" s="17">
        <v>451.31884622939998</v>
      </c>
      <c r="AH12" s="17">
        <v>337.34703603639997</v>
      </c>
      <c r="AI12" s="17">
        <v>355.35760072039994</v>
      </c>
      <c r="AJ12" s="17">
        <v>507.34506097780002</v>
      </c>
      <c r="AK12" s="17">
        <v>0</v>
      </c>
      <c r="AL12" s="17">
        <v>0</v>
      </c>
      <c r="AM12" s="17">
        <v>0</v>
      </c>
      <c r="AN12" s="17">
        <v>0</v>
      </c>
      <c r="AO12" s="17">
        <v>0</v>
      </c>
      <c r="AP12" s="17">
        <v>252.97831503820004</v>
      </c>
      <c r="AQ12" s="17">
        <v>173.021500038</v>
      </c>
      <c r="AR12" s="17">
        <v>155.010935354</v>
      </c>
      <c r="AS12" s="32">
        <v>279.30517122359998</v>
      </c>
      <c r="AT12" s="32">
        <v>279.30517122359998</v>
      </c>
      <c r="AU12" s="32">
        <v>55.0547752254</v>
      </c>
      <c r="AV12" s="32">
        <v>57.070425289800006</v>
      </c>
      <c r="AW12" s="32">
        <v>69.070425289799999</v>
      </c>
      <c r="AX12" s="32">
        <v>71.086075354200005</v>
      </c>
      <c r="AY12" s="32">
        <v>81.070425289799999</v>
      </c>
      <c r="AZ12" s="32">
        <v>83.086075354200005</v>
      </c>
      <c r="BA12" s="32">
        <v>85.101725418599997</v>
      </c>
      <c r="BB12" s="32">
        <v>95.086075354200005</v>
      </c>
      <c r="BC12" s="32">
        <v>97.101725418599997</v>
      </c>
      <c r="BD12" s="32">
        <v>99.117375483000004</v>
      </c>
      <c r="BE12" s="32">
        <v>109.1017254186</v>
      </c>
      <c r="BF12" s="32">
        <v>111.117375483</v>
      </c>
      <c r="BG12" s="32">
        <v>113.13302554740001</v>
      </c>
      <c r="BH12" s="32">
        <v>123.117375483</v>
      </c>
      <c r="BI12" s="32">
        <v>125.13302554740001</v>
      </c>
      <c r="BJ12" s="32">
        <v>127.1486756118</v>
      </c>
      <c r="BK12" s="32">
        <v>137.1330255474</v>
      </c>
      <c r="BL12" s="32">
        <v>139.1486756118</v>
      </c>
      <c r="BM12" s="32">
        <v>141.16432567620001</v>
      </c>
      <c r="BN12" s="32">
        <v>151.1486756118</v>
      </c>
      <c r="BO12" s="32">
        <v>153.16432567620001</v>
      </c>
      <c r="BP12" s="32">
        <v>155.17997574060001</v>
      </c>
      <c r="BQ12" s="32">
        <v>165.16432567620001</v>
      </c>
      <c r="BR12" s="32">
        <v>167.17997574060001</v>
      </c>
      <c r="BS12" s="32">
        <v>169.19562580499999</v>
      </c>
      <c r="BT12" s="32">
        <v>179.17997574060001</v>
      </c>
      <c r="BU12" s="32">
        <v>181.19562580499999</v>
      </c>
      <c r="BV12" s="32">
        <v>183.2112758694</v>
      </c>
      <c r="BW12" s="32">
        <v>195.2112758694</v>
      </c>
      <c r="BX12" s="32">
        <v>197.2269259338</v>
      </c>
      <c r="BY12" s="32">
        <v>209.2269259338</v>
      </c>
      <c r="BZ12" s="32">
        <v>211.24257599820001</v>
      </c>
      <c r="CA12" s="32">
        <v>223.24257599820001</v>
      </c>
      <c r="CB12" s="32">
        <v>225.25822606260002</v>
      </c>
      <c r="CC12" s="32">
        <v>0</v>
      </c>
      <c r="CD12" s="32">
        <v>0</v>
      </c>
      <c r="CE12" s="32">
        <v>0</v>
      </c>
      <c r="CF12" s="32">
        <v>0</v>
      </c>
      <c r="CG12" s="32">
        <v>0</v>
      </c>
      <c r="CH12" s="32">
        <v>0</v>
      </c>
      <c r="CI12" s="32">
        <v>0</v>
      </c>
      <c r="CJ12" s="32">
        <v>0</v>
      </c>
      <c r="CK12" s="32">
        <v>0</v>
      </c>
      <c r="CL12" s="32">
        <v>0</v>
      </c>
      <c r="CM12" s="32">
        <v>0</v>
      </c>
      <c r="CN12" s="32">
        <v>0</v>
      </c>
      <c r="CO12" s="32">
        <v>0</v>
      </c>
      <c r="CP12" s="32">
        <v>0</v>
      </c>
      <c r="CQ12" s="32">
        <v>0</v>
      </c>
      <c r="CR12" s="32">
        <v>0</v>
      </c>
      <c r="CS12" s="32">
        <v>0</v>
      </c>
      <c r="CT12" s="32">
        <v>0</v>
      </c>
      <c r="CU12" s="32">
        <v>0</v>
      </c>
      <c r="CV12" s="32">
        <v>0</v>
      </c>
      <c r="CW12" s="32">
        <v>0</v>
      </c>
      <c r="CX12" s="32">
        <v>0</v>
      </c>
      <c r="CY12" s="32">
        <v>0</v>
      </c>
      <c r="CZ12" s="32">
        <v>0</v>
      </c>
      <c r="DA12" s="32">
        <v>0</v>
      </c>
      <c r="DB12" s="32">
        <v>0</v>
      </c>
      <c r="DC12" s="32">
        <v>0</v>
      </c>
      <c r="DD12" s="32">
        <v>0</v>
      </c>
      <c r="DE12" s="32">
        <v>0</v>
      </c>
      <c r="DF12" s="32">
        <v>0</v>
      </c>
      <c r="DG12" s="32">
        <v>0</v>
      </c>
      <c r="DH12" s="32">
        <v>0</v>
      </c>
      <c r="DI12" s="32">
        <v>0</v>
      </c>
      <c r="DJ12" s="32">
        <v>0</v>
      </c>
      <c r="DK12" s="32">
        <v>55.0547752254</v>
      </c>
      <c r="DL12" s="32">
        <v>57.070425289800006</v>
      </c>
      <c r="DM12" s="32">
        <v>69.070425289799999</v>
      </c>
      <c r="DN12" s="32">
        <v>71.086075354200005</v>
      </c>
      <c r="DO12" s="32">
        <v>81.070425289799999</v>
      </c>
      <c r="DP12" s="32">
        <v>83.086075354200005</v>
      </c>
      <c r="DQ12" s="32">
        <v>85.101725418599997</v>
      </c>
      <c r="DR12" s="32">
        <v>95.086075354200005</v>
      </c>
      <c r="DS12" s="32">
        <v>97.101725418599997</v>
      </c>
      <c r="DT12" s="32">
        <v>99.117375483000004</v>
      </c>
      <c r="DU12" s="32">
        <v>109.1017254186</v>
      </c>
      <c r="DV12" s="32">
        <v>111.117375483</v>
      </c>
      <c r="DW12" s="32">
        <v>113.13302554740001</v>
      </c>
      <c r="DX12" s="32">
        <v>123.117375483</v>
      </c>
      <c r="DY12" s="32">
        <v>125.13302554740001</v>
      </c>
      <c r="DZ12" s="32">
        <v>127.1486756118</v>
      </c>
      <c r="EA12" s="32">
        <v>137.1330255474</v>
      </c>
      <c r="EB12" s="32">
        <v>139.1486756118</v>
      </c>
      <c r="EC12" s="32">
        <v>141.16432567620001</v>
      </c>
      <c r="ED12" s="32">
        <v>151.1486756118</v>
      </c>
      <c r="EE12" s="32">
        <v>153.16432567620001</v>
      </c>
      <c r="EF12" s="32">
        <v>155.17997574060001</v>
      </c>
      <c r="EG12" s="32">
        <v>165.16432567620001</v>
      </c>
      <c r="EH12" s="32">
        <v>167.17997574060001</v>
      </c>
      <c r="EI12" s="32">
        <v>169.19562580499999</v>
      </c>
      <c r="EJ12" s="32">
        <v>179.17997574060001</v>
      </c>
      <c r="EK12" s="32">
        <v>181.19562580499999</v>
      </c>
      <c r="EL12" s="32">
        <v>183.2112758694</v>
      </c>
      <c r="EM12" s="32">
        <v>195.2112758694</v>
      </c>
      <c r="EN12" s="32">
        <v>197.2269259338</v>
      </c>
      <c r="EO12" s="32">
        <v>209.2269259338</v>
      </c>
      <c r="EP12" s="32">
        <v>211.24257599820001</v>
      </c>
      <c r="EQ12" s="32">
        <v>223.24257599820001</v>
      </c>
      <c r="ER12" s="32">
        <v>225.25822606260002</v>
      </c>
      <c r="ES12" s="32">
        <v>0</v>
      </c>
      <c r="ET12" s="32">
        <v>0</v>
      </c>
      <c r="EU12" s="32">
        <v>0</v>
      </c>
      <c r="EV12" s="32">
        <v>0</v>
      </c>
      <c r="EW12" s="32">
        <v>0</v>
      </c>
      <c r="EX12" s="32">
        <v>0</v>
      </c>
      <c r="EY12" s="32">
        <v>0</v>
      </c>
      <c r="EZ12" s="32">
        <v>0</v>
      </c>
      <c r="FA12" s="32">
        <v>0</v>
      </c>
      <c r="FB12" s="32">
        <v>0</v>
      </c>
      <c r="FC12" s="32">
        <v>0</v>
      </c>
      <c r="FD12" s="32">
        <v>0</v>
      </c>
      <c r="FE12" s="32">
        <v>0</v>
      </c>
      <c r="FF12" s="32">
        <v>0</v>
      </c>
      <c r="FG12" s="32">
        <v>0</v>
      </c>
      <c r="FH12" s="32">
        <v>0</v>
      </c>
      <c r="FI12" s="32">
        <v>0</v>
      </c>
      <c r="FJ12" s="32">
        <v>0</v>
      </c>
      <c r="FK12" s="32">
        <v>0</v>
      </c>
      <c r="FL12" s="32">
        <v>0</v>
      </c>
      <c r="FM12" s="32">
        <v>0</v>
      </c>
      <c r="FN12" s="32">
        <v>0</v>
      </c>
      <c r="FO12" s="32">
        <v>0</v>
      </c>
      <c r="FP12" s="32">
        <v>0</v>
      </c>
      <c r="FQ12" s="32">
        <v>0</v>
      </c>
      <c r="FR12" s="32">
        <v>0</v>
      </c>
      <c r="FS12" s="32">
        <v>0</v>
      </c>
      <c r="FT12" s="32">
        <v>0</v>
      </c>
      <c r="FU12" s="32">
        <v>0</v>
      </c>
      <c r="FV12" s="32">
        <v>0</v>
      </c>
      <c r="FW12" s="32">
        <v>0</v>
      </c>
      <c r="FX12" s="32">
        <v>0</v>
      </c>
      <c r="FY12" s="32">
        <v>0</v>
      </c>
      <c r="FZ12" s="32">
        <v>0</v>
      </c>
      <c r="GA12" s="3">
        <v>24.3</v>
      </c>
      <c r="GB12" s="32">
        <v>16.2</v>
      </c>
      <c r="GC12" s="32">
        <v>121.5</v>
      </c>
      <c r="GD12" s="32">
        <v>21.599999999999998</v>
      </c>
      <c r="GE12" s="32">
        <v>21.599999999999998</v>
      </c>
      <c r="GF12" s="32">
        <v>28.799999999999997</v>
      </c>
      <c r="GG12" s="32">
        <v>14.399999999999999</v>
      </c>
      <c r="GH12" s="32">
        <v>10.799999999999999</v>
      </c>
      <c r="GI12" s="32">
        <v>0</v>
      </c>
      <c r="GJ12" s="32">
        <v>0</v>
      </c>
      <c r="GK12" s="32">
        <v>6.48</v>
      </c>
      <c r="GL12" s="32">
        <v>0</v>
      </c>
      <c r="GM12" s="32">
        <v>0</v>
      </c>
      <c r="GN12" s="32">
        <v>36.300000000000004</v>
      </c>
      <c r="GO12" s="32">
        <v>30</v>
      </c>
      <c r="GP12" s="32">
        <v>10</v>
      </c>
      <c r="GQ12" s="32">
        <v>2.9899999999999998</v>
      </c>
      <c r="GR12" s="32">
        <v>2.9899999999999998</v>
      </c>
      <c r="GS12" s="32">
        <v>1</v>
      </c>
      <c r="GT12" s="32">
        <v>4.125</v>
      </c>
      <c r="GU12" s="32">
        <v>1.095683193077468</v>
      </c>
      <c r="GV12" s="32">
        <v>7.2623906705539358</v>
      </c>
      <c r="GW12" s="32">
        <v>1.1728000000000001</v>
      </c>
      <c r="GX12" s="32">
        <v>2.5309310892394863</v>
      </c>
      <c r="GY12" s="32">
        <v>12.349125364431487</v>
      </c>
      <c r="GZ12" s="32">
        <v>1.7281777777777778</v>
      </c>
      <c r="HA12" s="32">
        <v>13.164746412555075</v>
      </c>
      <c r="HB12" s="32">
        <v>1.3345481049562684</v>
      </c>
      <c r="HC12" s="32">
        <v>9.8888888888888893</v>
      </c>
      <c r="HD12" s="32">
        <v>18.320508075688771</v>
      </c>
      <c r="HE12" s="32">
        <v>2.6348610067618332</v>
      </c>
      <c r="HF12" s="32">
        <v>6.5492895730664351</v>
      </c>
      <c r="HG12" s="32">
        <v>13.164746412555075</v>
      </c>
      <c r="HH12" s="32">
        <v>3.3277610818933128</v>
      </c>
      <c r="HI12" s="32">
        <v>4.2528916662432898</v>
      </c>
      <c r="HJ12" s="32">
        <v>9.1494297255984218</v>
      </c>
      <c r="HK12" s="32">
        <v>4.1930879038317048</v>
      </c>
      <c r="HL12" s="32">
        <v>2.7558299039780527</v>
      </c>
      <c r="HM12" s="32">
        <v>6.1320023927966725</v>
      </c>
      <c r="HN12" s="32">
        <v>5.25</v>
      </c>
      <c r="HO12" s="32">
        <v>1.8467543904215145</v>
      </c>
      <c r="HP12" s="32">
        <v>3.969908792127705</v>
      </c>
      <c r="HQ12" s="32">
        <v>4.1930879038317048</v>
      </c>
      <c r="HR12" s="32">
        <v>1.3468305983166522</v>
      </c>
      <c r="HS12" s="32">
        <v>2.5205933015693844</v>
      </c>
      <c r="HT12" s="32">
        <v>3.3277610818933128</v>
      </c>
      <c r="HU12" s="32">
        <v>1.6415002990995839</v>
      </c>
      <c r="HV12" s="32">
        <v>2.6348610067618332</v>
      </c>
      <c r="HW12" s="32">
        <v>1.1900741626961731</v>
      </c>
      <c r="HX12" s="32">
        <v>2.0952291510142746</v>
      </c>
      <c r="HY12" s="32">
        <v>1.0237592703370215</v>
      </c>
      <c r="HZ12" s="32">
        <v>1.6897069872276482</v>
      </c>
      <c r="IA12" s="32">
        <v>0</v>
      </c>
      <c r="IB12" s="32">
        <v>0</v>
      </c>
      <c r="IC12" s="32">
        <v>0</v>
      </c>
      <c r="ID12" s="32">
        <v>0</v>
      </c>
      <c r="IE12" s="32">
        <v>0</v>
      </c>
      <c r="IF12" s="32">
        <v>0</v>
      </c>
      <c r="IG12" s="32">
        <v>0</v>
      </c>
      <c r="IH12" s="32">
        <v>0</v>
      </c>
      <c r="II12" s="32">
        <v>0</v>
      </c>
      <c r="IJ12" s="32">
        <v>0</v>
      </c>
      <c r="IK12" s="32">
        <v>0</v>
      </c>
      <c r="IL12" s="32">
        <v>0</v>
      </c>
      <c r="IM12" s="32">
        <v>0</v>
      </c>
      <c r="IN12" s="32">
        <v>0</v>
      </c>
      <c r="IO12" s="32">
        <v>0</v>
      </c>
      <c r="IP12" s="32">
        <v>0</v>
      </c>
      <c r="IQ12" s="32">
        <v>0</v>
      </c>
      <c r="IR12" s="32">
        <v>0</v>
      </c>
      <c r="IS12" s="32">
        <v>0</v>
      </c>
      <c r="IT12" s="32">
        <v>0</v>
      </c>
      <c r="IU12" s="32">
        <v>0</v>
      </c>
      <c r="IV12" s="32">
        <v>0</v>
      </c>
      <c r="IW12" s="32">
        <v>0</v>
      </c>
      <c r="IX12" s="32">
        <v>0</v>
      </c>
      <c r="IY12" s="32">
        <v>0</v>
      </c>
      <c r="IZ12" s="32">
        <v>0</v>
      </c>
      <c r="JA12" s="32">
        <v>0</v>
      </c>
      <c r="JB12" s="32">
        <v>0</v>
      </c>
      <c r="JC12" s="32">
        <v>0</v>
      </c>
      <c r="JD12" s="32">
        <v>0</v>
      </c>
      <c r="JE12" s="32">
        <v>0</v>
      </c>
      <c r="JF12" s="32">
        <v>0</v>
      </c>
      <c r="JG12" s="32">
        <v>0</v>
      </c>
      <c r="JH12" s="32">
        <v>0</v>
      </c>
      <c r="JI12" s="32">
        <v>1</v>
      </c>
      <c r="JJ12" s="32">
        <v>4.125</v>
      </c>
      <c r="JK12" s="32">
        <v>1.095683193077468</v>
      </c>
      <c r="JL12" s="32">
        <v>7.2623906705539358</v>
      </c>
      <c r="JM12" s="32">
        <v>1.1728000000000001</v>
      </c>
      <c r="JN12" s="32">
        <v>2.5309310892394863</v>
      </c>
      <c r="JO12" s="32">
        <v>12.349125364431487</v>
      </c>
      <c r="JP12" s="32">
        <v>1.7281777777777778</v>
      </c>
      <c r="JQ12" s="32">
        <v>13.164746412555075</v>
      </c>
      <c r="JR12" s="32">
        <v>1.3345481049562684</v>
      </c>
      <c r="JS12" s="32">
        <v>9.8888888888888893</v>
      </c>
      <c r="JT12" s="32">
        <v>18.320508075688771</v>
      </c>
      <c r="JU12" s="32">
        <v>2.6348610067618332</v>
      </c>
      <c r="JV12" s="32">
        <v>6.5492895730664351</v>
      </c>
      <c r="JW12" s="32">
        <v>13.164746412555075</v>
      </c>
      <c r="JX12" s="32">
        <v>3.3277610818933128</v>
      </c>
      <c r="JY12" s="32">
        <v>4.2528916662432898</v>
      </c>
      <c r="JZ12" s="32">
        <v>9.1494297255984218</v>
      </c>
      <c r="KA12" s="32">
        <v>4.1930879038317048</v>
      </c>
      <c r="KB12" s="32">
        <v>2.7558299039780527</v>
      </c>
      <c r="KC12" s="32">
        <v>6.1320023927966725</v>
      </c>
      <c r="KD12" s="32">
        <v>5.25</v>
      </c>
      <c r="KE12" s="32">
        <v>1.8467543904215145</v>
      </c>
      <c r="KF12" s="32">
        <v>3.969908792127705</v>
      </c>
      <c r="KG12" s="32">
        <v>4.1930879038317048</v>
      </c>
      <c r="KH12" s="32">
        <v>1.3468305983166522</v>
      </c>
      <c r="KI12" s="32">
        <v>2.5205933015693844</v>
      </c>
      <c r="KJ12" s="32">
        <v>3.3277610818933128</v>
      </c>
      <c r="KK12" s="32">
        <v>1.6415002990995839</v>
      </c>
      <c r="KL12" s="32">
        <v>2.6348610067618332</v>
      </c>
      <c r="KM12" s="32">
        <v>1.1900741626961731</v>
      </c>
      <c r="KN12" s="32">
        <v>2.0952291510142746</v>
      </c>
      <c r="KO12" s="32">
        <v>1.0237592703370215</v>
      </c>
      <c r="KP12" s="32">
        <v>1.6897069872276482</v>
      </c>
      <c r="KQ12" s="32">
        <v>0</v>
      </c>
      <c r="KR12" s="32">
        <v>0</v>
      </c>
      <c r="KS12" s="32">
        <v>0</v>
      </c>
      <c r="KT12" s="32">
        <v>0</v>
      </c>
      <c r="KU12" s="32">
        <v>0</v>
      </c>
      <c r="KV12" s="32">
        <v>0</v>
      </c>
      <c r="KW12" s="32">
        <v>0</v>
      </c>
      <c r="KX12" s="32">
        <v>0</v>
      </c>
      <c r="KY12" s="32">
        <v>0</v>
      </c>
      <c r="KZ12" s="32">
        <v>0</v>
      </c>
      <c r="LA12" s="32">
        <v>0</v>
      </c>
      <c r="LB12" s="32">
        <v>0</v>
      </c>
      <c r="LC12" s="32">
        <v>0</v>
      </c>
      <c r="LD12" s="32">
        <v>0</v>
      </c>
      <c r="LE12" s="32">
        <v>0</v>
      </c>
      <c r="LF12" s="32">
        <v>0</v>
      </c>
      <c r="LG12" s="32">
        <v>0</v>
      </c>
      <c r="LH12" s="32">
        <v>0</v>
      </c>
      <c r="LI12" s="32">
        <v>0</v>
      </c>
      <c r="LJ12" s="32">
        <v>0</v>
      </c>
      <c r="LK12" s="32">
        <v>0</v>
      </c>
      <c r="LL12" s="32">
        <v>0</v>
      </c>
      <c r="LM12" s="32">
        <v>0</v>
      </c>
      <c r="LN12" s="32">
        <v>0</v>
      </c>
      <c r="LO12" s="32">
        <v>0</v>
      </c>
      <c r="LP12" s="32">
        <v>0</v>
      </c>
      <c r="LQ12" s="32">
        <v>0</v>
      </c>
      <c r="LR12" s="32">
        <v>0</v>
      </c>
      <c r="LS12" s="32">
        <v>0</v>
      </c>
      <c r="LT12" s="32">
        <v>0</v>
      </c>
      <c r="LU12" s="32">
        <v>0</v>
      </c>
      <c r="LV12" s="32">
        <v>0</v>
      </c>
      <c r="LW12" s="32">
        <v>0</v>
      </c>
      <c r="LX12" s="32">
        <v>0</v>
      </c>
    </row>
    <row r="13" spans="1:337" s="32" customFormat="1" ht="14.25" x14ac:dyDescent="0.2">
      <c r="A13" s="5">
        <v>7</v>
      </c>
      <c r="B13" s="27" t="s">
        <v>658</v>
      </c>
      <c r="C13" s="27" t="s">
        <v>415</v>
      </c>
      <c r="D13" s="27" t="s">
        <v>402</v>
      </c>
      <c r="E13" s="27" t="s">
        <v>415</v>
      </c>
      <c r="F13" s="28" t="s">
        <v>416</v>
      </c>
      <c r="G13" s="28" t="s">
        <v>417</v>
      </c>
      <c r="H13" s="29">
        <v>-1</v>
      </c>
      <c r="I13" s="30">
        <v>0</v>
      </c>
      <c r="J13" s="31">
        <v>11.356858989266202</v>
      </c>
      <c r="K13" s="29" t="s">
        <v>418</v>
      </c>
      <c r="L13" s="16">
        <v>0</v>
      </c>
      <c r="M13" s="16">
        <v>2</v>
      </c>
      <c r="N13" s="27" t="s">
        <v>415</v>
      </c>
      <c r="O13" s="27">
        <v>0</v>
      </c>
      <c r="P13" s="27">
        <v>0</v>
      </c>
      <c r="Q13" s="27">
        <v>0</v>
      </c>
      <c r="R13" s="27">
        <v>0</v>
      </c>
      <c r="S13" s="27">
        <v>0</v>
      </c>
      <c r="T13" s="27">
        <v>20</v>
      </c>
      <c r="U13" s="27">
        <v>1</v>
      </c>
      <c r="V13" s="27">
        <v>20</v>
      </c>
      <c r="W13" s="27">
        <v>2</v>
      </c>
      <c r="X13" s="27" t="s">
        <v>415</v>
      </c>
      <c r="Y13" s="17">
        <v>602.28916185339995</v>
      </c>
      <c r="Z13" s="17">
        <v>584.27860185339989</v>
      </c>
      <c r="AA13" s="17">
        <v>604.30480185340002</v>
      </c>
      <c r="AB13" s="17">
        <v>586.29424185339997</v>
      </c>
      <c r="AC13" s="17">
        <v>881.59414185340006</v>
      </c>
      <c r="AD13" s="17">
        <v>727.60054738860003</v>
      </c>
      <c r="AE13" s="17">
        <v>801.6373268210001</v>
      </c>
      <c r="AF13" s="17">
        <v>525.35562566179999</v>
      </c>
      <c r="AG13" s="17">
        <v>451.31884622939998</v>
      </c>
      <c r="AH13" s="17">
        <v>337.34703603639997</v>
      </c>
      <c r="AI13" s="17">
        <v>355.35760072039994</v>
      </c>
      <c r="AJ13" s="17">
        <v>507.34506097780002</v>
      </c>
      <c r="AK13" s="17">
        <v>0</v>
      </c>
      <c r="AL13" s="17">
        <v>555.58686738279994</v>
      </c>
      <c r="AM13" s="17">
        <v>0</v>
      </c>
      <c r="AN13" s="17">
        <v>0</v>
      </c>
      <c r="AO13" s="17">
        <v>0</v>
      </c>
      <c r="AP13" s="17">
        <v>252.97831503820004</v>
      </c>
      <c r="AQ13" s="17">
        <v>173.021500038</v>
      </c>
      <c r="AR13" s="17">
        <v>155.010935354</v>
      </c>
      <c r="AS13" s="32">
        <v>279.30517122359998</v>
      </c>
      <c r="AT13" s="32">
        <v>277.28952115919998</v>
      </c>
      <c r="AU13" s="32">
        <v>55.0547752254</v>
      </c>
      <c r="AV13" s="32">
        <v>57.070425289800006</v>
      </c>
      <c r="AW13" s="32">
        <v>69.070425289799999</v>
      </c>
      <c r="AX13" s="32">
        <v>71.086075354200005</v>
      </c>
      <c r="AY13" s="32">
        <v>81.070425289799999</v>
      </c>
      <c r="AZ13" s="32">
        <v>83.086075354200005</v>
      </c>
      <c r="BA13" s="32">
        <v>85.101725418599997</v>
      </c>
      <c r="BB13" s="32">
        <v>95.086075354200005</v>
      </c>
      <c r="BC13" s="32">
        <v>97.101725418599997</v>
      </c>
      <c r="BD13" s="32">
        <v>99.117375483000004</v>
      </c>
      <c r="BE13" s="32">
        <v>109.1017254186</v>
      </c>
      <c r="BF13" s="32">
        <v>111.117375483</v>
      </c>
      <c r="BG13" s="32">
        <v>113.13302554740001</v>
      </c>
      <c r="BH13" s="32">
        <v>123.117375483</v>
      </c>
      <c r="BI13" s="32">
        <v>125.13302554740001</v>
      </c>
      <c r="BJ13" s="32">
        <v>127.1486756118</v>
      </c>
      <c r="BK13" s="32">
        <v>137.1330255474</v>
      </c>
      <c r="BL13" s="32">
        <v>139.1486756118</v>
      </c>
      <c r="BM13" s="32">
        <v>141.16432567620001</v>
      </c>
      <c r="BN13" s="32">
        <v>151.1486756118</v>
      </c>
      <c r="BO13" s="32">
        <v>153.16432567620001</v>
      </c>
      <c r="BP13" s="32">
        <v>155.17997574060001</v>
      </c>
      <c r="BQ13" s="32">
        <v>165.16432567620001</v>
      </c>
      <c r="BR13" s="32">
        <v>167.17997574060001</v>
      </c>
      <c r="BS13" s="32">
        <v>169.19562580499999</v>
      </c>
      <c r="BT13" s="32">
        <v>179.17997574060001</v>
      </c>
      <c r="BU13" s="32">
        <v>181.19562580499999</v>
      </c>
      <c r="BV13" s="32">
        <v>183.2112758694</v>
      </c>
      <c r="BW13" s="32">
        <v>195.2112758694</v>
      </c>
      <c r="BX13" s="32">
        <v>197.2269259338</v>
      </c>
      <c r="BY13" s="32">
        <v>209.2269259338</v>
      </c>
      <c r="BZ13" s="32">
        <v>211.24257599820001</v>
      </c>
      <c r="CA13" s="32">
        <v>223.24257599820001</v>
      </c>
      <c r="CB13" s="32">
        <v>225.25822606260002</v>
      </c>
      <c r="CC13" s="32">
        <v>0</v>
      </c>
      <c r="CD13" s="32">
        <v>0</v>
      </c>
      <c r="CE13" s="32">
        <v>0</v>
      </c>
      <c r="CF13" s="32">
        <v>0</v>
      </c>
      <c r="CG13" s="32">
        <v>0</v>
      </c>
      <c r="CH13" s="32">
        <v>0</v>
      </c>
      <c r="CI13" s="32">
        <v>0</v>
      </c>
      <c r="CJ13" s="32">
        <v>0</v>
      </c>
      <c r="CK13" s="32">
        <v>0</v>
      </c>
      <c r="CL13" s="32">
        <v>0</v>
      </c>
      <c r="CM13" s="32">
        <v>0</v>
      </c>
      <c r="CN13" s="32">
        <v>0</v>
      </c>
      <c r="CO13" s="32">
        <v>0</v>
      </c>
      <c r="CP13" s="32">
        <v>0</v>
      </c>
      <c r="CQ13" s="32">
        <v>0</v>
      </c>
      <c r="CR13" s="32">
        <v>0</v>
      </c>
      <c r="CS13" s="32">
        <v>0</v>
      </c>
      <c r="CT13" s="32">
        <v>0</v>
      </c>
      <c r="CU13" s="32">
        <v>0</v>
      </c>
      <c r="CV13" s="32">
        <v>0</v>
      </c>
      <c r="CW13" s="32">
        <v>0</v>
      </c>
      <c r="CX13" s="32">
        <v>0</v>
      </c>
      <c r="CY13" s="32">
        <v>0</v>
      </c>
      <c r="CZ13" s="32">
        <v>0</v>
      </c>
      <c r="DA13" s="32">
        <v>0</v>
      </c>
      <c r="DB13" s="32">
        <v>0</v>
      </c>
      <c r="DC13" s="32">
        <v>0</v>
      </c>
      <c r="DD13" s="32">
        <v>0</v>
      </c>
      <c r="DE13" s="32">
        <v>0</v>
      </c>
      <c r="DF13" s="32">
        <v>0</v>
      </c>
      <c r="DG13" s="32">
        <v>0</v>
      </c>
      <c r="DH13" s="32">
        <v>0</v>
      </c>
      <c r="DI13" s="32">
        <v>0</v>
      </c>
      <c r="DJ13" s="32">
        <v>0</v>
      </c>
      <c r="DK13" s="32">
        <v>55.0547752254</v>
      </c>
      <c r="DL13" s="32">
        <v>57.070425289800006</v>
      </c>
      <c r="DM13" s="32">
        <v>69.070425289799999</v>
      </c>
      <c r="DN13" s="32">
        <v>71.086075354200005</v>
      </c>
      <c r="DO13" s="32">
        <v>81.070425289799999</v>
      </c>
      <c r="DP13" s="32">
        <v>83.086075354200005</v>
      </c>
      <c r="DQ13" s="32">
        <v>85.101725418599997</v>
      </c>
      <c r="DR13" s="32">
        <v>95.086075354200005</v>
      </c>
      <c r="DS13" s="32">
        <v>97.101725418599997</v>
      </c>
      <c r="DT13" s="32">
        <v>99.117375483000004</v>
      </c>
      <c r="DU13" s="32">
        <v>109.1017254186</v>
      </c>
      <c r="DV13" s="32">
        <v>111.117375483</v>
      </c>
      <c r="DW13" s="32">
        <v>113.13302554740001</v>
      </c>
      <c r="DX13" s="32">
        <v>123.117375483</v>
      </c>
      <c r="DY13" s="32">
        <v>125.13302554740001</v>
      </c>
      <c r="DZ13" s="32">
        <v>127.1486756118</v>
      </c>
      <c r="EA13" s="32">
        <v>137.1330255474</v>
      </c>
      <c r="EB13" s="32">
        <v>139.1486756118</v>
      </c>
      <c r="EC13" s="32">
        <v>141.16432567620001</v>
      </c>
      <c r="ED13" s="32">
        <v>149.1330255474</v>
      </c>
      <c r="EE13" s="32">
        <v>151.1486756118</v>
      </c>
      <c r="EF13" s="32">
        <v>153.16432567620001</v>
      </c>
      <c r="EG13" s="32">
        <v>155.17997574060001</v>
      </c>
      <c r="EH13" s="32">
        <v>163.1486756118</v>
      </c>
      <c r="EI13" s="32">
        <v>165.16432567620001</v>
      </c>
      <c r="EJ13" s="32">
        <v>167.17997574060001</v>
      </c>
      <c r="EK13" s="32">
        <v>169.19562580499999</v>
      </c>
      <c r="EL13" s="32">
        <v>177.16432567620001</v>
      </c>
      <c r="EM13" s="32">
        <v>179.17997574060001</v>
      </c>
      <c r="EN13" s="32">
        <v>181.19562580499999</v>
      </c>
      <c r="EO13" s="32">
        <v>183.2112758694</v>
      </c>
      <c r="EP13" s="32">
        <v>193.19562580499999</v>
      </c>
      <c r="EQ13" s="32">
        <v>195.2112758694</v>
      </c>
      <c r="ER13" s="32">
        <v>207.2112758694</v>
      </c>
      <c r="ES13" s="32">
        <v>209.2269259338</v>
      </c>
      <c r="ET13" s="32">
        <v>221.2269259338</v>
      </c>
      <c r="EU13" s="32">
        <v>223.24257599820001</v>
      </c>
      <c r="EV13" s="32">
        <v>0</v>
      </c>
      <c r="EW13" s="32">
        <v>0</v>
      </c>
      <c r="EX13" s="32">
        <v>0</v>
      </c>
      <c r="EY13" s="32">
        <v>0</v>
      </c>
      <c r="EZ13" s="32">
        <v>0</v>
      </c>
      <c r="FA13" s="32">
        <v>0</v>
      </c>
      <c r="FB13" s="32">
        <v>0</v>
      </c>
      <c r="FC13" s="32">
        <v>0</v>
      </c>
      <c r="FD13" s="32">
        <v>0</v>
      </c>
      <c r="FE13" s="32">
        <v>0</v>
      </c>
      <c r="FF13" s="32">
        <v>0</v>
      </c>
      <c r="FG13" s="32">
        <v>0</v>
      </c>
      <c r="FH13" s="32">
        <v>0</v>
      </c>
      <c r="FI13" s="32">
        <v>0</v>
      </c>
      <c r="FJ13" s="32">
        <v>0</v>
      </c>
      <c r="FK13" s="32">
        <v>0</v>
      </c>
      <c r="FL13" s="32">
        <v>0</v>
      </c>
      <c r="FM13" s="32">
        <v>0</v>
      </c>
      <c r="FN13" s="32">
        <v>0</v>
      </c>
      <c r="FO13" s="32">
        <v>0</v>
      </c>
      <c r="FP13" s="32">
        <v>0</v>
      </c>
      <c r="FQ13" s="32">
        <v>0</v>
      </c>
      <c r="FR13" s="32">
        <v>0</v>
      </c>
      <c r="FS13" s="32">
        <v>0</v>
      </c>
      <c r="FT13" s="32">
        <v>0</v>
      </c>
      <c r="FU13" s="32">
        <v>0</v>
      </c>
      <c r="FV13" s="32">
        <v>0</v>
      </c>
      <c r="FW13" s="32">
        <v>0</v>
      </c>
      <c r="FX13" s="32">
        <v>0</v>
      </c>
      <c r="FY13" s="32">
        <v>0</v>
      </c>
      <c r="FZ13" s="32">
        <v>0</v>
      </c>
      <c r="GA13" s="3">
        <v>21.870000000000005</v>
      </c>
      <c r="GB13" s="32">
        <v>14.580000000000004</v>
      </c>
      <c r="GC13" s="32">
        <v>109.35000000000002</v>
      </c>
      <c r="GD13" s="32">
        <v>25.919999999999998</v>
      </c>
      <c r="GE13" s="32">
        <v>25.919999999999998</v>
      </c>
      <c r="GF13" s="32">
        <v>34.56</v>
      </c>
      <c r="GG13" s="32">
        <v>17.28</v>
      </c>
      <c r="GH13" s="32">
        <v>12.959999999999999</v>
      </c>
      <c r="GI13" s="32">
        <v>0</v>
      </c>
      <c r="GJ13" s="32">
        <v>0</v>
      </c>
      <c r="GK13" s="32">
        <v>11.664000000000001</v>
      </c>
      <c r="GL13" s="32">
        <v>0</v>
      </c>
      <c r="GM13" s="32">
        <v>0</v>
      </c>
      <c r="GN13" s="32">
        <v>39.930000000000014</v>
      </c>
      <c r="GO13" s="32">
        <v>30</v>
      </c>
      <c r="GP13" s="32">
        <v>10</v>
      </c>
      <c r="GQ13" s="32">
        <v>3.887</v>
      </c>
      <c r="GR13" s="32">
        <v>6.8769999999999989</v>
      </c>
      <c r="GS13" s="32">
        <v>1</v>
      </c>
      <c r="GT13" s="32">
        <v>4.125</v>
      </c>
      <c r="GU13" s="32">
        <v>1.095683193077468</v>
      </c>
      <c r="GV13" s="32">
        <v>7.2623906705539358</v>
      </c>
      <c r="GW13" s="32">
        <v>1.1728000000000001</v>
      </c>
      <c r="GX13" s="32">
        <v>2.5309310892394863</v>
      </c>
      <c r="GY13" s="32">
        <v>12.349125364431487</v>
      </c>
      <c r="GZ13" s="32">
        <v>1.7281777777777778</v>
      </c>
      <c r="HA13" s="32">
        <v>13.164746412555075</v>
      </c>
      <c r="HB13" s="32">
        <v>1.3345481049562684</v>
      </c>
      <c r="HC13" s="32">
        <v>9.8888888888888893</v>
      </c>
      <c r="HD13" s="32">
        <v>18.320508075688771</v>
      </c>
      <c r="HE13" s="32">
        <v>2.6348610067618332</v>
      </c>
      <c r="HF13" s="32">
        <v>6.5492895730664351</v>
      </c>
      <c r="HG13" s="32">
        <v>13.164746412555075</v>
      </c>
      <c r="HH13" s="32">
        <v>3.3277610818933128</v>
      </c>
      <c r="HI13" s="32">
        <v>4.2528916662432898</v>
      </c>
      <c r="HJ13" s="32">
        <v>9.1494297255984218</v>
      </c>
      <c r="HK13" s="32">
        <v>4.1930879038317048</v>
      </c>
      <c r="HL13" s="32">
        <v>2.7558299039780527</v>
      </c>
      <c r="HM13" s="32">
        <v>6.1320023927966725</v>
      </c>
      <c r="HN13" s="32">
        <v>5.25</v>
      </c>
      <c r="HO13" s="32">
        <v>1.8467543904215145</v>
      </c>
      <c r="HP13" s="32">
        <v>3.969908792127705</v>
      </c>
      <c r="HQ13" s="32">
        <v>4.1930879038317048</v>
      </c>
      <c r="HR13" s="32">
        <v>1.3468305983166522</v>
      </c>
      <c r="HS13" s="32">
        <v>2.5205933015693844</v>
      </c>
      <c r="HT13" s="32">
        <v>3.3277610818933128</v>
      </c>
      <c r="HU13" s="32">
        <v>1.6415002990995839</v>
      </c>
      <c r="HV13" s="32">
        <v>2.6348610067618332</v>
      </c>
      <c r="HW13" s="32">
        <v>1.1900741626961731</v>
      </c>
      <c r="HX13" s="32">
        <v>2.0952291510142746</v>
      </c>
      <c r="HY13" s="32">
        <v>1.0237592703370215</v>
      </c>
      <c r="HZ13" s="32">
        <v>1.6897069872276482</v>
      </c>
      <c r="IA13" s="32">
        <v>0</v>
      </c>
      <c r="IB13" s="32">
        <v>0</v>
      </c>
      <c r="IC13" s="32">
        <v>0</v>
      </c>
      <c r="ID13" s="32">
        <v>0</v>
      </c>
      <c r="IE13" s="32">
        <v>0</v>
      </c>
      <c r="IF13" s="32">
        <v>0</v>
      </c>
      <c r="IG13" s="32">
        <v>0</v>
      </c>
      <c r="IH13" s="32">
        <v>0</v>
      </c>
      <c r="II13" s="32">
        <v>0</v>
      </c>
      <c r="IJ13" s="32">
        <v>0</v>
      </c>
      <c r="IK13" s="32">
        <v>0</v>
      </c>
      <c r="IL13" s="32">
        <v>0</v>
      </c>
      <c r="IM13" s="32">
        <v>0</v>
      </c>
      <c r="IN13" s="32">
        <v>0</v>
      </c>
      <c r="IO13" s="32">
        <v>0</v>
      </c>
      <c r="IP13" s="32">
        <v>0</v>
      </c>
      <c r="IQ13" s="32">
        <v>0</v>
      </c>
      <c r="IR13" s="32">
        <v>0</v>
      </c>
      <c r="IS13" s="32">
        <v>0</v>
      </c>
      <c r="IT13" s="32">
        <v>0</v>
      </c>
      <c r="IU13" s="32">
        <v>0</v>
      </c>
      <c r="IV13" s="32">
        <v>0</v>
      </c>
      <c r="IW13" s="32">
        <v>0</v>
      </c>
      <c r="IX13" s="32">
        <v>0</v>
      </c>
      <c r="IY13" s="32">
        <v>0</v>
      </c>
      <c r="IZ13" s="32">
        <v>0</v>
      </c>
      <c r="JA13" s="32">
        <v>0</v>
      </c>
      <c r="JB13" s="32">
        <v>0</v>
      </c>
      <c r="JC13" s="32">
        <v>0</v>
      </c>
      <c r="JD13" s="32">
        <v>0</v>
      </c>
      <c r="JE13" s="32">
        <v>0</v>
      </c>
      <c r="JF13" s="32">
        <v>0</v>
      </c>
      <c r="JG13" s="32">
        <v>0</v>
      </c>
      <c r="JH13" s="32">
        <v>0</v>
      </c>
      <c r="JI13" s="32">
        <v>1</v>
      </c>
      <c r="JJ13" s="32">
        <v>1.925925925925926</v>
      </c>
      <c r="JK13" s="32">
        <v>1.17578125</v>
      </c>
      <c r="JL13" s="32">
        <v>2.8573588165424901</v>
      </c>
      <c r="JM13" s="32">
        <v>1.6911999999999998</v>
      </c>
      <c r="JN13" s="32">
        <v>3.8125</v>
      </c>
      <c r="JO13" s="32">
        <v>4.3773890508584383</v>
      </c>
      <c r="JP13" s="32">
        <v>3.9127111111111117</v>
      </c>
      <c r="JQ13" s="32">
        <v>19.247119618832613</v>
      </c>
      <c r="JR13" s="32">
        <v>1.1486880466472305</v>
      </c>
      <c r="JS13" s="32">
        <v>21</v>
      </c>
      <c r="JT13" s="32">
        <v>26.98076211353316</v>
      </c>
      <c r="JU13" s="32">
        <v>1.7266048918941481</v>
      </c>
      <c r="JV13" s="32">
        <v>13.48590153939948</v>
      </c>
      <c r="JW13" s="32">
        <v>19.247119618832613</v>
      </c>
      <c r="JX13" s="32">
        <v>2.0345604808414723</v>
      </c>
      <c r="JY13" s="32">
        <v>8.3190062490474013</v>
      </c>
      <c r="JZ13" s="32">
        <v>13.224144588397632</v>
      </c>
      <c r="KA13" s="32">
        <v>2.4191501794807575</v>
      </c>
      <c r="KB13" s="32">
        <v>5.5460041660316008</v>
      </c>
      <c r="KC13" s="32">
        <v>4.9506172839506188</v>
      </c>
      <c r="KD13" s="32">
        <v>8.6980035891950074</v>
      </c>
      <c r="KE13" s="32">
        <v>2.8888888888888888</v>
      </c>
      <c r="KF13" s="32">
        <v>3.300411522633746</v>
      </c>
      <c r="KG13" s="32">
        <v>2.9051973784484075</v>
      </c>
      <c r="KH13" s="32">
        <v>5.4548631881915579</v>
      </c>
      <c r="KI13" s="32">
        <v>2.4191501794807575</v>
      </c>
      <c r="KJ13" s="32">
        <v>1.9367982522989384</v>
      </c>
      <c r="KK13" s="32">
        <v>1.7803688462124674</v>
      </c>
      <c r="KL13" s="32">
        <v>3.2808899523540767</v>
      </c>
      <c r="KM13" s="32">
        <v>2.0345604808414723</v>
      </c>
      <c r="KN13" s="32">
        <v>1.2469135802469138</v>
      </c>
      <c r="KO13" s="32">
        <v>1.9622504486493759</v>
      </c>
      <c r="KP13" s="32">
        <v>1.0487730528882793</v>
      </c>
      <c r="KQ13" s="32">
        <v>1.2851112440442596</v>
      </c>
      <c r="KR13" s="32">
        <v>1.0030483158055175</v>
      </c>
      <c r="KS13" s="32">
        <v>1.0356389055055324</v>
      </c>
      <c r="KT13" s="32">
        <v>0</v>
      </c>
      <c r="KU13" s="32">
        <v>0</v>
      </c>
      <c r="KV13" s="32">
        <v>0</v>
      </c>
      <c r="KW13" s="32">
        <v>0</v>
      </c>
      <c r="KX13" s="32">
        <v>0</v>
      </c>
      <c r="KY13" s="32">
        <v>0</v>
      </c>
      <c r="KZ13" s="32">
        <v>0</v>
      </c>
      <c r="LA13" s="32">
        <v>0</v>
      </c>
      <c r="LB13" s="32">
        <v>0</v>
      </c>
      <c r="LC13" s="32">
        <v>0</v>
      </c>
      <c r="LD13" s="32">
        <v>0</v>
      </c>
      <c r="LE13" s="32">
        <v>0</v>
      </c>
      <c r="LF13" s="32">
        <v>0</v>
      </c>
      <c r="LG13" s="32">
        <v>0</v>
      </c>
      <c r="LH13" s="32">
        <v>0</v>
      </c>
      <c r="LI13" s="32">
        <v>0</v>
      </c>
      <c r="LJ13" s="32">
        <v>0</v>
      </c>
      <c r="LK13" s="32">
        <v>0</v>
      </c>
      <c r="LL13" s="32">
        <v>0</v>
      </c>
      <c r="LM13" s="32">
        <v>0</v>
      </c>
      <c r="LN13" s="32">
        <v>0</v>
      </c>
      <c r="LO13" s="32">
        <v>0</v>
      </c>
      <c r="LP13" s="32">
        <v>0</v>
      </c>
      <c r="LQ13" s="32">
        <v>0</v>
      </c>
      <c r="LR13" s="32">
        <v>0</v>
      </c>
      <c r="LS13" s="32">
        <v>0</v>
      </c>
      <c r="LT13" s="32">
        <v>0</v>
      </c>
      <c r="LU13" s="32">
        <v>0</v>
      </c>
      <c r="LV13" s="32">
        <v>0</v>
      </c>
      <c r="LW13" s="32">
        <v>0</v>
      </c>
      <c r="LX13" s="32">
        <v>0</v>
      </c>
    </row>
    <row r="14" spans="1:337" s="32" customFormat="1" ht="14.25" x14ac:dyDescent="0.2">
      <c r="A14" s="5">
        <v>8</v>
      </c>
      <c r="B14" s="27" t="s">
        <v>659</v>
      </c>
      <c r="C14" s="27" t="s">
        <v>419</v>
      </c>
      <c r="D14" s="27" t="s">
        <v>407</v>
      </c>
      <c r="E14" s="27" t="s">
        <v>419</v>
      </c>
      <c r="F14" s="28" t="s">
        <v>420</v>
      </c>
      <c r="G14" s="28" t="s">
        <v>421</v>
      </c>
      <c r="H14" s="29">
        <v>-1</v>
      </c>
      <c r="I14" s="30">
        <v>-1.01</v>
      </c>
      <c r="J14" s="31">
        <v>10.951279484071677</v>
      </c>
      <c r="K14" s="29" t="s">
        <v>422</v>
      </c>
      <c r="L14" s="16">
        <v>0</v>
      </c>
      <c r="M14" s="16">
        <v>2</v>
      </c>
      <c r="N14" s="27" t="s">
        <v>419</v>
      </c>
      <c r="O14" s="27">
        <v>0</v>
      </c>
      <c r="P14" s="27">
        <v>0</v>
      </c>
      <c r="Q14" s="27">
        <v>0</v>
      </c>
      <c r="R14" s="27">
        <v>0</v>
      </c>
      <c r="S14" s="27">
        <v>0</v>
      </c>
      <c r="T14" s="27">
        <v>20</v>
      </c>
      <c r="U14" s="27">
        <v>1</v>
      </c>
      <c r="V14" s="27">
        <v>20</v>
      </c>
      <c r="W14" s="27">
        <v>3</v>
      </c>
      <c r="X14" s="27" t="s">
        <v>419</v>
      </c>
      <c r="Y14" s="17">
        <v>600.27351178899994</v>
      </c>
      <c r="Z14" s="17">
        <v>582.26295178899989</v>
      </c>
      <c r="AA14" s="17">
        <v>604.30479178900009</v>
      </c>
      <c r="AB14" s="17">
        <v>586.29423178900004</v>
      </c>
      <c r="AC14" s="17">
        <v>879.57849178900005</v>
      </c>
      <c r="AD14" s="17">
        <v>725.58489732420003</v>
      </c>
      <c r="AE14" s="17">
        <v>799.6216767566001</v>
      </c>
      <c r="AF14" s="17">
        <v>525.35562566179999</v>
      </c>
      <c r="AG14" s="17">
        <v>451.31884622939998</v>
      </c>
      <c r="AH14" s="17">
        <v>337.34703603639997</v>
      </c>
      <c r="AI14" s="17">
        <v>355.35760072039994</v>
      </c>
      <c r="AJ14" s="17">
        <v>507.34506097780002</v>
      </c>
      <c r="AK14" s="17">
        <v>0</v>
      </c>
      <c r="AL14" s="17">
        <v>553.57121731839993</v>
      </c>
      <c r="AM14" s="17">
        <v>0</v>
      </c>
      <c r="AN14" s="17">
        <v>0</v>
      </c>
      <c r="AO14" s="17">
        <v>0</v>
      </c>
      <c r="AP14" s="17">
        <v>252.97831503820004</v>
      </c>
      <c r="AQ14" s="17">
        <v>173.021500038</v>
      </c>
      <c r="AR14" s="17">
        <v>155.010935354</v>
      </c>
      <c r="AS14" s="32">
        <v>279.30517122359998</v>
      </c>
      <c r="AT14" s="32">
        <v>275.27387109479997</v>
      </c>
      <c r="AU14" s="32">
        <v>55.0547752254</v>
      </c>
      <c r="AV14" s="32">
        <v>57.070425289800006</v>
      </c>
      <c r="AW14" s="32">
        <v>69.070425289799999</v>
      </c>
      <c r="AX14" s="32">
        <v>71.086075354200005</v>
      </c>
      <c r="AY14" s="32">
        <v>81.070425289799999</v>
      </c>
      <c r="AZ14" s="32">
        <v>83.086075354200005</v>
      </c>
      <c r="BA14" s="32">
        <v>85.101725418599997</v>
      </c>
      <c r="BB14" s="32">
        <v>95.086075354200005</v>
      </c>
      <c r="BC14" s="32">
        <v>97.101725418599997</v>
      </c>
      <c r="BD14" s="32">
        <v>99.117375483000004</v>
      </c>
      <c r="BE14" s="32">
        <v>109.1017254186</v>
      </c>
      <c r="BF14" s="32">
        <v>111.117375483</v>
      </c>
      <c r="BG14" s="32">
        <v>113.13302554740001</v>
      </c>
      <c r="BH14" s="32">
        <v>123.117375483</v>
      </c>
      <c r="BI14" s="32">
        <v>125.13302554740001</v>
      </c>
      <c r="BJ14" s="32">
        <v>127.1486756118</v>
      </c>
      <c r="BK14" s="32">
        <v>137.1330255474</v>
      </c>
      <c r="BL14" s="32">
        <v>139.1486756118</v>
      </c>
      <c r="BM14" s="32">
        <v>141.16432567620001</v>
      </c>
      <c r="BN14" s="32">
        <v>151.1486756118</v>
      </c>
      <c r="BO14" s="32">
        <v>153.16432567620001</v>
      </c>
      <c r="BP14" s="32">
        <v>155.17997574060001</v>
      </c>
      <c r="BQ14" s="32">
        <v>165.16432567620001</v>
      </c>
      <c r="BR14" s="32">
        <v>167.17997574060001</v>
      </c>
      <c r="BS14" s="32">
        <v>169.19562580499999</v>
      </c>
      <c r="BT14" s="32">
        <v>179.17997574060001</v>
      </c>
      <c r="BU14" s="32">
        <v>181.19562580499999</v>
      </c>
      <c r="BV14" s="32">
        <v>183.2112758694</v>
      </c>
      <c r="BW14" s="32">
        <v>195.2112758694</v>
      </c>
      <c r="BX14" s="32">
        <v>197.2269259338</v>
      </c>
      <c r="BY14" s="32">
        <v>209.2269259338</v>
      </c>
      <c r="BZ14" s="32">
        <v>211.24257599820001</v>
      </c>
      <c r="CA14" s="32">
        <v>223.24257599820001</v>
      </c>
      <c r="CB14" s="32">
        <v>225.25822606260002</v>
      </c>
      <c r="CC14" s="32">
        <v>0</v>
      </c>
      <c r="CD14" s="32">
        <v>0</v>
      </c>
      <c r="CE14" s="32">
        <v>0</v>
      </c>
      <c r="CF14" s="32">
        <v>0</v>
      </c>
      <c r="CG14" s="32">
        <v>0</v>
      </c>
      <c r="CH14" s="32">
        <v>0</v>
      </c>
      <c r="CI14" s="32">
        <v>0</v>
      </c>
      <c r="CJ14" s="32">
        <v>0</v>
      </c>
      <c r="CK14" s="32">
        <v>0</v>
      </c>
      <c r="CL14" s="32">
        <v>0</v>
      </c>
      <c r="CM14" s="32">
        <v>0</v>
      </c>
      <c r="CN14" s="32">
        <v>0</v>
      </c>
      <c r="CO14" s="32">
        <v>0</v>
      </c>
      <c r="CP14" s="32">
        <v>0</v>
      </c>
      <c r="CQ14" s="32">
        <v>0</v>
      </c>
      <c r="CR14" s="32">
        <v>0</v>
      </c>
      <c r="CS14" s="32">
        <v>0</v>
      </c>
      <c r="CT14" s="32">
        <v>0</v>
      </c>
      <c r="CU14" s="32">
        <v>0</v>
      </c>
      <c r="CV14" s="32">
        <v>0</v>
      </c>
      <c r="CW14" s="32">
        <v>0</v>
      </c>
      <c r="CX14" s="32">
        <v>0</v>
      </c>
      <c r="CY14" s="32">
        <v>0</v>
      </c>
      <c r="CZ14" s="32">
        <v>0</v>
      </c>
      <c r="DA14" s="32">
        <v>0</v>
      </c>
      <c r="DB14" s="32">
        <v>0</v>
      </c>
      <c r="DC14" s="32">
        <v>0</v>
      </c>
      <c r="DD14" s="32">
        <v>0</v>
      </c>
      <c r="DE14" s="32">
        <v>0</v>
      </c>
      <c r="DF14" s="32">
        <v>0</v>
      </c>
      <c r="DG14" s="32">
        <v>0</v>
      </c>
      <c r="DH14" s="32">
        <v>0</v>
      </c>
      <c r="DI14" s="32">
        <v>0</v>
      </c>
      <c r="DJ14" s="32">
        <v>0</v>
      </c>
      <c r="DK14" s="32">
        <v>55.0547752254</v>
      </c>
      <c r="DL14" s="32">
        <v>57.070425289800006</v>
      </c>
      <c r="DM14" s="32">
        <v>69.070425289799999</v>
      </c>
      <c r="DN14" s="32">
        <v>71.086075354200005</v>
      </c>
      <c r="DO14" s="32">
        <v>81.070425289799999</v>
      </c>
      <c r="DP14" s="32">
        <v>83.086075354200005</v>
      </c>
      <c r="DQ14" s="32">
        <v>85.101725418599997</v>
      </c>
      <c r="DR14" s="32">
        <v>95.086075354200005</v>
      </c>
      <c r="DS14" s="32">
        <v>97.101725418599997</v>
      </c>
      <c r="DT14" s="32">
        <v>99.117375483000004</v>
      </c>
      <c r="DU14" s="32">
        <v>109.1017254186</v>
      </c>
      <c r="DV14" s="32">
        <v>111.117375483</v>
      </c>
      <c r="DW14" s="32">
        <v>113.13302554740001</v>
      </c>
      <c r="DX14" s="32">
        <v>123.117375483</v>
      </c>
      <c r="DY14" s="32">
        <v>125.13302554740001</v>
      </c>
      <c r="DZ14" s="32">
        <v>137.1330255474</v>
      </c>
      <c r="EA14" s="32">
        <v>139.1486756118</v>
      </c>
      <c r="EB14" s="32">
        <v>149.1330255474</v>
      </c>
      <c r="EC14" s="32">
        <v>151.1486756118</v>
      </c>
      <c r="ED14" s="32">
        <v>153.16432567620001</v>
      </c>
      <c r="EE14" s="32">
        <v>163.1486756118</v>
      </c>
      <c r="EF14" s="32">
        <v>165.16432567620001</v>
      </c>
      <c r="EG14" s="32">
        <v>167.17997574060001</v>
      </c>
      <c r="EH14" s="32">
        <v>177.16432567620001</v>
      </c>
      <c r="EI14" s="32">
        <v>179.17997574060001</v>
      </c>
      <c r="EJ14" s="32">
        <v>181.19562580499999</v>
      </c>
      <c r="EK14" s="32">
        <v>191.17997574060001</v>
      </c>
      <c r="EL14" s="32">
        <v>193.19562580499999</v>
      </c>
      <c r="EM14" s="32">
        <v>205.19562580499999</v>
      </c>
      <c r="EN14" s="32">
        <v>207.2112758694</v>
      </c>
      <c r="EO14" s="32">
        <v>219.2112758694</v>
      </c>
      <c r="EP14" s="32">
        <v>221.2269259338</v>
      </c>
      <c r="EQ14" s="32">
        <v>0</v>
      </c>
      <c r="ER14" s="32">
        <v>0</v>
      </c>
      <c r="ES14" s="32">
        <v>0</v>
      </c>
      <c r="ET14" s="32">
        <v>0</v>
      </c>
      <c r="EU14" s="32">
        <v>0</v>
      </c>
      <c r="EV14" s="32">
        <v>0</v>
      </c>
      <c r="EW14" s="32">
        <v>0</v>
      </c>
      <c r="EX14" s="32">
        <v>0</v>
      </c>
      <c r="EY14" s="32">
        <v>0</v>
      </c>
      <c r="EZ14" s="32">
        <v>0</v>
      </c>
      <c r="FA14" s="32">
        <v>0</v>
      </c>
      <c r="FB14" s="32">
        <v>0</v>
      </c>
      <c r="FC14" s="32">
        <v>0</v>
      </c>
      <c r="FD14" s="32">
        <v>0</v>
      </c>
      <c r="FE14" s="32">
        <v>0</v>
      </c>
      <c r="FF14" s="32">
        <v>0</v>
      </c>
      <c r="FG14" s="32">
        <v>0</v>
      </c>
      <c r="FH14" s="32">
        <v>0</v>
      </c>
      <c r="FI14" s="32">
        <v>0</v>
      </c>
      <c r="FJ14" s="32">
        <v>0</v>
      </c>
      <c r="FK14" s="32">
        <v>0</v>
      </c>
      <c r="FL14" s="32">
        <v>0</v>
      </c>
      <c r="FM14" s="32">
        <v>0</v>
      </c>
      <c r="FN14" s="32">
        <v>0</v>
      </c>
      <c r="FO14" s="32">
        <v>0</v>
      </c>
      <c r="FP14" s="32">
        <v>0</v>
      </c>
      <c r="FQ14" s="32">
        <v>0</v>
      </c>
      <c r="FR14" s="32">
        <v>0</v>
      </c>
      <c r="FS14" s="32">
        <v>0</v>
      </c>
      <c r="FT14" s="32">
        <v>0</v>
      </c>
      <c r="FU14" s="32">
        <v>0</v>
      </c>
      <c r="FV14" s="32">
        <v>0</v>
      </c>
      <c r="FW14" s="32">
        <v>0</v>
      </c>
      <c r="FX14" s="32">
        <v>0</v>
      </c>
      <c r="FY14" s="32">
        <v>0</v>
      </c>
      <c r="FZ14" s="32">
        <v>0</v>
      </c>
      <c r="GA14" s="3">
        <v>19.683000000000003</v>
      </c>
      <c r="GB14" s="32">
        <v>13.122000000000002</v>
      </c>
      <c r="GC14" s="32">
        <v>98.41500000000002</v>
      </c>
      <c r="GD14" s="32">
        <v>31.103999999999999</v>
      </c>
      <c r="GE14" s="32">
        <v>31.103999999999999</v>
      </c>
      <c r="GF14" s="32">
        <v>41.471999999999994</v>
      </c>
      <c r="GG14" s="32">
        <v>20.735999999999997</v>
      </c>
      <c r="GH14" s="32">
        <v>15.552</v>
      </c>
      <c r="GI14" s="32">
        <v>0</v>
      </c>
      <c r="GJ14" s="32">
        <v>0</v>
      </c>
      <c r="GK14" s="32">
        <v>20.995200000000004</v>
      </c>
      <c r="GL14" s="32">
        <v>0</v>
      </c>
      <c r="GM14" s="32">
        <v>0</v>
      </c>
      <c r="GN14" s="32">
        <v>43.923000000000009</v>
      </c>
      <c r="GO14" s="32">
        <v>30</v>
      </c>
      <c r="GP14" s="32">
        <v>10</v>
      </c>
      <c r="GQ14" s="32">
        <v>5.0531000000000006</v>
      </c>
      <c r="GR14" s="32">
        <v>15.817099999999996</v>
      </c>
      <c r="GS14" s="32">
        <v>1</v>
      </c>
      <c r="GT14" s="32">
        <v>4.125</v>
      </c>
      <c r="GU14" s="32">
        <v>1.095683193077468</v>
      </c>
      <c r="GV14" s="32">
        <v>7.2623906705539358</v>
      </c>
      <c r="GW14" s="32">
        <v>1.1728000000000001</v>
      </c>
      <c r="GX14" s="32">
        <v>2.5309310892394863</v>
      </c>
      <c r="GY14" s="32">
        <v>12.349125364431487</v>
      </c>
      <c r="GZ14" s="32">
        <v>1.7281777777777778</v>
      </c>
      <c r="HA14" s="32">
        <v>13.164746412555075</v>
      </c>
      <c r="HB14" s="32">
        <v>1.3345481049562684</v>
      </c>
      <c r="HC14" s="32">
        <v>9.8888888888888893</v>
      </c>
      <c r="HD14" s="32">
        <v>18.320508075688771</v>
      </c>
      <c r="HE14" s="32">
        <v>2.6348610067618332</v>
      </c>
      <c r="HF14" s="32">
        <v>6.5492895730664351</v>
      </c>
      <c r="HG14" s="32">
        <v>13.164746412555075</v>
      </c>
      <c r="HH14" s="32">
        <v>3.3277610818933128</v>
      </c>
      <c r="HI14" s="32">
        <v>4.2528916662432898</v>
      </c>
      <c r="HJ14" s="32">
        <v>9.1494297255984218</v>
      </c>
      <c r="HK14" s="32">
        <v>4.1930879038317048</v>
      </c>
      <c r="HL14" s="32">
        <v>2.7558299039780527</v>
      </c>
      <c r="HM14" s="32">
        <v>6.1320023927966725</v>
      </c>
      <c r="HN14" s="32">
        <v>5.25</v>
      </c>
      <c r="HO14" s="32">
        <v>1.8467543904215145</v>
      </c>
      <c r="HP14" s="32">
        <v>3.969908792127705</v>
      </c>
      <c r="HQ14" s="32">
        <v>4.1930879038317048</v>
      </c>
      <c r="HR14" s="32">
        <v>1.3468305983166522</v>
      </c>
      <c r="HS14" s="32">
        <v>2.5205933015693844</v>
      </c>
      <c r="HT14" s="32">
        <v>3.3277610818933128</v>
      </c>
      <c r="HU14" s="32">
        <v>1.6415002990995839</v>
      </c>
      <c r="HV14" s="32">
        <v>2.6348610067618332</v>
      </c>
      <c r="HW14" s="32">
        <v>1.1900741626961731</v>
      </c>
      <c r="HX14" s="32">
        <v>2.0952291510142746</v>
      </c>
      <c r="HY14" s="32">
        <v>1.0237592703370215</v>
      </c>
      <c r="HZ14" s="32">
        <v>1.6897069872276482</v>
      </c>
      <c r="IA14" s="32">
        <v>0</v>
      </c>
      <c r="IB14" s="32">
        <v>0</v>
      </c>
      <c r="IC14" s="32">
        <v>0</v>
      </c>
      <c r="ID14" s="32">
        <v>0</v>
      </c>
      <c r="IE14" s="32">
        <v>0</v>
      </c>
      <c r="IF14" s="32">
        <v>0</v>
      </c>
      <c r="IG14" s="32">
        <v>0</v>
      </c>
      <c r="IH14" s="32">
        <v>0</v>
      </c>
      <c r="II14" s="32">
        <v>0</v>
      </c>
      <c r="IJ14" s="32">
        <v>0</v>
      </c>
      <c r="IK14" s="32">
        <v>0</v>
      </c>
      <c r="IL14" s="32">
        <v>0</v>
      </c>
      <c r="IM14" s="32">
        <v>0</v>
      </c>
      <c r="IN14" s="32">
        <v>0</v>
      </c>
      <c r="IO14" s="32">
        <v>0</v>
      </c>
      <c r="IP14" s="32">
        <v>0</v>
      </c>
      <c r="IQ14" s="32">
        <v>0</v>
      </c>
      <c r="IR14" s="32">
        <v>0</v>
      </c>
      <c r="IS14" s="32">
        <v>0</v>
      </c>
      <c r="IT14" s="32">
        <v>0</v>
      </c>
      <c r="IU14" s="32">
        <v>0</v>
      </c>
      <c r="IV14" s="32">
        <v>0</v>
      </c>
      <c r="IW14" s="32">
        <v>0</v>
      </c>
      <c r="IX14" s="32">
        <v>0</v>
      </c>
      <c r="IY14" s="32">
        <v>0</v>
      </c>
      <c r="IZ14" s="32">
        <v>0</v>
      </c>
      <c r="JA14" s="32">
        <v>0</v>
      </c>
      <c r="JB14" s="32">
        <v>0</v>
      </c>
      <c r="JC14" s="32">
        <v>0</v>
      </c>
      <c r="JD14" s="32">
        <v>0</v>
      </c>
      <c r="JE14" s="32">
        <v>0</v>
      </c>
      <c r="JF14" s="32">
        <v>0</v>
      </c>
      <c r="JG14" s="32">
        <v>0</v>
      </c>
      <c r="JH14" s="32">
        <v>0</v>
      </c>
      <c r="JI14" s="32">
        <v>1</v>
      </c>
      <c r="JJ14" s="32">
        <v>1.390625</v>
      </c>
      <c r="JK14" s="32">
        <v>1.095683193077468</v>
      </c>
      <c r="JL14" s="32">
        <v>1.784347667638484</v>
      </c>
      <c r="JM14" s="32">
        <v>2.5551999999999997</v>
      </c>
      <c r="JN14" s="32">
        <v>2.5309310892394863</v>
      </c>
      <c r="JO14" s="32">
        <v>2.4310313411078717</v>
      </c>
      <c r="JP14" s="32">
        <v>7.5536000000000012</v>
      </c>
      <c r="JQ14" s="32">
        <v>13.164746412555075</v>
      </c>
      <c r="JR14" s="32">
        <v>1.0836370262390671</v>
      </c>
      <c r="JS14" s="32">
        <v>36.555555555555557</v>
      </c>
      <c r="JT14" s="32">
        <v>18.320508075688771</v>
      </c>
      <c r="JU14" s="32">
        <v>1.4087152516904582</v>
      </c>
      <c r="JV14" s="32">
        <v>23.19715829226574</v>
      </c>
      <c r="JW14" s="32">
        <v>13.164746412555075</v>
      </c>
      <c r="JX14" s="32">
        <v>14.011566664973158</v>
      </c>
      <c r="JY14" s="32">
        <v>9.1494297255984218</v>
      </c>
      <c r="JZ14" s="32">
        <v>8.7764976083700503</v>
      </c>
      <c r="KA14" s="32">
        <v>8.0233196159122109</v>
      </c>
      <c r="KB14" s="32">
        <v>6.1320023927966725</v>
      </c>
      <c r="KC14" s="32">
        <v>5.8509984055800333</v>
      </c>
      <c r="KD14" s="32">
        <v>4.3870175616860578</v>
      </c>
      <c r="KE14" s="32">
        <v>3.969908792127705</v>
      </c>
      <c r="KF14" s="32">
        <v>3.900665603720022</v>
      </c>
      <c r="KG14" s="32">
        <v>2.3873223932666088</v>
      </c>
      <c r="KH14" s="32">
        <v>2.5205933015693844</v>
      </c>
      <c r="KI14" s="32">
        <v>2.6004437358133479</v>
      </c>
      <c r="KJ14" s="32">
        <v>1.4389574759945132</v>
      </c>
      <c r="KK14" s="32">
        <v>1.6803955343795896</v>
      </c>
      <c r="KL14" s="32">
        <v>1.086707649579163</v>
      </c>
      <c r="KM14" s="32">
        <v>0.95930498399634212</v>
      </c>
      <c r="KN14" s="32">
        <v>1.0054192280986978</v>
      </c>
      <c r="KO14" s="32">
        <v>0</v>
      </c>
      <c r="KP14" s="32">
        <v>0</v>
      </c>
      <c r="KQ14" s="32">
        <v>0</v>
      </c>
      <c r="KR14" s="32">
        <v>0</v>
      </c>
      <c r="KS14" s="32">
        <v>0</v>
      </c>
      <c r="KT14" s="32">
        <v>0</v>
      </c>
      <c r="KU14" s="32">
        <v>0</v>
      </c>
      <c r="KV14" s="32">
        <v>0</v>
      </c>
      <c r="KW14" s="32">
        <v>0</v>
      </c>
      <c r="KX14" s="32">
        <v>0</v>
      </c>
      <c r="KY14" s="32">
        <v>0</v>
      </c>
      <c r="KZ14" s="32">
        <v>0</v>
      </c>
      <c r="LA14" s="32">
        <v>0</v>
      </c>
      <c r="LB14" s="32">
        <v>0</v>
      </c>
      <c r="LC14" s="32">
        <v>0</v>
      </c>
      <c r="LD14" s="32">
        <v>0</v>
      </c>
      <c r="LE14" s="32">
        <v>0</v>
      </c>
      <c r="LF14" s="32">
        <v>0</v>
      </c>
      <c r="LG14" s="32">
        <v>0</v>
      </c>
      <c r="LH14" s="32">
        <v>0</v>
      </c>
      <c r="LI14" s="32">
        <v>0</v>
      </c>
      <c r="LJ14" s="32">
        <v>0</v>
      </c>
      <c r="LK14" s="32">
        <v>0</v>
      </c>
      <c r="LL14" s="32">
        <v>0</v>
      </c>
      <c r="LM14" s="32">
        <v>0</v>
      </c>
      <c r="LN14" s="32">
        <v>0</v>
      </c>
      <c r="LO14" s="32">
        <v>0</v>
      </c>
      <c r="LP14" s="32">
        <v>0</v>
      </c>
      <c r="LQ14" s="32">
        <v>0</v>
      </c>
      <c r="LR14" s="32">
        <v>0</v>
      </c>
      <c r="LS14" s="32">
        <v>0</v>
      </c>
      <c r="LT14" s="32">
        <v>0</v>
      </c>
      <c r="LU14" s="32">
        <v>0</v>
      </c>
      <c r="LV14" s="32">
        <v>0</v>
      </c>
      <c r="LW14" s="32">
        <v>0</v>
      </c>
      <c r="LX14" s="32">
        <v>0</v>
      </c>
    </row>
    <row r="15" spans="1:337" s="32" customFormat="1" ht="14.25" x14ac:dyDescent="0.2">
      <c r="A15" s="5">
        <v>9</v>
      </c>
      <c r="B15" s="27" t="s">
        <v>660</v>
      </c>
      <c r="C15" s="27" t="s">
        <v>423</v>
      </c>
      <c r="D15" s="27" t="s">
        <v>424</v>
      </c>
      <c r="E15" s="27" t="s">
        <v>423</v>
      </c>
      <c r="F15" s="28" t="s">
        <v>425</v>
      </c>
      <c r="G15" s="28" t="s">
        <v>426</v>
      </c>
      <c r="H15" s="29">
        <v>-1</v>
      </c>
      <c r="I15" s="30">
        <v>-2.0299999999999998</v>
      </c>
      <c r="J15" s="31">
        <v>10.545699980557822</v>
      </c>
      <c r="K15" s="29" t="s">
        <v>427</v>
      </c>
      <c r="L15" s="16">
        <v>0</v>
      </c>
      <c r="M15" s="16">
        <v>2</v>
      </c>
      <c r="N15" s="27" t="s">
        <v>423</v>
      </c>
      <c r="O15" s="27">
        <v>0</v>
      </c>
      <c r="P15" s="27">
        <v>0</v>
      </c>
      <c r="Q15" s="27">
        <v>0</v>
      </c>
      <c r="R15" s="27">
        <v>0</v>
      </c>
      <c r="S15" s="27">
        <v>0</v>
      </c>
      <c r="T15" s="27">
        <v>20</v>
      </c>
      <c r="U15" s="27">
        <v>1</v>
      </c>
      <c r="V15" s="27">
        <v>20</v>
      </c>
      <c r="W15" s="27">
        <v>4</v>
      </c>
      <c r="X15" s="27" t="s">
        <v>423</v>
      </c>
      <c r="Y15" s="17">
        <v>598.25786172459993</v>
      </c>
      <c r="Z15" s="17">
        <v>580.24730172459988</v>
      </c>
      <c r="AA15" s="17">
        <v>604.30478172459993</v>
      </c>
      <c r="AB15" s="17">
        <v>586.29422172459988</v>
      </c>
      <c r="AC15" s="17">
        <v>877.56284172460005</v>
      </c>
      <c r="AD15" s="17">
        <v>723.56924725980002</v>
      </c>
      <c r="AE15" s="17">
        <v>797.60602669220009</v>
      </c>
      <c r="AF15" s="17">
        <v>525.35562566179999</v>
      </c>
      <c r="AG15" s="17">
        <v>451.31884622939998</v>
      </c>
      <c r="AH15" s="17">
        <v>337.34703603639997</v>
      </c>
      <c r="AI15" s="17">
        <v>355.35760072039994</v>
      </c>
      <c r="AJ15" s="17">
        <v>507.34506097780002</v>
      </c>
      <c r="AK15" s="17">
        <v>0</v>
      </c>
      <c r="AL15" s="17">
        <v>551.55556725399993</v>
      </c>
      <c r="AM15" s="17">
        <v>0</v>
      </c>
      <c r="AN15" s="17">
        <v>0</v>
      </c>
      <c r="AO15" s="17">
        <v>0</v>
      </c>
      <c r="AP15" s="17">
        <v>252.97831503820004</v>
      </c>
      <c r="AQ15" s="17">
        <v>173.021500038</v>
      </c>
      <c r="AR15" s="17">
        <v>155.010935354</v>
      </c>
      <c r="AS15" s="32">
        <v>279.30517122359998</v>
      </c>
      <c r="AT15" s="32">
        <v>273.25822103039997</v>
      </c>
      <c r="AU15" s="32">
        <v>55.0547752254</v>
      </c>
      <c r="AV15" s="32">
        <v>57.070425289800006</v>
      </c>
      <c r="AW15" s="32">
        <v>69.070425289799999</v>
      </c>
      <c r="AX15" s="32">
        <v>71.086075354200005</v>
      </c>
      <c r="AY15" s="32">
        <v>81.070425289799999</v>
      </c>
      <c r="AZ15" s="32">
        <v>83.086075354200005</v>
      </c>
      <c r="BA15" s="32">
        <v>85.101725418599997</v>
      </c>
      <c r="BB15" s="32">
        <v>95.086075354200005</v>
      </c>
      <c r="BC15" s="32">
        <v>97.101725418599997</v>
      </c>
      <c r="BD15" s="32">
        <v>99.117375483000004</v>
      </c>
      <c r="BE15" s="32">
        <v>109.1017254186</v>
      </c>
      <c r="BF15" s="32">
        <v>111.117375483</v>
      </c>
      <c r="BG15" s="32">
        <v>113.13302554740001</v>
      </c>
      <c r="BH15" s="32">
        <v>123.117375483</v>
      </c>
      <c r="BI15" s="32">
        <v>125.13302554740001</v>
      </c>
      <c r="BJ15" s="32">
        <v>127.1486756118</v>
      </c>
      <c r="BK15" s="32">
        <v>137.1330255474</v>
      </c>
      <c r="BL15" s="32">
        <v>139.1486756118</v>
      </c>
      <c r="BM15" s="32">
        <v>141.16432567620001</v>
      </c>
      <c r="BN15" s="32">
        <v>151.1486756118</v>
      </c>
      <c r="BO15" s="32">
        <v>153.16432567620001</v>
      </c>
      <c r="BP15" s="32">
        <v>155.17997574060001</v>
      </c>
      <c r="BQ15" s="32">
        <v>165.16432567620001</v>
      </c>
      <c r="BR15" s="32">
        <v>167.17997574060001</v>
      </c>
      <c r="BS15" s="32">
        <v>169.19562580499999</v>
      </c>
      <c r="BT15" s="32">
        <v>179.17997574060001</v>
      </c>
      <c r="BU15" s="32">
        <v>181.19562580499999</v>
      </c>
      <c r="BV15" s="32">
        <v>183.2112758694</v>
      </c>
      <c r="BW15" s="32">
        <v>195.2112758694</v>
      </c>
      <c r="BX15" s="32">
        <v>197.2269259338</v>
      </c>
      <c r="BY15" s="32">
        <v>209.2269259338</v>
      </c>
      <c r="BZ15" s="32">
        <v>211.24257599820001</v>
      </c>
      <c r="CA15" s="32">
        <v>223.24257599820001</v>
      </c>
      <c r="CB15" s="32">
        <v>225.25822606260002</v>
      </c>
      <c r="CC15" s="32">
        <v>0</v>
      </c>
      <c r="CD15" s="32">
        <v>0</v>
      </c>
      <c r="CE15" s="32">
        <v>0</v>
      </c>
      <c r="CF15" s="32">
        <v>0</v>
      </c>
      <c r="CG15" s="32">
        <v>0</v>
      </c>
      <c r="CH15" s="32">
        <v>0</v>
      </c>
      <c r="CI15" s="32">
        <v>0</v>
      </c>
      <c r="CJ15" s="32">
        <v>0</v>
      </c>
      <c r="CK15" s="32">
        <v>0</v>
      </c>
      <c r="CL15" s="32">
        <v>0</v>
      </c>
      <c r="CM15" s="32">
        <v>0</v>
      </c>
      <c r="CN15" s="32">
        <v>0</v>
      </c>
      <c r="CO15" s="32">
        <v>0</v>
      </c>
      <c r="CP15" s="32">
        <v>0</v>
      </c>
      <c r="CQ15" s="32">
        <v>0</v>
      </c>
      <c r="CR15" s="32">
        <v>0</v>
      </c>
      <c r="CS15" s="32">
        <v>0</v>
      </c>
      <c r="CT15" s="32">
        <v>0</v>
      </c>
      <c r="CU15" s="32">
        <v>0</v>
      </c>
      <c r="CV15" s="32">
        <v>0</v>
      </c>
      <c r="CW15" s="32">
        <v>0</v>
      </c>
      <c r="CX15" s="32">
        <v>0</v>
      </c>
      <c r="CY15" s="32">
        <v>0</v>
      </c>
      <c r="CZ15" s="32">
        <v>0</v>
      </c>
      <c r="DA15" s="32">
        <v>0</v>
      </c>
      <c r="DB15" s="32">
        <v>0</v>
      </c>
      <c r="DC15" s="32">
        <v>0</v>
      </c>
      <c r="DD15" s="32">
        <v>0</v>
      </c>
      <c r="DE15" s="32">
        <v>0</v>
      </c>
      <c r="DF15" s="32">
        <v>0</v>
      </c>
      <c r="DG15" s="32">
        <v>0</v>
      </c>
      <c r="DH15" s="32">
        <v>0</v>
      </c>
      <c r="DI15" s="32">
        <v>0</v>
      </c>
      <c r="DJ15" s="32">
        <v>0</v>
      </c>
      <c r="DK15" s="32">
        <v>55.0547752254</v>
      </c>
      <c r="DL15" s="32">
        <v>69.070425289799999</v>
      </c>
      <c r="DM15" s="32">
        <v>81.070425289799999</v>
      </c>
      <c r="DN15" s="32">
        <v>83.086075354200005</v>
      </c>
      <c r="DO15" s="32">
        <v>95.086075354200005</v>
      </c>
      <c r="DP15" s="32">
        <v>97.101725418599997</v>
      </c>
      <c r="DQ15" s="32">
        <v>109.1017254186</v>
      </c>
      <c r="DR15" s="32">
        <v>111.117375483</v>
      </c>
      <c r="DS15" s="32">
        <v>123.117375483</v>
      </c>
      <c r="DT15" s="32">
        <v>137.1330255474</v>
      </c>
      <c r="DU15" s="32">
        <v>149.1330255474</v>
      </c>
      <c r="DV15" s="32">
        <v>151.1486756118</v>
      </c>
      <c r="DW15" s="32">
        <v>163.1486756118</v>
      </c>
      <c r="DX15" s="32">
        <v>165.16432567620001</v>
      </c>
      <c r="DY15" s="32">
        <v>177.16432567620001</v>
      </c>
      <c r="DZ15" s="32">
        <v>179.17997574060001</v>
      </c>
      <c r="EA15" s="32">
        <v>191.17997574060001</v>
      </c>
      <c r="EB15" s="32">
        <v>205.19562580499999</v>
      </c>
      <c r="EC15" s="32">
        <v>217.19562580499999</v>
      </c>
      <c r="ED15" s="32">
        <v>219.2112758694</v>
      </c>
      <c r="EE15" s="32">
        <v>0</v>
      </c>
      <c r="EF15" s="32">
        <v>0</v>
      </c>
      <c r="EG15" s="32">
        <v>0</v>
      </c>
      <c r="EH15" s="32">
        <v>0</v>
      </c>
      <c r="EI15" s="32">
        <v>0</v>
      </c>
      <c r="EJ15" s="32">
        <v>0</v>
      </c>
      <c r="EK15" s="32">
        <v>0</v>
      </c>
      <c r="EL15" s="32">
        <v>0</v>
      </c>
      <c r="EM15" s="32">
        <v>0</v>
      </c>
      <c r="EN15" s="32">
        <v>0</v>
      </c>
      <c r="EO15" s="32">
        <v>0</v>
      </c>
      <c r="EP15" s="32">
        <v>0</v>
      </c>
      <c r="EQ15" s="32">
        <v>0</v>
      </c>
      <c r="ER15" s="32">
        <v>0</v>
      </c>
      <c r="ES15" s="32">
        <v>0</v>
      </c>
      <c r="ET15" s="32">
        <v>0</v>
      </c>
      <c r="EU15" s="32">
        <v>0</v>
      </c>
      <c r="EV15" s="32">
        <v>0</v>
      </c>
      <c r="EW15" s="32">
        <v>0</v>
      </c>
      <c r="EX15" s="32">
        <v>0</v>
      </c>
      <c r="EY15" s="32">
        <v>0</v>
      </c>
      <c r="EZ15" s="32">
        <v>0</v>
      </c>
      <c r="FA15" s="32">
        <v>0</v>
      </c>
      <c r="FB15" s="32">
        <v>0</v>
      </c>
      <c r="FC15" s="32">
        <v>0</v>
      </c>
      <c r="FD15" s="32">
        <v>0</v>
      </c>
      <c r="FE15" s="32">
        <v>0</v>
      </c>
      <c r="FF15" s="32">
        <v>0</v>
      </c>
      <c r="FG15" s="32">
        <v>0</v>
      </c>
      <c r="FH15" s="32">
        <v>0</v>
      </c>
      <c r="FI15" s="32">
        <v>0</v>
      </c>
      <c r="FJ15" s="32">
        <v>0</v>
      </c>
      <c r="FK15" s="32">
        <v>0</v>
      </c>
      <c r="FL15" s="32">
        <v>0</v>
      </c>
      <c r="FM15" s="32">
        <v>0</v>
      </c>
      <c r="FN15" s="32">
        <v>0</v>
      </c>
      <c r="FO15" s="32">
        <v>0</v>
      </c>
      <c r="FP15" s="32">
        <v>0</v>
      </c>
      <c r="FQ15" s="32">
        <v>0</v>
      </c>
      <c r="FR15" s="32">
        <v>0</v>
      </c>
      <c r="FS15" s="32">
        <v>0</v>
      </c>
      <c r="FT15" s="32">
        <v>0</v>
      </c>
      <c r="FU15" s="32">
        <v>0</v>
      </c>
      <c r="FV15" s="32">
        <v>0</v>
      </c>
      <c r="FW15" s="32">
        <v>0</v>
      </c>
      <c r="FX15" s="32">
        <v>0</v>
      </c>
      <c r="FY15" s="32">
        <v>0</v>
      </c>
      <c r="FZ15" s="32">
        <v>0</v>
      </c>
      <c r="GA15" s="3">
        <v>17.714700000000004</v>
      </c>
      <c r="GB15" s="32">
        <v>11.809800000000003</v>
      </c>
      <c r="GC15" s="32">
        <v>88.573500000000024</v>
      </c>
      <c r="GD15" s="32">
        <v>37.324799999999996</v>
      </c>
      <c r="GE15" s="32">
        <v>37.324799999999996</v>
      </c>
      <c r="GF15" s="32">
        <v>49.766399999999997</v>
      </c>
      <c r="GG15" s="32">
        <v>24.883199999999999</v>
      </c>
      <c r="GH15" s="32">
        <v>18.662399999999998</v>
      </c>
      <c r="GI15" s="32">
        <v>0</v>
      </c>
      <c r="GJ15" s="32">
        <v>0</v>
      </c>
      <c r="GK15" s="32">
        <v>37.791360000000012</v>
      </c>
      <c r="GL15" s="32">
        <v>0</v>
      </c>
      <c r="GM15" s="32">
        <v>0</v>
      </c>
      <c r="GN15" s="32">
        <v>48.315300000000015</v>
      </c>
      <c r="GO15" s="32">
        <v>30</v>
      </c>
      <c r="GP15" s="32">
        <v>10</v>
      </c>
      <c r="GQ15" s="32">
        <v>6.5690300000000006</v>
      </c>
      <c r="GR15" s="32">
        <v>36.379329999999989</v>
      </c>
      <c r="GS15" s="32">
        <v>1</v>
      </c>
      <c r="GT15" s="32">
        <v>4.125</v>
      </c>
      <c r="GU15" s="32">
        <v>1.095683193077468</v>
      </c>
      <c r="GV15" s="32">
        <v>7.2623906705539358</v>
      </c>
      <c r="GW15" s="32">
        <v>1.1728000000000001</v>
      </c>
      <c r="GX15" s="32">
        <v>2.5309310892394863</v>
      </c>
      <c r="GY15" s="32">
        <v>12.349125364431487</v>
      </c>
      <c r="GZ15" s="32">
        <v>1.7281777777777778</v>
      </c>
      <c r="HA15" s="32">
        <v>13.164746412555075</v>
      </c>
      <c r="HB15" s="32">
        <v>1.3345481049562684</v>
      </c>
      <c r="HC15" s="32">
        <v>9.8888888888888893</v>
      </c>
      <c r="HD15" s="32">
        <v>18.320508075688771</v>
      </c>
      <c r="HE15" s="32">
        <v>2.6348610067618332</v>
      </c>
      <c r="HF15" s="32">
        <v>6.5492895730664351</v>
      </c>
      <c r="HG15" s="32">
        <v>13.164746412555075</v>
      </c>
      <c r="HH15" s="32">
        <v>3.3277610818933128</v>
      </c>
      <c r="HI15" s="32">
        <v>4.2528916662432898</v>
      </c>
      <c r="HJ15" s="32">
        <v>9.1494297255984218</v>
      </c>
      <c r="HK15" s="32">
        <v>4.1930879038317048</v>
      </c>
      <c r="HL15" s="32">
        <v>2.7558299039780527</v>
      </c>
      <c r="HM15" s="32">
        <v>6.1320023927966725</v>
      </c>
      <c r="HN15" s="32">
        <v>5.25</v>
      </c>
      <c r="HO15" s="32">
        <v>1.8467543904215145</v>
      </c>
      <c r="HP15" s="32">
        <v>3.969908792127705</v>
      </c>
      <c r="HQ15" s="32">
        <v>4.1930879038317048</v>
      </c>
      <c r="HR15" s="32">
        <v>1.3468305983166522</v>
      </c>
      <c r="HS15" s="32">
        <v>2.5205933015693844</v>
      </c>
      <c r="HT15" s="32">
        <v>3.3277610818933128</v>
      </c>
      <c r="HU15" s="32">
        <v>1.6415002990995839</v>
      </c>
      <c r="HV15" s="32">
        <v>2.6348610067618332</v>
      </c>
      <c r="HW15" s="32">
        <v>1.1900741626961731</v>
      </c>
      <c r="HX15" s="32">
        <v>2.0952291510142746</v>
      </c>
      <c r="HY15" s="32">
        <v>1.0237592703370215</v>
      </c>
      <c r="HZ15" s="32">
        <v>1.6897069872276482</v>
      </c>
      <c r="IA15" s="32">
        <v>0</v>
      </c>
      <c r="IB15" s="32">
        <v>0</v>
      </c>
      <c r="IC15" s="32">
        <v>0</v>
      </c>
      <c r="ID15" s="32">
        <v>0</v>
      </c>
      <c r="IE15" s="32">
        <v>0</v>
      </c>
      <c r="IF15" s="32">
        <v>0</v>
      </c>
      <c r="IG15" s="32">
        <v>0</v>
      </c>
      <c r="IH15" s="32">
        <v>0</v>
      </c>
      <c r="II15" s="32">
        <v>0</v>
      </c>
      <c r="IJ15" s="32">
        <v>0</v>
      </c>
      <c r="IK15" s="32">
        <v>0</v>
      </c>
      <c r="IL15" s="32">
        <v>0</v>
      </c>
      <c r="IM15" s="32">
        <v>0</v>
      </c>
      <c r="IN15" s="32">
        <v>0</v>
      </c>
      <c r="IO15" s="32">
        <v>0</v>
      </c>
      <c r="IP15" s="32">
        <v>0</v>
      </c>
      <c r="IQ15" s="32">
        <v>0</v>
      </c>
      <c r="IR15" s="32">
        <v>0</v>
      </c>
      <c r="IS15" s="32">
        <v>0</v>
      </c>
      <c r="IT15" s="32">
        <v>0</v>
      </c>
      <c r="IU15" s="32">
        <v>0</v>
      </c>
      <c r="IV15" s="32">
        <v>0</v>
      </c>
      <c r="IW15" s="32">
        <v>0</v>
      </c>
      <c r="IX15" s="32">
        <v>0</v>
      </c>
      <c r="IY15" s="32">
        <v>0</v>
      </c>
      <c r="IZ15" s="32">
        <v>0</v>
      </c>
      <c r="JA15" s="32">
        <v>0</v>
      </c>
      <c r="JB15" s="32">
        <v>0</v>
      </c>
      <c r="JC15" s="32">
        <v>0</v>
      </c>
      <c r="JD15" s="32">
        <v>0</v>
      </c>
      <c r="JE15" s="32">
        <v>0</v>
      </c>
      <c r="JF15" s="32">
        <v>0</v>
      </c>
      <c r="JG15" s="32">
        <v>0</v>
      </c>
      <c r="JH15" s="32">
        <v>0</v>
      </c>
      <c r="JI15" s="32">
        <v>1</v>
      </c>
      <c r="JJ15" s="32">
        <v>1.0338291173353296</v>
      </c>
      <c r="JK15" s="32">
        <v>1.6911999999999998</v>
      </c>
      <c r="JL15" s="32">
        <v>1.5412658773652741</v>
      </c>
      <c r="JM15" s="32">
        <v>3.9127111111111117</v>
      </c>
      <c r="JN15" s="32">
        <v>3.7401585041617</v>
      </c>
      <c r="JO15" s="32">
        <v>9.8888888888888893</v>
      </c>
      <c r="JP15" s="32">
        <v>9.6602540378443855</v>
      </c>
      <c r="JQ15" s="32">
        <v>13.48590153939948</v>
      </c>
      <c r="JR15" s="32">
        <v>8.3190062490474013</v>
      </c>
      <c r="JS15" s="32">
        <v>6.4401693585629234</v>
      </c>
      <c r="JT15" s="32">
        <v>4.9506172839506188</v>
      </c>
      <c r="JU15" s="32">
        <v>5.5460041660316008</v>
      </c>
      <c r="JV15" s="32">
        <v>2.9051973784484075</v>
      </c>
      <c r="JW15" s="32">
        <v>3.300411522633746</v>
      </c>
      <c r="JX15" s="32">
        <v>1.7803688462124674</v>
      </c>
      <c r="JY15" s="32">
        <v>1.9367982522989384</v>
      </c>
      <c r="JZ15" s="32">
        <v>2.2002743484224974</v>
      </c>
      <c r="KA15" s="32">
        <v>1.1869125641416449</v>
      </c>
      <c r="KB15" s="32">
        <v>1.2911988348659589</v>
      </c>
      <c r="KC15" s="32">
        <v>0</v>
      </c>
      <c r="KD15" s="32">
        <v>0</v>
      </c>
      <c r="KE15" s="32">
        <v>0</v>
      </c>
      <c r="KF15" s="32">
        <v>0</v>
      </c>
      <c r="KG15" s="32">
        <v>0</v>
      </c>
      <c r="KH15" s="32">
        <v>0</v>
      </c>
      <c r="KI15" s="32">
        <v>0</v>
      </c>
      <c r="KJ15" s="32">
        <v>0</v>
      </c>
      <c r="KK15" s="32">
        <v>0</v>
      </c>
      <c r="KL15" s="32">
        <v>0</v>
      </c>
      <c r="KM15" s="32">
        <v>0</v>
      </c>
      <c r="KN15" s="32">
        <v>0</v>
      </c>
      <c r="KO15" s="32">
        <v>0</v>
      </c>
      <c r="KP15" s="32">
        <v>0</v>
      </c>
      <c r="KQ15" s="32">
        <v>0</v>
      </c>
      <c r="KR15" s="32">
        <v>0</v>
      </c>
      <c r="KS15" s="32">
        <v>0</v>
      </c>
      <c r="KT15" s="32">
        <v>0</v>
      </c>
      <c r="KU15" s="32">
        <v>0</v>
      </c>
      <c r="KV15" s="32">
        <v>0</v>
      </c>
      <c r="KW15" s="32">
        <v>0</v>
      </c>
      <c r="KX15" s="32">
        <v>0</v>
      </c>
      <c r="KY15" s="32">
        <v>0</v>
      </c>
      <c r="KZ15" s="32">
        <v>0</v>
      </c>
      <c r="LA15" s="32">
        <v>0</v>
      </c>
      <c r="LB15" s="32">
        <v>0</v>
      </c>
      <c r="LC15" s="32">
        <v>0</v>
      </c>
      <c r="LD15" s="32">
        <v>0</v>
      </c>
      <c r="LE15" s="32">
        <v>0</v>
      </c>
      <c r="LF15" s="32">
        <v>0</v>
      </c>
      <c r="LG15" s="32">
        <v>0</v>
      </c>
      <c r="LH15" s="32">
        <v>0</v>
      </c>
      <c r="LI15" s="32">
        <v>0</v>
      </c>
      <c r="LJ15" s="32">
        <v>0</v>
      </c>
      <c r="LK15" s="32">
        <v>0</v>
      </c>
      <c r="LL15" s="32">
        <v>0</v>
      </c>
      <c r="LM15" s="32">
        <v>0</v>
      </c>
      <c r="LN15" s="32">
        <v>0</v>
      </c>
      <c r="LO15" s="32">
        <v>0</v>
      </c>
      <c r="LP15" s="32">
        <v>0</v>
      </c>
      <c r="LQ15" s="32">
        <v>0</v>
      </c>
      <c r="LR15" s="32">
        <v>0</v>
      </c>
      <c r="LS15" s="32">
        <v>0</v>
      </c>
      <c r="LT15" s="32">
        <v>0</v>
      </c>
      <c r="LU15" s="32">
        <v>0</v>
      </c>
      <c r="LV15" s="32">
        <v>0</v>
      </c>
      <c r="LW15" s="32">
        <v>0</v>
      </c>
      <c r="LX15" s="32">
        <v>0</v>
      </c>
    </row>
    <row r="16" spans="1:337" s="32" customFormat="1" ht="14.25" x14ac:dyDescent="0.2">
      <c r="A16" s="5">
        <v>10</v>
      </c>
      <c r="B16" s="27" t="s">
        <v>659</v>
      </c>
      <c r="C16" s="27" t="s">
        <v>428</v>
      </c>
      <c r="D16" s="27" t="s">
        <v>407</v>
      </c>
      <c r="E16" s="27" t="s">
        <v>428</v>
      </c>
      <c r="F16" s="28" t="s">
        <v>429</v>
      </c>
      <c r="G16" s="28" t="s">
        <v>430</v>
      </c>
      <c r="H16" s="29">
        <v>-1</v>
      </c>
      <c r="I16" s="30">
        <v>-1.01</v>
      </c>
      <c r="J16" s="31">
        <v>10.951279484072307</v>
      </c>
      <c r="K16" s="29" t="s">
        <v>431</v>
      </c>
      <c r="L16" s="16">
        <v>0</v>
      </c>
      <c r="M16" s="16">
        <v>2</v>
      </c>
      <c r="N16" s="27" t="s">
        <v>428</v>
      </c>
      <c r="O16" s="27">
        <v>0</v>
      </c>
      <c r="P16" s="27">
        <v>0</v>
      </c>
      <c r="Q16" s="27">
        <v>0</v>
      </c>
      <c r="R16" s="27">
        <v>0</v>
      </c>
      <c r="S16" s="27">
        <v>0</v>
      </c>
      <c r="T16" s="27">
        <v>20</v>
      </c>
      <c r="U16" s="27">
        <v>2</v>
      </c>
      <c r="V16" s="27">
        <v>20</v>
      </c>
      <c r="W16" s="27">
        <v>2</v>
      </c>
      <c r="X16" s="27" t="s">
        <v>428</v>
      </c>
      <c r="Y16" s="17">
        <v>602.28915178900002</v>
      </c>
      <c r="Z16" s="17">
        <v>584.27859178899996</v>
      </c>
      <c r="AA16" s="17">
        <v>602.28915178900002</v>
      </c>
      <c r="AB16" s="17">
        <v>584.27859178899996</v>
      </c>
      <c r="AC16" s="17">
        <v>879.57849178900005</v>
      </c>
      <c r="AD16" s="17">
        <v>725.58489732420003</v>
      </c>
      <c r="AE16" s="17">
        <v>799.6216767566001</v>
      </c>
      <c r="AF16" s="17">
        <v>523.33997559739998</v>
      </c>
      <c r="AG16" s="17">
        <v>449.30319616499997</v>
      </c>
      <c r="AH16" s="17">
        <v>335.33138597199996</v>
      </c>
      <c r="AI16" s="17">
        <v>353.34195065599994</v>
      </c>
      <c r="AJ16" s="17">
        <v>505.32941091340001</v>
      </c>
      <c r="AK16" s="17">
        <v>0</v>
      </c>
      <c r="AL16" s="17">
        <v>553.57121731839993</v>
      </c>
      <c r="AM16" s="17">
        <v>0</v>
      </c>
      <c r="AN16" s="17">
        <v>0</v>
      </c>
      <c r="AO16" s="17">
        <v>0</v>
      </c>
      <c r="AP16" s="17">
        <v>252.97831503820004</v>
      </c>
      <c r="AQ16" s="17">
        <v>173.021500038</v>
      </c>
      <c r="AR16" s="17">
        <v>155.010935354</v>
      </c>
      <c r="AS16" s="32">
        <v>277.28952115919998</v>
      </c>
      <c r="AT16" s="32">
        <v>277.28952115919998</v>
      </c>
      <c r="AU16" s="32">
        <v>55.0547752254</v>
      </c>
      <c r="AV16" s="32">
        <v>57.070425289800006</v>
      </c>
      <c r="AW16" s="32">
        <v>69.070425289799999</v>
      </c>
      <c r="AX16" s="32">
        <v>71.086075354200005</v>
      </c>
      <c r="AY16" s="32">
        <v>81.070425289799999</v>
      </c>
      <c r="AZ16" s="32">
        <v>83.086075354200005</v>
      </c>
      <c r="BA16" s="32">
        <v>85.101725418599997</v>
      </c>
      <c r="BB16" s="32">
        <v>95.086075354200005</v>
      </c>
      <c r="BC16" s="32">
        <v>97.101725418599997</v>
      </c>
      <c r="BD16" s="32">
        <v>99.117375483000004</v>
      </c>
      <c r="BE16" s="32">
        <v>109.1017254186</v>
      </c>
      <c r="BF16" s="32">
        <v>111.117375483</v>
      </c>
      <c r="BG16" s="32">
        <v>113.13302554740001</v>
      </c>
      <c r="BH16" s="32">
        <v>123.117375483</v>
      </c>
      <c r="BI16" s="32">
        <v>125.13302554740001</v>
      </c>
      <c r="BJ16" s="32">
        <v>127.1486756118</v>
      </c>
      <c r="BK16" s="32">
        <v>137.1330255474</v>
      </c>
      <c r="BL16" s="32">
        <v>139.1486756118</v>
      </c>
      <c r="BM16" s="32">
        <v>141.16432567620001</v>
      </c>
      <c r="BN16" s="32">
        <v>149.1330255474</v>
      </c>
      <c r="BO16" s="32">
        <v>151.1486756118</v>
      </c>
      <c r="BP16" s="32">
        <v>153.16432567620001</v>
      </c>
      <c r="BQ16" s="32">
        <v>155.17997574060001</v>
      </c>
      <c r="BR16" s="32">
        <v>163.1486756118</v>
      </c>
      <c r="BS16" s="32">
        <v>165.16432567620001</v>
      </c>
      <c r="BT16" s="32">
        <v>167.17997574060001</v>
      </c>
      <c r="BU16" s="32">
        <v>169.19562580499999</v>
      </c>
      <c r="BV16" s="32">
        <v>177.16432567620001</v>
      </c>
      <c r="BW16" s="32">
        <v>179.17997574060001</v>
      </c>
      <c r="BX16" s="32">
        <v>181.19562580499999</v>
      </c>
      <c r="BY16" s="32">
        <v>183.2112758694</v>
      </c>
      <c r="BZ16" s="32">
        <v>193.19562580499999</v>
      </c>
      <c r="CA16" s="32">
        <v>195.2112758694</v>
      </c>
      <c r="CB16" s="32">
        <v>207.2112758694</v>
      </c>
      <c r="CC16" s="32">
        <v>209.2269259338</v>
      </c>
      <c r="CD16" s="32">
        <v>221.2269259338</v>
      </c>
      <c r="CE16" s="32">
        <v>223.24257599820001</v>
      </c>
      <c r="CF16" s="32">
        <v>0</v>
      </c>
      <c r="CG16" s="32">
        <v>0</v>
      </c>
      <c r="CH16" s="32">
        <v>0</v>
      </c>
      <c r="CI16" s="32">
        <v>0</v>
      </c>
      <c r="CJ16" s="32">
        <v>0</v>
      </c>
      <c r="CK16" s="32">
        <v>0</v>
      </c>
      <c r="CL16" s="32">
        <v>0</v>
      </c>
      <c r="CM16" s="32">
        <v>0</v>
      </c>
      <c r="CN16" s="32">
        <v>0</v>
      </c>
      <c r="CO16" s="32">
        <v>0</v>
      </c>
      <c r="CP16" s="32">
        <v>0</v>
      </c>
      <c r="CQ16" s="32">
        <v>0</v>
      </c>
      <c r="CR16" s="32">
        <v>0</v>
      </c>
      <c r="CS16" s="32">
        <v>0</v>
      </c>
      <c r="CT16" s="32">
        <v>0</v>
      </c>
      <c r="CU16" s="32">
        <v>0</v>
      </c>
      <c r="CV16" s="32">
        <v>0</v>
      </c>
      <c r="CW16" s="32">
        <v>0</v>
      </c>
      <c r="CX16" s="32">
        <v>0</v>
      </c>
      <c r="CY16" s="32">
        <v>0</v>
      </c>
      <c r="CZ16" s="32">
        <v>0</v>
      </c>
      <c r="DA16" s="32">
        <v>0</v>
      </c>
      <c r="DB16" s="32">
        <v>0</v>
      </c>
      <c r="DC16" s="32">
        <v>0</v>
      </c>
      <c r="DD16" s="32">
        <v>0</v>
      </c>
      <c r="DE16" s="32">
        <v>0</v>
      </c>
      <c r="DF16" s="32">
        <v>0</v>
      </c>
      <c r="DG16" s="32">
        <v>0</v>
      </c>
      <c r="DH16" s="32">
        <v>0</v>
      </c>
      <c r="DI16" s="32">
        <v>0</v>
      </c>
      <c r="DJ16" s="32">
        <v>0</v>
      </c>
      <c r="DK16" s="32">
        <v>55.0547752254</v>
      </c>
      <c r="DL16" s="32">
        <v>57.070425289800006</v>
      </c>
      <c r="DM16" s="32">
        <v>69.070425289799999</v>
      </c>
      <c r="DN16" s="32">
        <v>71.086075354200005</v>
      </c>
      <c r="DO16" s="32">
        <v>81.070425289799999</v>
      </c>
      <c r="DP16" s="32">
        <v>83.086075354200005</v>
      </c>
      <c r="DQ16" s="32">
        <v>85.101725418599997</v>
      </c>
      <c r="DR16" s="32">
        <v>95.086075354200005</v>
      </c>
      <c r="DS16" s="32">
        <v>97.101725418599997</v>
      </c>
      <c r="DT16" s="32">
        <v>99.117375483000004</v>
      </c>
      <c r="DU16" s="32">
        <v>109.1017254186</v>
      </c>
      <c r="DV16" s="32">
        <v>111.117375483</v>
      </c>
      <c r="DW16" s="32">
        <v>113.13302554740001</v>
      </c>
      <c r="DX16" s="32">
        <v>123.117375483</v>
      </c>
      <c r="DY16" s="32">
        <v>125.13302554740001</v>
      </c>
      <c r="DZ16" s="32">
        <v>127.1486756118</v>
      </c>
      <c r="EA16" s="32">
        <v>137.1330255474</v>
      </c>
      <c r="EB16" s="32">
        <v>139.1486756118</v>
      </c>
      <c r="EC16" s="32">
        <v>141.16432567620001</v>
      </c>
      <c r="ED16" s="32">
        <v>149.1330255474</v>
      </c>
      <c r="EE16" s="32">
        <v>151.1486756118</v>
      </c>
      <c r="EF16" s="32">
        <v>153.16432567620001</v>
      </c>
      <c r="EG16" s="32">
        <v>155.17997574060001</v>
      </c>
      <c r="EH16" s="32">
        <v>163.1486756118</v>
      </c>
      <c r="EI16" s="32">
        <v>165.16432567620001</v>
      </c>
      <c r="EJ16" s="32">
        <v>167.17997574060001</v>
      </c>
      <c r="EK16" s="32">
        <v>169.19562580499999</v>
      </c>
      <c r="EL16" s="32">
        <v>177.16432567620001</v>
      </c>
      <c r="EM16" s="32">
        <v>179.17997574060001</v>
      </c>
      <c r="EN16" s="32">
        <v>181.19562580499999</v>
      </c>
      <c r="EO16" s="32">
        <v>183.2112758694</v>
      </c>
      <c r="EP16" s="32">
        <v>193.19562580499999</v>
      </c>
      <c r="EQ16" s="32">
        <v>195.2112758694</v>
      </c>
      <c r="ER16" s="32">
        <v>207.2112758694</v>
      </c>
      <c r="ES16" s="32">
        <v>209.2269259338</v>
      </c>
      <c r="ET16" s="32">
        <v>221.2269259338</v>
      </c>
      <c r="EU16" s="32">
        <v>223.24257599820001</v>
      </c>
      <c r="EV16" s="32">
        <v>0</v>
      </c>
      <c r="EW16" s="32">
        <v>0</v>
      </c>
      <c r="EX16" s="32">
        <v>0</v>
      </c>
      <c r="EY16" s="32">
        <v>0</v>
      </c>
      <c r="EZ16" s="32">
        <v>0</v>
      </c>
      <c r="FA16" s="32">
        <v>0</v>
      </c>
      <c r="FB16" s="32">
        <v>0</v>
      </c>
      <c r="FC16" s="32">
        <v>0</v>
      </c>
      <c r="FD16" s="32">
        <v>0</v>
      </c>
      <c r="FE16" s="32">
        <v>0</v>
      </c>
      <c r="FF16" s="32">
        <v>0</v>
      </c>
      <c r="FG16" s="32">
        <v>0</v>
      </c>
      <c r="FH16" s="32">
        <v>0</v>
      </c>
      <c r="FI16" s="32">
        <v>0</v>
      </c>
      <c r="FJ16" s="32">
        <v>0</v>
      </c>
      <c r="FK16" s="32">
        <v>0</v>
      </c>
      <c r="FL16" s="32">
        <v>0</v>
      </c>
      <c r="FM16" s="32">
        <v>0</v>
      </c>
      <c r="FN16" s="32">
        <v>0</v>
      </c>
      <c r="FO16" s="32">
        <v>0</v>
      </c>
      <c r="FP16" s="32">
        <v>0</v>
      </c>
      <c r="FQ16" s="32">
        <v>0</v>
      </c>
      <c r="FR16" s="32">
        <v>0</v>
      </c>
      <c r="FS16" s="32">
        <v>0</v>
      </c>
      <c r="FT16" s="32">
        <v>0</v>
      </c>
      <c r="FU16" s="32">
        <v>0</v>
      </c>
      <c r="FV16" s="32">
        <v>0</v>
      </c>
      <c r="FW16" s="32">
        <v>0</v>
      </c>
      <c r="FX16" s="32">
        <v>0</v>
      </c>
      <c r="FY16" s="32">
        <v>0</v>
      </c>
      <c r="FZ16" s="32">
        <v>0</v>
      </c>
      <c r="GA16" s="3">
        <v>19.683000000000003</v>
      </c>
      <c r="GB16" s="32">
        <v>13.122000000000002</v>
      </c>
      <c r="GC16" s="32">
        <v>98.41500000000002</v>
      </c>
      <c r="GD16" s="32">
        <v>15.552</v>
      </c>
      <c r="GE16" s="32">
        <v>15.552</v>
      </c>
      <c r="GF16" s="32">
        <v>20.735999999999997</v>
      </c>
      <c r="GG16" s="32">
        <v>10.367999999999999</v>
      </c>
      <c r="GH16" s="32">
        <v>7.7759999999999998</v>
      </c>
      <c r="GI16" s="32">
        <v>0</v>
      </c>
      <c r="GJ16" s="32">
        <v>0</v>
      </c>
      <c r="GK16" s="32">
        <v>20.995200000000004</v>
      </c>
      <c r="GL16" s="32">
        <v>0</v>
      </c>
      <c r="GM16" s="32">
        <v>0</v>
      </c>
      <c r="GN16" s="32">
        <v>43.923000000000009</v>
      </c>
      <c r="GO16" s="32">
        <v>30</v>
      </c>
      <c r="GP16" s="32">
        <v>10</v>
      </c>
      <c r="GQ16" s="32">
        <v>8.9400999999999993</v>
      </c>
      <c r="GR16" s="32">
        <v>8.9400999999999993</v>
      </c>
      <c r="GS16" s="32">
        <v>1</v>
      </c>
      <c r="GT16" s="32">
        <v>1.925925925925926</v>
      </c>
      <c r="GU16" s="32">
        <v>1.17578125</v>
      </c>
      <c r="GV16" s="32">
        <v>2.8573588165424901</v>
      </c>
      <c r="GW16" s="32">
        <v>1.6911999999999998</v>
      </c>
      <c r="GX16" s="32">
        <v>3.8125</v>
      </c>
      <c r="GY16" s="32">
        <v>4.3773890508584383</v>
      </c>
      <c r="GZ16" s="32">
        <v>3.9127111111111117</v>
      </c>
      <c r="HA16" s="32">
        <v>19.247119618832613</v>
      </c>
      <c r="HB16" s="32">
        <v>1.1486880466472305</v>
      </c>
      <c r="HC16" s="32">
        <v>21</v>
      </c>
      <c r="HD16" s="32">
        <v>26.98076211353316</v>
      </c>
      <c r="HE16" s="32">
        <v>1.7266048918941481</v>
      </c>
      <c r="HF16" s="32">
        <v>13.48590153939948</v>
      </c>
      <c r="HG16" s="32">
        <v>19.247119618832613</v>
      </c>
      <c r="HH16" s="32">
        <v>2.0345604808414723</v>
      </c>
      <c r="HI16" s="32">
        <v>8.3190062490474013</v>
      </c>
      <c r="HJ16" s="32">
        <v>13.224144588397632</v>
      </c>
      <c r="HK16" s="32">
        <v>2.4191501794807575</v>
      </c>
      <c r="HL16" s="32">
        <v>5.5460041660316008</v>
      </c>
      <c r="HM16" s="32">
        <v>4.9506172839506188</v>
      </c>
      <c r="HN16" s="32">
        <v>8.6980035891950074</v>
      </c>
      <c r="HO16" s="32">
        <v>2.8888888888888888</v>
      </c>
      <c r="HP16" s="32">
        <v>3.300411522633746</v>
      </c>
      <c r="HQ16" s="32">
        <v>2.9051973784484075</v>
      </c>
      <c r="HR16" s="32">
        <v>5.4548631881915579</v>
      </c>
      <c r="HS16" s="32">
        <v>2.4191501794807575</v>
      </c>
      <c r="HT16" s="32">
        <v>1.9367982522989384</v>
      </c>
      <c r="HU16" s="32">
        <v>1.7803688462124674</v>
      </c>
      <c r="HV16" s="32">
        <v>3.2808899523540767</v>
      </c>
      <c r="HW16" s="32">
        <v>2.0345604808414723</v>
      </c>
      <c r="HX16" s="32">
        <v>1.2469135802469138</v>
      </c>
      <c r="HY16" s="32">
        <v>1.9622504486493759</v>
      </c>
      <c r="HZ16" s="32">
        <v>1.0487730528882793</v>
      </c>
      <c r="IA16" s="32">
        <v>1.2851112440442596</v>
      </c>
      <c r="IB16" s="32">
        <v>1.0030483158055175</v>
      </c>
      <c r="IC16" s="32">
        <v>1.0356389055055324</v>
      </c>
      <c r="ID16" s="32">
        <v>0</v>
      </c>
      <c r="IE16" s="32">
        <v>0</v>
      </c>
      <c r="IF16" s="32">
        <v>0</v>
      </c>
      <c r="IG16" s="32">
        <v>0</v>
      </c>
      <c r="IH16" s="32">
        <v>0</v>
      </c>
      <c r="II16" s="32">
        <v>0</v>
      </c>
      <c r="IJ16" s="32">
        <v>0</v>
      </c>
      <c r="IK16" s="32">
        <v>0</v>
      </c>
      <c r="IL16" s="32">
        <v>0</v>
      </c>
      <c r="IM16" s="32">
        <v>0</v>
      </c>
      <c r="IN16" s="32">
        <v>0</v>
      </c>
      <c r="IO16" s="32">
        <v>0</v>
      </c>
      <c r="IP16" s="32">
        <v>0</v>
      </c>
      <c r="IQ16" s="32">
        <v>0</v>
      </c>
      <c r="IR16" s="32">
        <v>0</v>
      </c>
      <c r="IS16" s="32">
        <v>0</v>
      </c>
      <c r="IT16" s="32">
        <v>0</v>
      </c>
      <c r="IU16" s="32">
        <v>0</v>
      </c>
      <c r="IV16" s="32">
        <v>0</v>
      </c>
      <c r="IW16" s="32">
        <v>0</v>
      </c>
      <c r="IX16" s="32">
        <v>0</v>
      </c>
      <c r="IY16" s="32">
        <v>0</v>
      </c>
      <c r="IZ16" s="32">
        <v>0</v>
      </c>
      <c r="JA16" s="32">
        <v>0</v>
      </c>
      <c r="JB16" s="32">
        <v>0</v>
      </c>
      <c r="JC16" s="32">
        <v>0</v>
      </c>
      <c r="JD16" s="32">
        <v>0</v>
      </c>
      <c r="JE16" s="32">
        <v>0</v>
      </c>
      <c r="JF16" s="32">
        <v>0</v>
      </c>
      <c r="JG16" s="32">
        <v>0</v>
      </c>
      <c r="JH16" s="32">
        <v>0</v>
      </c>
      <c r="JI16" s="32">
        <v>1</v>
      </c>
      <c r="JJ16" s="32">
        <v>1.925925925925926</v>
      </c>
      <c r="JK16" s="32">
        <v>1.17578125</v>
      </c>
      <c r="JL16" s="32">
        <v>2.8573588165424901</v>
      </c>
      <c r="JM16" s="32">
        <v>1.6911999999999998</v>
      </c>
      <c r="JN16" s="32">
        <v>3.8125</v>
      </c>
      <c r="JO16" s="32">
        <v>4.3773890508584383</v>
      </c>
      <c r="JP16" s="32">
        <v>3.9127111111111117</v>
      </c>
      <c r="JQ16" s="32">
        <v>19.247119618832613</v>
      </c>
      <c r="JR16" s="32">
        <v>1.1486880466472305</v>
      </c>
      <c r="JS16" s="32">
        <v>21</v>
      </c>
      <c r="JT16" s="32">
        <v>26.98076211353316</v>
      </c>
      <c r="JU16" s="32">
        <v>1.7266048918941481</v>
      </c>
      <c r="JV16" s="32">
        <v>13.48590153939948</v>
      </c>
      <c r="JW16" s="32">
        <v>19.247119618832613</v>
      </c>
      <c r="JX16" s="32">
        <v>2.0345604808414723</v>
      </c>
      <c r="JY16" s="32">
        <v>8.3190062490474013</v>
      </c>
      <c r="JZ16" s="32">
        <v>13.224144588397632</v>
      </c>
      <c r="KA16" s="32">
        <v>2.4191501794807575</v>
      </c>
      <c r="KB16" s="32">
        <v>5.5460041660316008</v>
      </c>
      <c r="KC16" s="32">
        <v>4.9506172839506188</v>
      </c>
      <c r="KD16" s="32">
        <v>8.6980035891950074</v>
      </c>
      <c r="KE16" s="32">
        <v>2.8888888888888888</v>
      </c>
      <c r="KF16" s="32">
        <v>3.300411522633746</v>
      </c>
      <c r="KG16" s="32">
        <v>2.9051973784484075</v>
      </c>
      <c r="KH16" s="32">
        <v>5.4548631881915579</v>
      </c>
      <c r="KI16" s="32">
        <v>2.4191501794807575</v>
      </c>
      <c r="KJ16" s="32">
        <v>1.9367982522989384</v>
      </c>
      <c r="KK16" s="32">
        <v>1.7803688462124674</v>
      </c>
      <c r="KL16" s="32">
        <v>3.2808899523540767</v>
      </c>
      <c r="KM16" s="32">
        <v>2.0345604808414723</v>
      </c>
      <c r="KN16" s="32">
        <v>1.2469135802469138</v>
      </c>
      <c r="KO16" s="32">
        <v>1.9622504486493759</v>
      </c>
      <c r="KP16" s="32">
        <v>1.0487730528882793</v>
      </c>
      <c r="KQ16" s="32">
        <v>1.2851112440442596</v>
      </c>
      <c r="KR16" s="32">
        <v>1.0030483158055175</v>
      </c>
      <c r="KS16" s="32">
        <v>1.0356389055055324</v>
      </c>
      <c r="KT16" s="32">
        <v>0</v>
      </c>
      <c r="KU16" s="32">
        <v>0</v>
      </c>
      <c r="KV16" s="32">
        <v>0</v>
      </c>
      <c r="KW16" s="32">
        <v>0</v>
      </c>
      <c r="KX16" s="32">
        <v>0</v>
      </c>
      <c r="KY16" s="32">
        <v>0</v>
      </c>
      <c r="KZ16" s="32">
        <v>0</v>
      </c>
      <c r="LA16" s="32">
        <v>0</v>
      </c>
      <c r="LB16" s="32">
        <v>0</v>
      </c>
      <c r="LC16" s="32">
        <v>0</v>
      </c>
      <c r="LD16" s="32">
        <v>0</v>
      </c>
      <c r="LE16" s="32">
        <v>0</v>
      </c>
      <c r="LF16" s="32">
        <v>0</v>
      </c>
      <c r="LG16" s="32">
        <v>0</v>
      </c>
      <c r="LH16" s="32">
        <v>0</v>
      </c>
      <c r="LI16" s="32">
        <v>0</v>
      </c>
      <c r="LJ16" s="32">
        <v>0</v>
      </c>
      <c r="LK16" s="32">
        <v>0</v>
      </c>
      <c r="LL16" s="32">
        <v>0</v>
      </c>
      <c r="LM16" s="32">
        <v>0</v>
      </c>
      <c r="LN16" s="32">
        <v>0</v>
      </c>
      <c r="LO16" s="32">
        <v>0</v>
      </c>
      <c r="LP16" s="32">
        <v>0</v>
      </c>
      <c r="LQ16" s="32">
        <v>0</v>
      </c>
      <c r="LR16" s="32">
        <v>0</v>
      </c>
      <c r="LS16" s="32">
        <v>0</v>
      </c>
      <c r="LT16" s="32">
        <v>0</v>
      </c>
      <c r="LU16" s="32">
        <v>0</v>
      </c>
      <c r="LV16" s="32">
        <v>0</v>
      </c>
      <c r="LW16" s="32">
        <v>0</v>
      </c>
      <c r="LX16" s="32">
        <v>0</v>
      </c>
    </row>
    <row r="17" spans="1:336" s="32" customFormat="1" ht="14.25" x14ac:dyDescent="0.2">
      <c r="A17" s="5">
        <v>11</v>
      </c>
      <c r="B17" s="27" t="s">
        <v>660</v>
      </c>
      <c r="C17" s="27" t="s">
        <v>432</v>
      </c>
      <c r="D17" s="27" t="s">
        <v>424</v>
      </c>
      <c r="E17" s="27" t="s">
        <v>432</v>
      </c>
      <c r="F17" s="28" t="s">
        <v>433</v>
      </c>
      <c r="G17" s="28" t="s">
        <v>434</v>
      </c>
      <c r="H17" s="29">
        <v>-1</v>
      </c>
      <c r="I17" s="30">
        <v>-2.0099999999999998</v>
      </c>
      <c r="J17" s="31">
        <v>10.545699980558451</v>
      </c>
      <c r="K17" s="29" t="s">
        <v>435</v>
      </c>
      <c r="L17" s="16">
        <v>0</v>
      </c>
      <c r="M17" s="16">
        <v>2</v>
      </c>
      <c r="N17" s="27" t="s">
        <v>432</v>
      </c>
      <c r="O17" s="27">
        <v>0</v>
      </c>
      <c r="P17" s="27">
        <v>0</v>
      </c>
      <c r="Q17" s="27">
        <v>0</v>
      </c>
      <c r="R17" s="27">
        <v>0</v>
      </c>
      <c r="S17" s="27">
        <v>0</v>
      </c>
      <c r="T17" s="27">
        <v>20</v>
      </c>
      <c r="U17" s="27">
        <v>2</v>
      </c>
      <c r="V17" s="27">
        <v>20</v>
      </c>
      <c r="W17" s="27">
        <v>3</v>
      </c>
      <c r="X17" s="27" t="s">
        <v>432</v>
      </c>
      <c r="Y17" s="17">
        <v>600.27350172460001</v>
      </c>
      <c r="Z17" s="17">
        <v>582.26294172459995</v>
      </c>
      <c r="AA17" s="17">
        <v>602.28914172460009</v>
      </c>
      <c r="AB17" s="17">
        <v>584.27858172460003</v>
      </c>
      <c r="AC17" s="17">
        <v>877.56284172460005</v>
      </c>
      <c r="AD17" s="17">
        <v>723.56924725980002</v>
      </c>
      <c r="AE17" s="17">
        <v>797.60602669220009</v>
      </c>
      <c r="AF17" s="17">
        <v>523.33997559739998</v>
      </c>
      <c r="AG17" s="17">
        <v>449.30319616499997</v>
      </c>
      <c r="AH17" s="17">
        <v>335.33138597199996</v>
      </c>
      <c r="AI17" s="17">
        <v>353.34195065599994</v>
      </c>
      <c r="AJ17" s="17">
        <v>505.32941091340001</v>
      </c>
      <c r="AK17" s="17">
        <v>0</v>
      </c>
      <c r="AL17" s="17">
        <v>551.55556725399993</v>
      </c>
      <c r="AM17" s="17">
        <v>0</v>
      </c>
      <c r="AN17" s="17">
        <v>0</v>
      </c>
      <c r="AO17" s="17">
        <v>0</v>
      </c>
      <c r="AP17" s="17">
        <v>252.97831503820004</v>
      </c>
      <c r="AQ17" s="17">
        <v>173.021500038</v>
      </c>
      <c r="AR17" s="17">
        <v>155.010935354</v>
      </c>
      <c r="AS17" s="32">
        <v>277.28952115919998</v>
      </c>
      <c r="AT17" s="32">
        <v>275.27387109479997</v>
      </c>
      <c r="AU17" s="32">
        <v>55.0547752254</v>
      </c>
      <c r="AV17" s="32">
        <v>57.070425289800006</v>
      </c>
      <c r="AW17" s="32">
        <v>69.070425289799999</v>
      </c>
      <c r="AX17" s="32">
        <v>71.086075354200005</v>
      </c>
      <c r="AY17" s="32">
        <v>81.070425289799999</v>
      </c>
      <c r="AZ17" s="32">
        <v>83.086075354200005</v>
      </c>
      <c r="BA17" s="32">
        <v>85.101725418599997</v>
      </c>
      <c r="BB17" s="32">
        <v>95.086075354200005</v>
      </c>
      <c r="BC17" s="32">
        <v>97.101725418599997</v>
      </c>
      <c r="BD17" s="32">
        <v>99.117375483000004</v>
      </c>
      <c r="BE17" s="32">
        <v>109.1017254186</v>
      </c>
      <c r="BF17" s="32">
        <v>111.117375483</v>
      </c>
      <c r="BG17" s="32">
        <v>113.13302554740001</v>
      </c>
      <c r="BH17" s="32">
        <v>123.117375483</v>
      </c>
      <c r="BI17" s="32">
        <v>125.13302554740001</v>
      </c>
      <c r="BJ17" s="32">
        <v>127.1486756118</v>
      </c>
      <c r="BK17" s="32">
        <v>137.1330255474</v>
      </c>
      <c r="BL17" s="32">
        <v>139.1486756118</v>
      </c>
      <c r="BM17" s="32">
        <v>141.16432567620001</v>
      </c>
      <c r="BN17" s="32">
        <v>149.1330255474</v>
      </c>
      <c r="BO17" s="32">
        <v>151.1486756118</v>
      </c>
      <c r="BP17" s="32">
        <v>153.16432567620001</v>
      </c>
      <c r="BQ17" s="32">
        <v>155.17997574060001</v>
      </c>
      <c r="BR17" s="32">
        <v>163.1486756118</v>
      </c>
      <c r="BS17" s="32">
        <v>165.16432567620001</v>
      </c>
      <c r="BT17" s="32">
        <v>167.17997574060001</v>
      </c>
      <c r="BU17" s="32">
        <v>169.19562580499999</v>
      </c>
      <c r="BV17" s="32">
        <v>177.16432567620001</v>
      </c>
      <c r="BW17" s="32">
        <v>179.17997574060001</v>
      </c>
      <c r="BX17" s="32">
        <v>181.19562580499999</v>
      </c>
      <c r="BY17" s="32">
        <v>183.2112758694</v>
      </c>
      <c r="BZ17" s="32">
        <v>193.19562580499999</v>
      </c>
      <c r="CA17" s="32">
        <v>195.2112758694</v>
      </c>
      <c r="CB17" s="32">
        <v>207.2112758694</v>
      </c>
      <c r="CC17" s="32">
        <v>209.2269259338</v>
      </c>
      <c r="CD17" s="32">
        <v>221.2269259338</v>
      </c>
      <c r="CE17" s="32">
        <v>223.24257599820001</v>
      </c>
      <c r="CF17" s="32">
        <v>0</v>
      </c>
      <c r="CG17" s="32">
        <v>0</v>
      </c>
      <c r="CH17" s="32">
        <v>0</v>
      </c>
      <c r="CI17" s="32">
        <v>0</v>
      </c>
      <c r="CJ17" s="32">
        <v>0</v>
      </c>
      <c r="CK17" s="32">
        <v>0</v>
      </c>
      <c r="CL17" s="32">
        <v>0</v>
      </c>
      <c r="CM17" s="32">
        <v>0</v>
      </c>
      <c r="CN17" s="32">
        <v>0</v>
      </c>
      <c r="CO17" s="32">
        <v>0</v>
      </c>
      <c r="CP17" s="32">
        <v>0</v>
      </c>
      <c r="CQ17" s="32">
        <v>0</v>
      </c>
      <c r="CR17" s="32">
        <v>0</v>
      </c>
      <c r="CS17" s="32">
        <v>0</v>
      </c>
      <c r="CT17" s="32">
        <v>0</v>
      </c>
      <c r="CU17" s="32">
        <v>0</v>
      </c>
      <c r="CV17" s="32">
        <v>0</v>
      </c>
      <c r="CW17" s="32">
        <v>0</v>
      </c>
      <c r="CX17" s="32">
        <v>0</v>
      </c>
      <c r="CY17" s="32">
        <v>0</v>
      </c>
      <c r="CZ17" s="32">
        <v>0</v>
      </c>
      <c r="DA17" s="32">
        <v>0</v>
      </c>
      <c r="DB17" s="32">
        <v>0</v>
      </c>
      <c r="DC17" s="32">
        <v>0</v>
      </c>
      <c r="DD17" s="32">
        <v>0</v>
      </c>
      <c r="DE17" s="32">
        <v>0</v>
      </c>
      <c r="DF17" s="32">
        <v>0</v>
      </c>
      <c r="DG17" s="32">
        <v>0</v>
      </c>
      <c r="DH17" s="32">
        <v>0</v>
      </c>
      <c r="DI17" s="32">
        <v>0</v>
      </c>
      <c r="DJ17" s="32">
        <v>0</v>
      </c>
      <c r="DK17" s="32">
        <v>55.0547752254</v>
      </c>
      <c r="DL17" s="32">
        <v>57.070425289800006</v>
      </c>
      <c r="DM17" s="32">
        <v>69.070425289799999</v>
      </c>
      <c r="DN17" s="32">
        <v>71.086075354200005</v>
      </c>
      <c r="DO17" s="32">
        <v>81.070425289799999</v>
      </c>
      <c r="DP17" s="32">
        <v>83.086075354200005</v>
      </c>
      <c r="DQ17" s="32">
        <v>85.101725418599997</v>
      </c>
      <c r="DR17" s="32">
        <v>95.086075354200005</v>
      </c>
      <c r="DS17" s="32">
        <v>97.101725418599997</v>
      </c>
      <c r="DT17" s="32">
        <v>99.117375483000004</v>
      </c>
      <c r="DU17" s="32">
        <v>109.1017254186</v>
      </c>
      <c r="DV17" s="32">
        <v>111.117375483</v>
      </c>
      <c r="DW17" s="32">
        <v>113.13302554740001</v>
      </c>
      <c r="DX17" s="32">
        <v>123.117375483</v>
      </c>
      <c r="DY17" s="32">
        <v>125.13302554740001</v>
      </c>
      <c r="DZ17" s="32">
        <v>137.1330255474</v>
      </c>
      <c r="EA17" s="32">
        <v>139.1486756118</v>
      </c>
      <c r="EB17" s="32">
        <v>149.1330255474</v>
      </c>
      <c r="EC17" s="32">
        <v>151.1486756118</v>
      </c>
      <c r="ED17" s="32">
        <v>153.16432567620001</v>
      </c>
      <c r="EE17" s="32">
        <v>163.1486756118</v>
      </c>
      <c r="EF17" s="32">
        <v>165.16432567620001</v>
      </c>
      <c r="EG17" s="32">
        <v>167.17997574060001</v>
      </c>
      <c r="EH17" s="32">
        <v>177.16432567620001</v>
      </c>
      <c r="EI17" s="32">
        <v>179.17997574060001</v>
      </c>
      <c r="EJ17" s="32">
        <v>181.19562580499999</v>
      </c>
      <c r="EK17" s="32">
        <v>191.17997574060001</v>
      </c>
      <c r="EL17" s="32">
        <v>193.19562580499999</v>
      </c>
      <c r="EM17" s="32">
        <v>205.19562580499999</v>
      </c>
      <c r="EN17" s="32">
        <v>207.2112758694</v>
      </c>
      <c r="EO17" s="32">
        <v>219.2112758694</v>
      </c>
      <c r="EP17" s="32">
        <v>221.2269259338</v>
      </c>
      <c r="EQ17" s="32">
        <v>0</v>
      </c>
      <c r="ER17" s="32">
        <v>0</v>
      </c>
      <c r="ES17" s="32">
        <v>0</v>
      </c>
      <c r="ET17" s="32">
        <v>0</v>
      </c>
      <c r="EU17" s="32">
        <v>0</v>
      </c>
      <c r="EV17" s="32">
        <v>0</v>
      </c>
      <c r="EW17" s="32">
        <v>0</v>
      </c>
      <c r="EX17" s="32">
        <v>0</v>
      </c>
      <c r="EY17" s="32">
        <v>0</v>
      </c>
      <c r="EZ17" s="32">
        <v>0</v>
      </c>
      <c r="FA17" s="32">
        <v>0</v>
      </c>
      <c r="FB17" s="32">
        <v>0</v>
      </c>
      <c r="FC17" s="32">
        <v>0</v>
      </c>
      <c r="FD17" s="32">
        <v>0</v>
      </c>
      <c r="FE17" s="32">
        <v>0</v>
      </c>
      <c r="FF17" s="32">
        <v>0</v>
      </c>
      <c r="FG17" s="32">
        <v>0</v>
      </c>
      <c r="FH17" s="32">
        <v>0</v>
      </c>
      <c r="FI17" s="32">
        <v>0</v>
      </c>
      <c r="FJ17" s="32">
        <v>0</v>
      </c>
      <c r="FK17" s="32">
        <v>0</v>
      </c>
      <c r="FL17" s="32">
        <v>0</v>
      </c>
      <c r="FM17" s="32">
        <v>0</v>
      </c>
      <c r="FN17" s="32">
        <v>0</v>
      </c>
      <c r="FO17" s="32">
        <v>0</v>
      </c>
      <c r="FP17" s="32">
        <v>0</v>
      </c>
      <c r="FQ17" s="32">
        <v>0</v>
      </c>
      <c r="FR17" s="32">
        <v>0</v>
      </c>
      <c r="FS17" s="32">
        <v>0</v>
      </c>
      <c r="FT17" s="32">
        <v>0</v>
      </c>
      <c r="FU17" s="32">
        <v>0</v>
      </c>
      <c r="FV17" s="32">
        <v>0</v>
      </c>
      <c r="FW17" s="32">
        <v>0</v>
      </c>
      <c r="FX17" s="32">
        <v>0</v>
      </c>
      <c r="FY17" s="32">
        <v>0</v>
      </c>
      <c r="FZ17" s="32">
        <v>0</v>
      </c>
      <c r="GA17" s="3">
        <v>17.714700000000004</v>
      </c>
      <c r="GB17" s="32">
        <v>11.809800000000003</v>
      </c>
      <c r="GC17" s="32">
        <v>88.573500000000024</v>
      </c>
      <c r="GD17" s="32">
        <v>18.662399999999998</v>
      </c>
      <c r="GE17" s="32">
        <v>18.662399999999998</v>
      </c>
      <c r="GF17" s="32">
        <v>24.883199999999999</v>
      </c>
      <c r="GG17" s="32">
        <v>12.441599999999999</v>
      </c>
      <c r="GH17" s="32">
        <v>9.3311999999999991</v>
      </c>
      <c r="GI17" s="32">
        <v>0</v>
      </c>
      <c r="GJ17" s="32">
        <v>0</v>
      </c>
      <c r="GK17" s="32">
        <v>37.791360000000012</v>
      </c>
      <c r="GL17" s="32">
        <v>0</v>
      </c>
      <c r="GM17" s="32">
        <v>0</v>
      </c>
      <c r="GN17" s="32">
        <v>48.315300000000015</v>
      </c>
      <c r="GO17" s="32">
        <v>30</v>
      </c>
      <c r="GP17" s="32">
        <v>10</v>
      </c>
      <c r="GQ17" s="32">
        <v>11.62213</v>
      </c>
      <c r="GR17" s="32">
        <v>20.562229999999996</v>
      </c>
      <c r="GS17" s="32">
        <v>1</v>
      </c>
      <c r="GT17" s="32">
        <v>1.925925925925926</v>
      </c>
      <c r="GU17" s="32">
        <v>1.17578125</v>
      </c>
      <c r="GV17" s="32">
        <v>2.8573588165424901</v>
      </c>
      <c r="GW17" s="32">
        <v>1.6911999999999998</v>
      </c>
      <c r="GX17" s="32">
        <v>3.8125</v>
      </c>
      <c r="GY17" s="32">
        <v>4.3773890508584383</v>
      </c>
      <c r="GZ17" s="32">
        <v>3.9127111111111117</v>
      </c>
      <c r="HA17" s="32">
        <v>19.247119618832613</v>
      </c>
      <c r="HB17" s="32">
        <v>1.1486880466472305</v>
      </c>
      <c r="HC17" s="32">
        <v>21</v>
      </c>
      <c r="HD17" s="32">
        <v>26.98076211353316</v>
      </c>
      <c r="HE17" s="32">
        <v>1.7266048918941481</v>
      </c>
      <c r="HF17" s="32">
        <v>13.48590153939948</v>
      </c>
      <c r="HG17" s="32">
        <v>19.247119618832613</v>
      </c>
      <c r="HH17" s="32">
        <v>2.0345604808414723</v>
      </c>
      <c r="HI17" s="32">
        <v>8.3190062490474013</v>
      </c>
      <c r="HJ17" s="32">
        <v>13.224144588397632</v>
      </c>
      <c r="HK17" s="32">
        <v>2.4191501794807575</v>
      </c>
      <c r="HL17" s="32">
        <v>5.5460041660316008</v>
      </c>
      <c r="HM17" s="32">
        <v>4.9506172839506188</v>
      </c>
      <c r="HN17" s="32">
        <v>8.6980035891950074</v>
      </c>
      <c r="HO17" s="32">
        <v>2.8888888888888888</v>
      </c>
      <c r="HP17" s="32">
        <v>3.300411522633746</v>
      </c>
      <c r="HQ17" s="32">
        <v>2.9051973784484075</v>
      </c>
      <c r="HR17" s="32">
        <v>5.4548631881915579</v>
      </c>
      <c r="HS17" s="32">
        <v>2.4191501794807575</v>
      </c>
      <c r="HT17" s="32">
        <v>1.9367982522989384</v>
      </c>
      <c r="HU17" s="32">
        <v>1.7803688462124674</v>
      </c>
      <c r="HV17" s="32">
        <v>3.2808899523540767</v>
      </c>
      <c r="HW17" s="32">
        <v>2.0345604808414723</v>
      </c>
      <c r="HX17" s="32">
        <v>1.2469135802469138</v>
      </c>
      <c r="HY17" s="32">
        <v>1.9622504486493759</v>
      </c>
      <c r="HZ17" s="32">
        <v>1.0487730528882793</v>
      </c>
      <c r="IA17" s="32">
        <v>1.2851112440442596</v>
      </c>
      <c r="IB17" s="32">
        <v>1.0030483158055175</v>
      </c>
      <c r="IC17" s="32">
        <v>1.0356389055055324</v>
      </c>
      <c r="ID17" s="32">
        <v>0</v>
      </c>
      <c r="IE17" s="32">
        <v>0</v>
      </c>
      <c r="IF17" s="32">
        <v>0</v>
      </c>
      <c r="IG17" s="32">
        <v>0</v>
      </c>
      <c r="IH17" s="32">
        <v>0</v>
      </c>
      <c r="II17" s="32">
        <v>0</v>
      </c>
      <c r="IJ17" s="32">
        <v>0</v>
      </c>
      <c r="IK17" s="32">
        <v>0</v>
      </c>
      <c r="IL17" s="32">
        <v>0</v>
      </c>
      <c r="IM17" s="32">
        <v>0</v>
      </c>
      <c r="IN17" s="32">
        <v>0</v>
      </c>
      <c r="IO17" s="32">
        <v>0</v>
      </c>
      <c r="IP17" s="32">
        <v>0</v>
      </c>
      <c r="IQ17" s="32">
        <v>0</v>
      </c>
      <c r="IR17" s="32">
        <v>0</v>
      </c>
      <c r="IS17" s="32">
        <v>0</v>
      </c>
      <c r="IT17" s="32">
        <v>0</v>
      </c>
      <c r="IU17" s="32">
        <v>0</v>
      </c>
      <c r="IV17" s="32">
        <v>0</v>
      </c>
      <c r="IW17" s="32">
        <v>0</v>
      </c>
      <c r="IX17" s="32">
        <v>0</v>
      </c>
      <c r="IY17" s="32">
        <v>0</v>
      </c>
      <c r="IZ17" s="32">
        <v>0</v>
      </c>
      <c r="JA17" s="32">
        <v>0</v>
      </c>
      <c r="JB17" s="32">
        <v>0</v>
      </c>
      <c r="JC17" s="32">
        <v>0</v>
      </c>
      <c r="JD17" s="32">
        <v>0</v>
      </c>
      <c r="JE17" s="32">
        <v>0</v>
      </c>
      <c r="JF17" s="32">
        <v>0</v>
      </c>
      <c r="JG17" s="32">
        <v>0</v>
      </c>
      <c r="JH17" s="32">
        <v>0</v>
      </c>
      <c r="JI17" s="32">
        <v>1</v>
      </c>
      <c r="JJ17" s="32">
        <v>1.390625</v>
      </c>
      <c r="JK17" s="32">
        <v>1.095683193077468</v>
      </c>
      <c r="JL17" s="32">
        <v>1.784347667638484</v>
      </c>
      <c r="JM17" s="32">
        <v>2.5551999999999997</v>
      </c>
      <c r="JN17" s="32">
        <v>2.5309310892394863</v>
      </c>
      <c r="JO17" s="32">
        <v>2.4310313411078717</v>
      </c>
      <c r="JP17" s="32">
        <v>7.5536000000000012</v>
      </c>
      <c r="JQ17" s="32">
        <v>13.164746412555075</v>
      </c>
      <c r="JR17" s="32">
        <v>1.0836370262390671</v>
      </c>
      <c r="JS17" s="32">
        <v>36.555555555555557</v>
      </c>
      <c r="JT17" s="32">
        <v>18.320508075688771</v>
      </c>
      <c r="JU17" s="32">
        <v>1.4087152516904582</v>
      </c>
      <c r="JV17" s="32">
        <v>23.19715829226574</v>
      </c>
      <c r="JW17" s="32">
        <v>13.164746412555075</v>
      </c>
      <c r="JX17" s="32">
        <v>14.011566664973158</v>
      </c>
      <c r="JY17" s="32">
        <v>9.1494297255984218</v>
      </c>
      <c r="JZ17" s="32">
        <v>8.7764976083700503</v>
      </c>
      <c r="KA17" s="32">
        <v>8.0233196159122109</v>
      </c>
      <c r="KB17" s="32">
        <v>6.1320023927966725</v>
      </c>
      <c r="KC17" s="32">
        <v>5.8509984055800333</v>
      </c>
      <c r="KD17" s="32">
        <v>4.3870175616860578</v>
      </c>
      <c r="KE17" s="32">
        <v>3.969908792127705</v>
      </c>
      <c r="KF17" s="32">
        <v>3.900665603720022</v>
      </c>
      <c r="KG17" s="32">
        <v>2.3873223932666088</v>
      </c>
      <c r="KH17" s="32">
        <v>2.5205933015693844</v>
      </c>
      <c r="KI17" s="32">
        <v>2.6004437358133479</v>
      </c>
      <c r="KJ17" s="32">
        <v>1.4389574759945132</v>
      </c>
      <c r="KK17" s="32">
        <v>1.6803955343795896</v>
      </c>
      <c r="KL17" s="32">
        <v>1.086707649579163</v>
      </c>
      <c r="KM17" s="32">
        <v>0.95930498399634212</v>
      </c>
      <c r="KN17" s="32">
        <v>1.0054192280986978</v>
      </c>
      <c r="KO17" s="32">
        <v>0</v>
      </c>
      <c r="KP17" s="32">
        <v>0</v>
      </c>
      <c r="KQ17" s="32">
        <v>0</v>
      </c>
      <c r="KR17" s="32">
        <v>0</v>
      </c>
      <c r="KS17" s="32">
        <v>0</v>
      </c>
      <c r="KT17" s="32">
        <v>0</v>
      </c>
      <c r="KU17" s="32">
        <v>0</v>
      </c>
      <c r="KV17" s="32">
        <v>0</v>
      </c>
      <c r="KW17" s="32">
        <v>0</v>
      </c>
      <c r="KX17" s="32">
        <v>0</v>
      </c>
      <c r="KY17" s="32">
        <v>0</v>
      </c>
      <c r="KZ17" s="32">
        <v>0</v>
      </c>
      <c r="LA17" s="32">
        <v>0</v>
      </c>
      <c r="LB17" s="32">
        <v>0</v>
      </c>
      <c r="LC17" s="32">
        <v>0</v>
      </c>
      <c r="LD17" s="32">
        <v>0</v>
      </c>
      <c r="LE17" s="32">
        <v>0</v>
      </c>
      <c r="LF17" s="32">
        <v>0</v>
      </c>
      <c r="LG17" s="32">
        <v>0</v>
      </c>
      <c r="LH17" s="32">
        <v>0</v>
      </c>
      <c r="LI17" s="32">
        <v>0</v>
      </c>
      <c r="LJ17" s="32">
        <v>0</v>
      </c>
      <c r="LK17" s="32">
        <v>0</v>
      </c>
      <c r="LL17" s="32">
        <v>0</v>
      </c>
      <c r="LM17" s="32">
        <v>0</v>
      </c>
      <c r="LN17" s="32">
        <v>0</v>
      </c>
      <c r="LO17" s="32">
        <v>0</v>
      </c>
      <c r="LP17" s="32">
        <v>0</v>
      </c>
      <c r="LQ17" s="32">
        <v>0</v>
      </c>
      <c r="LR17" s="32">
        <v>0</v>
      </c>
      <c r="LS17" s="32">
        <v>0</v>
      </c>
      <c r="LT17" s="32">
        <v>0</v>
      </c>
      <c r="LU17" s="32">
        <v>0</v>
      </c>
      <c r="LV17" s="32">
        <v>0</v>
      </c>
      <c r="LW17" s="32">
        <v>0</v>
      </c>
      <c r="LX17" s="32">
        <v>0</v>
      </c>
    </row>
    <row r="18" spans="1:336" s="32" customFormat="1" ht="14.25" x14ac:dyDescent="0.2">
      <c r="A18" s="5">
        <v>12</v>
      </c>
      <c r="B18" s="27" t="s">
        <v>661</v>
      </c>
      <c r="C18" s="27" t="s">
        <v>436</v>
      </c>
      <c r="D18" s="27" t="s">
        <v>437</v>
      </c>
      <c r="E18" s="27" t="s">
        <v>436</v>
      </c>
      <c r="F18" s="28" t="s">
        <v>438</v>
      </c>
      <c r="G18" s="28" t="s">
        <v>439</v>
      </c>
      <c r="H18" s="29">
        <v>-1</v>
      </c>
      <c r="I18" s="30">
        <v>-3</v>
      </c>
      <c r="J18" s="31">
        <v>10.140120478606896</v>
      </c>
      <c r="K18" s="29" t="s">
        <v>440</v>
      </c>
      <c r="L18" s="16">
        <v>0</v>
      </c>
      <c r="M18" s="16">
        <v>2</v>
      </c>
      <c r="N18" s="27" t="s">
        <v>436</v>
      </c>
      <c r="O18" s="27">
        <v>0</v>
      </c>
      <c r="P18" s="27">
        <v>0</v>
      </c>
      <c r="Q18" s="27">
        <v>0</v>
      </c>
      <c r="R18" s="27">
        <v>0</v>
      </c>
      <c r="S18" s="27">
        <v>0</v>
      </c>
      <c r="T18" s="27">
        <v>20</v>
      </c>
      <c r="U18" s="27">
        <v>2</v>
      </c>
      <c r="V18" s="27">
        <v>20</v>
      </c>
      <c r="W18" s="27">
        <v>4</v>
      </c>
      <c r="X18" s="27" t="s">
        <v>436</v>
      </c>
      <c r="Y18" s="17">
        <v>598.2578516602</v>
      </c>
      <c r="Z18" s="17">
        <v>580.24729166019995</v>
      </c>
      <c r="AA18" s="17">
        <v>602.28913166019993</v>
      </c>
      <c r="AB18" s="17">
        <v>584.27857166019987</v>
      </c>
      <c r="AC18" s="17">
        <v>875.54719166020004</v>
      </c>
      <c r="AD18" s="17">
        <v>721.55359719540002</v>
      </c>
      <c r="AE18" s="17">
        <v>795.59037662780008</v>
      </c>
      <c r="AF18" s="17">
        <v>523.33997559739998</v>
      </c>
      <c r="AG18" s="17">
        <v>449.30319616499997</v>
      </c>
      <c r="AH18" s="17">
        <v>335.33138597199996</v>
      </c>
      <c r="AI18" s="17">
        <v>353.34195065599994</v>
      </c>
      <c r="AJ18" s="17">
        <v>505.32941091340001</v>
      </c>
      <c r="AK18" s="17">
        <v>0</v>
      </c>
      <c r="AL18" s="17">
        <v>549.53991718959992</v>
      </c>
      <c r="AM18" s="17">
        <v>0</v>
      </c>
      <c r="AN18" s="17">
        <v>0</v>
      </c>
      <c r="AO18" s="17">
        <v>0</v>
      </c>
      <c r="AP18" s="17">
        <v>252.97831503820004</v>
      </c>
      <c r="AQ18" s="17">
        <v>173.021500038</v>
      </c>
      <c r="AR18" s="17">
        <v>155.010935354</v>
      </c>
      <c r="AS18" s="32">
        <v>277.28952115919998</v>
      </c>
      <c r="AT18" s="32">
        <v>273.25822103039997</v>
      </c>
      <c r="AU18" s="32">
        <v>55.0547752254</v>
      </c>
      <c r="AV18" s="32">
        <v>57.070425289800006</v>
      </c>
      <c r="AW18" s="32">
        <v>69.070425289799999</v>
      </c>
      <c r="AX18" s="32">
        <v>71.086075354200005</v>
      </c>
      <c r="AY18" s="32">
        <v>81.070425289799999</v>
      </c>
      <c r="AZ18" s="32">
        <v>83.086075354200005</v>
      </c>
      <c r="BA18" s="32">
        <v>85.101725418599997</v>
      </c>
      <c r="BB18" s="32">
        <v>95.086075354200005</v>
      </c>
      <c r="BC18" s="32">
        <v>97.101725418599997</v>
      </c>
      <c r="BD18" s="32">
        <v>99.117375483000004</v>
      </c>
      <c r="BE18" s="32">
        <v>109.1017254186</v>
      </c>
      <c r="BF18" s="32">
        <v>111.117375483</v>
      </c>
      <c r="BG18" s="32">
        <v>113.13302554740001</v>
      </c>
      <c r="BH18" s="32">
        <v>123.117375483</v>
      </c>
      <c r="BI18" s="32">
        <v>125.13302554740001</v>
      </c>
      <c r="BJ18" s="32">
        <v>127.1486756118</v>
      </c>
      <c r="BK18" s="32">
        <v>137.1330255474</v>
      </c>
      <c r="BL18" s="32">
        <v>139.1486756118</v>
      </c>
      <c r="BM18" s="32">
        <v>141.16432567620001</v>
      </c>
      <c r="BN18" s="32">
        <v>149.1330255474</v>
      </c>
      <c r="BO18" s="32">
        <v>151.1486756118</v>
      </c>
      <c r="BP18" s="32">
        <v>153.16432567620001</v>
      </c>
      <c r="BQ18" s="32">
        <v>155.17997574060001</v>
      </c>
      <c r="BR18" s="32">
        <v>163.1486756118</v>
      </c>
      <c r="BS18" s="32">
        <v>165.16432567620001</v>
      </c>
      <c r="BT18" s="32">
        <v>167.17997574060001</v>
      </c>
      <c r="BU18" s="32">
        <v>169.19562580499999</v>
      </c>
      <c r="BV18" s="32">
        <v>177.16432567620001</v>
      </c>
      <c r="BW18" s="32">
        <v>179.17997574060001</v>
      </c>
      <c r="BX18" s="32">
        <v>181.19562580499999</v>
      </c>
      <c r="BY18" s="32">
        <v>183.2112758694</v>
      </c>
      <c r="BZ18" s="32">
        <v>193.19562580499999</v>
      </c>
      <c r="CA18" s="32">
        <v>195.2112758694</v>
      </c>
      <c r="CB18" s="32">
        <v>207.2112758694</v>
      </c>
      <c r="CC18" s="32">
        <v>209.2269259338</v>
      </c>
      <c r="CD18" s="32">
        <v>221.2269259338</v>
      </c>
      <c r="CE18" s="32">
        <v>223.24257599820001</v>
      </c>
      <c r="CF18" s="32">
        <v>0</v>
      </c>
      <c r="CG18" s="32">
        <v>0</v>
      </c>
      <c r="CH18" s="32">
        <v>0</v>
      </c>
      <c r="CI18" s="32">
        <v>0</v>
      </c>
      <c r="CJ18" s="32">
        <v>0</v>
      </c>
      <c r="CK18" s="32">
        <v>0</v>
      </c>
      <c r="CL18" s="32">
        <v>0</v>
      </c>
      <c r="CM18" s="32">
        <v>0</v>
      </c>
      <c r="CN18" s="32">
        <v>0</v>
      </c>
      <c r="CO18" s="32">
        <v>0</v>
      </c>
      <c r="CP18" s="32">
        <v>0</v>
      </c>
      <c r="CQ18" s="32">
        <v>0</v>
      </c>
      <c r="CR18" s="32">
        <v>0</v>
      </c>
      <c r="CS18" s="32">
        <v>0</v>
      </c>
      <c r="CT18" s="32">
        <v>0</v>
      </c>
      <c r="CU18" s="32">
        <v>0</v>
      </c>
      <c r="CV18" s="32">
        <v>0</v>
      </c>
      <c r="CW18" s="32">
        <v>0</v>
      </c>
      <c r="CX18" s="32">
        <v>0</v>
      </c>
      <c r="CY18" s="32">
        <v>0</v>
      </c>
      <c r="CZ18" s="32">
        <v>0</v>
      </c>
      <c r="DA18" s="32">
        <v>0</v>
      </c>
      <c r="DB18" s="32">
        <v>0</v>
      </c>
      <c r="DC18" s="32">
        <v>0</v>
      </c>
      <c r="DD18" s="32">
        <v>0</v>
      </c>
      <c r="DE18" s="32">
        <v>0</v>
      </c>
      <c r="DF18" s="32">
        <v>0</v>
      </c>
      <c r="DG18" s="32">
        <v>0</v>
      </c>
      <c r="DH18" s="32">
        <v>0</v>
      </c>
      <c r="DI18" s="32">
        <v>0</v>
      </c>
      <c r="DJ18" s="32">
        <v>0</v>
      </c>
      <c r="DK18" s="32">
        <v>55.0547752254</v>
      </c>
      <c r="DL18" s="32">
        <v>69.070425289799999</v>
      </c>
      <c r="DM18" s="32">
        <v>81.070425289799999</v>
      </c>
      <c r="DN18" s="32">
        <v>83.086075354200005</v>
      </c>
      <c r="DO18" s="32">
        <v>95.086075354200005</v>
      </c>
      <c r="DP18" s="32">
        <v>97.101725418599997</v>
      </c>
      <c r="DQ18" s="32">
        <v>109.1017254186</v>
      </c>
      <c r="DR18" s="32">
        <v>111.117375483</v>
      </c>
      <c r="DS18" s="32">
        <v>123.117375483</v>
      </c>
      <c r="DT18" s="32">
        <v>137.1330255474</v>
      </c>
      <c r="DU18" s="32">
        <v>149.1330255474</v>
      </c>
      <c r="DV18" s="32">
        <v>151.1486756118</v>
      </c>
      <c r="DW18" s="32">
        <v>163.1486756118</v>
      </c>
      <c r="DX18" s="32">
        <v>165.16432567620001</v>
      </c>
      <c r="DY18" s="32">
        <v>177.16432567620001</v>
      </c>
      <c r="DZ18" s="32">
        <v>179.17997574060001</v>
      </c>
      <c r="EA18" s="32">
        <v>191.17997574060001</v>
      </c>
      <c r="EB18" s="32">
        <v>205.19562580499999</v>
      </c>
      <c r="EC18" s="32">
        <v>217.19562580499999</v>
      </c>
      <c r="ED18" s="32">
        <v>219.2112758694</v>
      </c>
      <c r="EE18" s="32">
        <v>0</v>
      </c>
      <c r="EF18" s="32">
        <v>0</v>
      </c>
      <c r="EG18" s="32">
        <v>0</v>
      </c>
      <c r="EH18" s="32">
        <v>0</v>
      </c>
      <c r="EI18" s="32">
        <v>0</v>
      </c>
      <c r="EJ18" s="32">
        <v>0</v>
      </c>
      <c r="EK18" s="32">
        <v>0</v>
      </c>
      <c r="EL18" s="32">
        <v>0</v>
      </c>
      <c r="EM18" s="32">
        <v>0</v>
      </c>
      <c r="EN18" s="32">
        <v>0</v>
      </c>
      <c r="EO18" s="32">
        <v>0</v>
      </c>
      <c r="EP18" s="32">
        <v>0</v>
      </c>
      <c r="EQ18" s="32">
        <v>0</v>
      </c>
      <c r="ER18" s="32">
        <v>0</v>
      </c>
      <c r="ES18" s="32">
        <v>0</v>
      </c>
      <c r="ET18" s="32">
        <v>0</v>
      </c>
      <c r="EU18" s="32">
        <v>0</v>
      </c>
      <c r="EV18" s="32">
        <v>0</v>
      </c>
      <c r="EW18" s="32">
        <v>0</v>
      </c>
      <c r="EX18" s="32">
        <v>0</v>
      </c>
      <c r="EY18" s="32">
        <v>0</v>
      </c>
      <c r="EZ18" s="32">
        <v>0</v>
      </c>
      <c r="FA18" s="32">
        <v>0</v>
      </c>
      <c r="FB18" s="32">
        <v>0</v>
      </c>
      <c r="FC18" s="32">
        <v>0</v>
      </c>
      <c r="FD18" s="32">
        <v>0</v>
      </c>
      <c r="FE18" s="32">
        <v>0</v>
      </c>
      <c r="FF18" s="32">
        <v>0</v>
      </c>
      <c r="FG18" s="32">
        <v>0</v>
      </c>
      <c r="FH18" s="32">
        <v>0</v>
      </c>
      <c r="FI18" s="32">
        <v>0</v>
      </c>
      <c r="FJ18" s="32">
        <v>0</v>
      </c>
      <c r="FK18" s="32">
        <v>0</v>
      </c>
      <c r="FL18" s="32">
        <v>0</v>
      </c>
      <c r="FM18" s="32">
        <v>0</v>
      </c>
      <c r="FN18" s="32">
        <v>0</v>
      </c>
      <c r="FO18" s="32">
        <v>0</v>
      </c>
      <c r="FP18" s="32">
        <v>0</v>
      </c>
      <c r="FQ18" s="32">
        <v>0</v>
      </c>
      <c r="FR18" s="32">
        <v>0</v>
      </c>
      <c r="FS18" s="32">
        <v>0</v>
      </c>
      <c r="FT18" s="32">
        <v>0</v>
      </c>
      <c r="FU18" s="32">
        <v>0</v>
      </c>
      <c r="FV18" s="32">
        <v>0</v>
      </c>
      <c r="FW18" s="32">
        <v>0</v>
      </c>
      <c r="FX18" s="32">
        <v>0</v>
      </c>
      <c r="FY18" s="32">
        <v>0</v>
      </c>
      <c r="FZ18" s="32">
        <v>0</v>
      </c>
      <c r="GA18" s="3">
        <v>15.943230000000005</v>
      </c>
      <c r="GB18" s="32">
        <v>10.628820000000003</v>
      </c>
      <c r="GC18" s="32">
        <v>79.716150000000027</v>
      </c>
      <c r="GD18" s="32">
        <v>22.394879999999997</v>
      </c>
      <c r="GE18" s="32">
        <v>22.394879999999997</v>
      </c>
      <c r="GF18" s="32">
        <v>29.859839999999998</v>
      </c>
      <c r="GG18" s="32">
        <v>14.929919999999999</v>
      </c>
      <c r="GH18" s="32">
        <v>11.197439999999999</v>
      </c>
      <c r="GI18" s="32">
        <v>0</v>
      </c>
      <c r="GJ18" s="32">
        <v>0</v>
      </c>
      <c r="GK18" s="32">
        <v>68.024448000000021</v>
      </c>
      <c r="GL18" s="32">
        <v>0</v>
      </c>
      <c r="GM18" s="32">
        <v>0</v>
      </c>
      <c r="GN18" s="32">
        <v>53.146830000000023</v>
      </c>
      <c r="GO18" s="32">
        <v>30</v>
      </c>
      <c r="GP18" s="32">
        <v>10</v>
      </c>
      <c r="GQ18" s="32">
        <v>15.108769000000001</v>
      </c>
      <c r="GR18" s="32">
        <v>47.293128999999986</v>
      </c>
      <c r="GS18" s="32">
        <v>1</v>
      </c>
      <c r="GT18" s="32">
        <v>1.925925925925926</v>
      </c>
      <c r="GU18" s="32">
        <v>1.17578125</v>
      </c>
      <c r="GV18" s="32">
        <v>2.8573588165424901</v>
      </c>
      <c r="GW18" s="32">
        <v>1.6911999999999998</v>
      </c>
      <c r="GX18" s="32">
        <v>3.8125</v>
      </c>
      <c r="GY18" s="32">
        <v>4.3773890508584383</v>
      </c>
      <c r="GZ18" s="32">
        <v>3.9127111111111117</v>
      </c>
      <c r="HA18" s="32">
        <v>19.247119618832613</v>
      </c>
      <c r="HB18" s="32">
        <v>1.1486880466472305</v>
      </c>
      <c r="HC18" s="32">
        <v>21</v>
      </c>
      <c r="HD18" s="32">
        <v>26.98076211353316</v>
      </c>
      <c r="HE18" s="32">
        <v>1.7266048918941481</v>
      </c>
      <c r="HF18" s="32">
        <v>13.48590153939948</v>
      </c>
      <c r="HG18" s="32">
        <v>19.247119618832613</v>
      </c>
      <c r="HH18" s="32">
        <v>2.0345604808414723</v>
      </c>
      <c r="HI18" s="32">
        <v>8.3190062490474013</v>
      </c>
      <c r="HJ18" s="32">
        <v>13.224144588397632</v>
      </c>
      <c r="HK18" s="32">
        <v>2.4191501794807575</v>
      </c>
      <c r="HL18" s="32">
        <v>5.5460041660316008</v>
      </c>
      <c r="HM18" s="32">
        <v>4.9506172839506188</v>
      </c>
      <c r="HN18" s="32">
        <v>8.6980035891950074</v>
      </c>
      <c r="HO18" s="32">
        <v>2.8888888888888888</v>
      </c>
      <c r="HP18" s="32">
        <v>3.300411522633746</v>
      </c>
      <c r="HQ18" s="32">
        <v>2.9051973784484075</v>
      </c>
      <c r="HR18" s="32">
        <v>5.4548631881915579</v>
      </c>
      <c r="HS18" s="32">
        <v>2.4191501794807575</v>
      </c>
      <c r="HT18" s="32">
        <v>1.9367982522989384</v>
      </c>
      <c r="HU18" s="32">
        <v>1.7803688462124674</v>
      </c>
      <c r="HV18" s="32">
        <v>3.2808899523540767</v>
      </c>
      <c r="HW18" s="32">
        <v>2.0345604808414723</v>
      </c>
      <c r="HX18" s="32">
        <v>1.2469135802469138</v>
      </c>
      <c r="HY18" s="32">
        <v>1.9622504486493759</v>
      </c>
      <c r="HZ18" s="32">
        <v>1.0487730528882793</v>
      </c>
      <c r="IA18" s="32">
        <v>1.2851112440442596</v>
      </c>
      <c r="IB18" s="32">
        <v>1.0030483158055175</v>
      </c>
      <c r="IC18" s="32">
        <v>1.0356389055055324</v>
      </c>
      <c r="ID18" s="32">
        <v>0</v>
      </c>
      <c r="IE18" s="32">
        <v>0</v>
      </c>
      <c r="IF18" s="32">
        <v>0</v>
      </c>
      <c r="IG18" s="32">
        <v>0</v>
      </c>
      <c r="IH18" s="32">
        <v>0</v>
      </c>
      <c r="II18" s="32">
        <v>0</v>
      </c>
      <c r="IJ18" s="32">
        <v>0</v>
      </c>
      <c r="IK18" s="32">
        <v>0</v>
      </c>
      <c r="IL18" s="32">
        <v>0</v>
      </c>
      <c r="IM18" s="32">
        <v>0</v>
      </c>
      <c r="IN18" s="32">
        <v>0</v>
      </c>
      <c r="IO18" s="32">
        <v>0</v>
      </c>
      <c r="IP18" s="32">
        <v>0</v>
      </c>
      <c r="IQ18" s="32">
        <v>0</v>
      </c>
      <c r="IR18" s="32">
        <v>0</v>
      </c>
      <c r="IS18" s="32">
        <v>0</v>
      </c>
      <c r="IT18" s="32">
        <v>0</v>
      </c>
      <c r="IU18" s="32">
        <v>0</v>
      </c>
      <c r="IV18" s="32">
        <v>0</v>
      </c>
      <c r="IW18" s="32">
        <v>0</v>
      </c>
      <c r="IX18" s="32">
        <v>0</v>
      </c>
      <c r="IY18" s="32">
        <v>0</v>
      </c>
      <c r="IZ18" s="32">
        <v>0</v>
      </c>
      <c r="JA18" s="32">
        <v>0</v>
      </c>
      <c r="JB18" s="32">
        <v>0</v>
      </c>
      <c r="JC18" s="32">
        <v>0</v>
      </c>
      <c r="JD18" s="32">
        <v>0</v>
      </c>
      <c r="JE18" s="32">
        <v>0</v>
      </c>
      <c r="JF18" s="32">
        <v>0</v>
      </c>
      <c r="JG18" s="32">
        <v>0</v>
      </c>
      <c r="JH18" s="32">
        <v>0</v>
      </c>
      <c r="JI18" s="32">
        <v>1</v>
      </c>
      <c r="JJ18" s="32">
        <v>1.0338291173353296</v>
      </c>
      <c r="JK18" s="32">
        <v>1.6911999999999998</v>
      </c>
      <c r="JL18" s="32">
        <v>1.5412658773652741</v>
      </c>
      <c r="JM18" s="32">
        <v>3.9127111111111117</v>
      </c>
      <c r="JN18" s="32">
        <v>3.7401585041617</v>
      </c>
      <c r="JO18" s="32">
        <v>9.8888888888888893</v>
      </c>
      <c r="JP18" s="32">
        <v>9.6602540378443855</v>
      </c>
      <c r="JQ18" s="32">
        <v>13.48590153939948</v>
      </c>
      <c r="JR18" s="32">
        <v>8.3190062490474013</v>
      </c>
      <c r="JS18" s="32">
        <v>6.4401693585629234</v>
      </c>
      <c r="JT18" s="32">
        <v>4.9506172839506188</v>
      </c>
      <c r="JU18" s="32">
        <v>5.5460041660316008</v>
      </c>
      <c r="JV18" s="32">
        <v>2.9051973784484075</v>
      </c>
      <c r="JW18" s="32">
        <v>3.300411522633746</v>
      </c>
      <c r="JX18" s="32">
        <v>1.7803688462124674</v>
      </c>
      <c r="JY18" s="32">
        <v>1.9367982522989384</v>
      </c>
      <c r="JZ18" s="32">
        <v>2.2002743484224974</v>
      </c>
      <c r="KA18" s="32">
        <v>1.1869125641416449</v>
      </c>
      <c r="KB18" s="32">
        <v>1.2911988348659589</v>
      </c>
      <c r="KC18" s="32">
        <v>0</v>
      </c>
      <c r="KD18" s="32">
        <v>0</v>
      </c>
      <c r="KE18" s="32">
        <v>0</v>
      </c>
      <c r="KF18" s="32">
        <v>0</v>
      </c>
      <c r="KG18" s="32">
        <v>0</v>
      </c>
      <c r="KH18" s="32">
        <v>0</v>
      </c>
      <c r="KI18" s="32">
        <v>0</v>
      </c>
      <c r="KJ18" s="32">
        <v>0</v>
      </c>
      <c r="KK18" s="32">
        <v>0</v>
      </c>
      <c r="KL18" s="32">
        <v>0</v>
      </c>
      <c r="KM18" s="32">
        <v>0</v>
      </c>
      <c r="KN18" s="32">
        <v>0</v>
      </c>
      <c r="KO18" s="32">
        <v>0</v>
      </c>
      <c r="KP18" s="32">
        <v>0</v>
      </c>
      <c r="KQ18" s="32">
        <v>0</v>
      </c>
      <c r="KR18" s="32">
        <v>0</v>
      </c>
      <c r="KS18" s="32">
        <v>0</v>
      </c>
      <c r="KT18" s="32">
        <v>0</v>
      </c>
      <c r="KU18" s="32">
        <v>0</v>
      </c>
      <c r="KV18" s="32">
        <v>0</v>
      </c>
      <c r="KW18" s="32">
        <v>0</v>
      </c>
      <c r="KX18" s="32">
        <v>0</v>
      </c>
      <c r="KY18" s="32">
        <v>0</v>
      </c>
      <c r="KZ18" s="32">
        <v>0</v>
      </c>
      <c r="LA18" s="32">
        <v>0</v>
      </c>
      <c r="LB18" s="32">
        <v>0</v>
      </c>
      <c r="LC18" s="32">
        <v>0</v>
      </c>
      <c r="LD18" s="32">
        <v>0</v>
      </c>
      <c r="LE18" s="32">
        <v>0</v>
      </c>
      <c r="LF18" s="32">
        <v>0</v>
      </c>
      <c r="LG18" s="32">
        <v>0</v>
      </c>
      <c r="LH18" s="32">
        <v>0</v>
      </c>
      <c r="LI18" s="32">
        <v>0</v>
      </c>
      <c r="LJ18" s="32">
        <v>0</v>
      </c>
      <c r="LK18" s="32">
        <v>0</v>
      </c>
      <c r="LL18" s="32">
        <v>0</v>
      </c>
      <c r="LM18" s="32">
        <v>0</v>
      </c>
      <c r="LN18" s="32">
        <v>0</v>
      </c>
      <c r="LO18" s="32">
        <v>0</v>
      </c>
      <c r="LP18" s="32">
        <v>0</v>
      </c>
      <c r="LQ18" s="32">
        <v>0</v>
      </c>
      <c r="LR18" s="32">
        <v>0</v>
      </c>
      <c r="LS18" s="32">
        <v>0</v>
      </c>
      <c r="LT18" s="32">
        <v>0</v>
      </c>
      <c r="LU18" s="32">
        <v>0</v>
      </c>
      <c r="LV18" s="32">
        <v>0</v>
      </c>
      <c r="LW18" s="32">
        <v>0</v>
      </c>
      <c r="LX18" s="32">
        <v>0</v>
      </c>
    </row>
    <row r="19" spans="1:336" s="32" customFormat="1" ht="14.25" x14ac:dyDescent="0.2">
      <c r="A19" s="5">
        <v>13</v>
      </c>
      <c r="B19" s="27" t="s">
        <v>661</v>
      </c>
      <c r="C19" s="27" t="s">
        <v>441</v>
      </c>
      <c r="D19" s="27" t="s">
        <v>437</v>
      </c>
      <c r="E19" s="27" t="s">
        <v>441</v>
      </c>
      <c r="F19" s="28" t="s">
        <v>442</v>
      </c>
      <c r="G19" s="28" t="s">
        <v>443</v>
      </c>
      <c r="H19" s="29">
        <v>-1</v>
      </c>
      <c r="I19" s="30">
        <v>-3</v>
      </c>
      <c r="J19" s="31">
        <v>10.140120478606896</v>
      </c>
      <c r="K19" s="29" t="s">
        <v>444</v>
      </c>
      <c r="L19" s="16">
        <v>0</v>
      </c>
      <c r="M19" s="16">
        <v>2</v>
      </c>
      <c r="N19" s="27" t="s">
        <v>441</v>
      </c>
      <c r="O19" s="27">
        <v>0</v>
      </c>
      <c r="P19" s="27">
        <v>0</v>
      </c>
      <c r="Q19" s="27">
        <v>0</v>
      </c>
      <c r="R19" s="27">
        <v>0</v>
      </c>
      <c r="S19" s="27">
        <v>0</v>
      </c>
      <c r="T19" s="27">
        <v>20</v>
      </c>
      <c r="U19" s="27">
        <v>3</v>
      </c>
      <c r="V19" s="27">
        <v>20</v>
      </c>
      <c r="W19" s="27">
        <v>3</v>
      </c>
      <c r="X19" s="27" t="s">
        <v>441</v>
      </c>
      <c r="Y19" s="17">
        <v>600.27349166020008</v>
      </c>
      <c r="Z19" s="17">
        <v>582.26293166020002</v>
      </c>
      <c r="AA19" s="17">
        <v>600.27349166020008</v>
      </c>
      <c r="AB19" s="17">
        <v>582.26293166020002</v>
      </c>
      <c r="AC19" s="17">
        <v>875.54719166020004</v>
      </c>
      <c r="AD19" s="17">
        <v>721.55359719540002</v>
      </c>
      <c r="AE19" s="17">
        <v>795.59037662780008</v>
      </c>
      <c r="AF19" s="17">
        <v>521.32432553299998</v>
      </c>
      <c r="AG19" s="17">
        <v>447.28754610059997</v>
      </c>
      <c r="AH19" s="17">
        <v>333.31573590759996</v>
      </c>
      <c r="AI19" s="17">
        <v>351.32630059159993</v>
      </c>
      <c r="AJ19" s="17">
        <v>503.313760849</v>
      </c>
      <c r="AK19" s="17">
        <v>0</v>
      </c>
      <c r="AL19" s="17">
        <v>549.53991718959992</v>
      </c>
      <c r="AM19" s="17">
        <v>0</v>
      </c>
      <c r="AN19" s="17">
        <v>0</v>
      </c>
      <c r="AO19" s="17">
        <v>0</v>
      </c>
      <c r="AP19" s="17">
        <v>252.97831503820004</v>
      </c>
      <c r="AQ19" s="17">
        <v>173.021500038</v>
      </c>
      <c r="AR19" s="17">
        <v>155.010935354</v>
      </c>
      <c r="AS19" s="32">
        <v>275.27387109479997</v>
      </c>
      <c r="AT19" s="32">
        <v>275.27387109479997</v>
      </c>
      <c r="AU19" s="32">
        <v>55.0547752254</v>
      </c>
      <c r="AV19" s="32">
        <v>57.070425289800006</v>
      </c>
      <c r="AW19" s="32">
        <v>69.070425289799999</v>
      </c>
      <c r="AX19" s="32">
        <v>71.086075354200005</v>
      </c>
      <c r="AY19" s="32">
        <v>81.070425289799999</v>
      </c>
      <c r="AZ19" s="32">
        <v>83.086075354200005</v>
      </c>
      <c r="BA19" s="32">
        <v>85.101725418599997</v>
      </c>
      <c r="BB19" s="32">
        <v>95.086075354200005</v>
      </c>
      <c r="BC19" s="32">
        <v>97.101725418599997</v>
      </c>
      <c r="BD19" s="32">
        <v>99.117375483000004</v>
      </c>
      <c r="BE19" s="32">
        <v>109.1017254186</v>
      </c>
      <c r="BF19" s="32">
        <v>111.117375483</v>
      </c>
      <c r="BG19" s="32">
        <v>113.13302554740001</v>
      </c>
      <c r="BH19" s="32">
        <v>123.117375483</v>
      </c>
      <c r="BI19" s="32">
        <v>125.13302554740001</v>
      </c>
      <c r="BJ19" s="32">
        <v>137.1330255474</v>
      </c>
      <c r="BK19" s="32">
        <v>139.1486756118</v>
      </c>
      <c r="BL19" s="32">
        <v>149.1330255474</v>
      </c>
      <c r="BM19" s="32">
        <v>151.1486756118</v>
      </c>
      <c r="BN19" s="32">
        <v>153.16432567620001</v>
      </c>
      <c r="BO19" s="32">
        <v>163.1486756118</v>
      </c>
      <c r="BP19" s="32">
        <v>165.16432567620001</v>
      </c>
      <c r="BQ19" s="32">
        <v>167.17997574060001</v>
      </c>
      <c r="BR19" s="32">
        <v>177.16432567620001</v>
      </c>
      <c r="BS19" s="32">
        <v>179.17997574060001</v>
      </c>
      <c r="BT19" s="32">
        <v>181.19562580499999</v>
      </c>
      <c r="BU19" s="32">
        <v>191.17997574060001</v>
      </c>
      <c r="BV19" s="32">
        <v>193.19562580499999</v>
      </c>
      <c r="BW19" s="32">
        <v>205.19562580499999</v>
      </c>
      <c r="BX19" s="32">
        <v>207.2112758694</v>
      </c>
      <c r="BY19" s="32">
        <v>219.2112758694</v>
      </c>
      <c r="BZ19" s="32">
        <v>221.2269259338</v>
      </c>
      <c r="CA19" s="32">
        <v>0</v>
      </c>
      <c r="CB19" s="32">
        <v>0</v>
      </c>
      <c r="CC19" s="32">
        <v>0</v>
      </c>
      <c r="CD19" s="32">
        <v>0</v>
      </c>
      <c r="CE19" s="32">
        <v>0</v>
      </c>
      <c r="CF19" s="32">
        <v>0</v>
      </c>
      <c r="CG19" s="32">
        <v>0</v>
      </c>
      <c r="CH19" s="32">
        <v>0</v>
      </c>
      <c r="CI19" s="32">
        <v>0</v>
      </c>
      <c r="CJ19" s="32">
        <v>0</v>
      </c>
      <c r="CK19" s="32">
        <v>0</v>
      </c>
      <c r="CL19" s="32">
        <v>0</v>
      </c>
      <c r="CM19" s="32">
        <v>0</v>
      </c>
      <c r="CN19" s="32">
        <v>0</v>
      </c>
      <c r="CO19" s="32">
        <v>0</v>
      </c>
      <c r="CP19" s="32">
        <v>0</v>
      </c>
      <c r="CQ19" s="32">
        <v>0</v>
      </c>
      <c r="CR19" s="32">
        <v>0</v>
      </c>
      <c r="CS19" s="32">
        <v>0</v>
      </c>
      <c r="CT19" s="32">
        <v>0</v>
      </c>
      <c r="CU19" s="32">
        <v>0</v>
      </c>
      <c r="CV19" s="32">
        <v>0</v>
      </c>
      <c r="CW19" s="32">
        <v>0</v>
      </c>
      <c r="CX19" s="32">
        <v>0</v>
      </c>
      <c r="CY19" s="32">
        <v>0</v>
      </c>
      <c r="CZ19" s="32">
        <v>0</v>
      </c>
      <c r="DA19" s="32">
        <v>0</v>
      </c>
      <c r="DB19" s="32">
        <v>0</v>
      </c>
      <c r="DC19" s="32">
        <v>0</v>
      </c>
      <c r="DD19" s="32">
        <v>0</v>
      </c>
      <c r="DE19" s="32">
        <v>0</v>
      </c>
      <c r="DF19" s="32">
        <v>0</v>
      </c>
      <c r="DG19" s="32">
        <v>0</v>
      </c>
      <c r="DH19" s="32">
        <v>0</v>
      </c>
      <c r="DI19" s="32">
        <v>0</v>
      </c>
      <c r="DJ19" s="32">
        <v>0</v>
      </c>
      <c r="DK19" s="32">
        <v>55.0547752254</v>
      </c>
      <c r="DL19" s="32">
        <v>57.070425289800006</v>
      </c>
      <c r="DM19" s="32">
        <v>69.070425289799999</v>
      </c>
      <c r="DN19" s="32">
        <v>71.086075354200005</v>
      </c>
      <c r="DO19" s="32">
        <v>81.070425289799999</v>
      </c>
      <c r="DP19" s="32">
        <v>83.086075354200005</v>
      </c>
      <c r="DQ19" s="32">
        <v>85.101725418599997</v>
      </c>
      <c r="DR19" s="32">
        <v>95.086075354200005</v>
      </c>
      <c r="DS19" s="32">
        <v>97.101725418599997</v>
      </c>
      <c r="DT19" s="32">
        <v>99.117375483000004</v>
      </c>
      <c r="DU19" s="32">
        <v>109.1017254186</v>
      </c>
      <c r="DV19" s="32">
        <v>111.117375483</v>
      </c>
      <c r="DW19" s="32">
        <v>113.13302554740001</v>
      </c>
      <c r="DX19" s="32">
        <v>123.117375483</v>
      </c>
      <c r="DY19" s="32">
        <v>125.13302554740001</v>
      </c>
      <c r="DZ19" s="32">
        <v>137.1330255474</v>
      </c>
      <c r="EA19" s="32">
        <v>139.1486756118</v>
      </c>
      <c r="EB19" s="32">
        <v>149.1330255474</v>
      </c>
      <c r="EC19" s="32">
        <v>151.1486756118</v>
      </c>
      <c r="ED19" s="32">
        <v>153.16432567620001</v>
      </c>
      <c r="EE19" s="32">
        <v>163.1486756118</v>
      </c>
      <c r="EF19" s="32">
        <v>165.16432567620001</v>
      </c>
      <c r="EG19" s="32">
        <v>167.17997574060001</v>
      </c>
      <c r="EH19" s="32">
        <v>177.16432567620001</v>
      </c>
      <c r="EI19" s="32">
        <v>179.17997574060001</v>
      </c>
      <c r="EJ19" s="32">
        <v>181.19562580499999</v>
      </c>
      <c r="EK19" s="32">
        <v>191.17997574060001</v>
      </c>
      <c r="EL19" s="32">
        <v>193.19562580499999</v>
      </c>
      <c r="EM19" s="32">
        <v>205.19562580499999</v>
      </c>
      <c r="EN19" s="32">
        <v>207.2112758694</v>
      </c>
      <c r="EO19" s="32">
        <v>219.2112758694</v>
      </c>
      <c r="EP19" s="32">
        <v>221.2269259338</v>
      </c>
      <c r="EQ19" s="32">
        <v>0</v>
      </c>
      <c r="ER19" s="32">
        <v>0</v>
      </c>
      <c r="ES19" s="32">
        <v>0</v>
      </c>
      <c r="ET19" s="32">
        <v>0</v>
      </c>
      <c r="EU19" s="32">
        <v>0</v>
      </c>
      <c r="EV19" s="32">
        <v>0</v>
      </c>
      <c r="EW19" s="32">
        <v>0</v>
      </c>
      <c r="EX19" s="32">
        <v>0</v>
      </c>
      <c r="EY19" s="32">
        <v>0</v>
      </c>
      <c r="EZ19" s="32">
        <v>0</v>
      </c>
      <c r="FA19" s="32">
        <v>0</v>
      </c>
      <c r="FB19" s="32">
        <v>0</v>
      </c>
      <c r="FC19" s="32">
        <v>0</v>
      </c>
      <c r="FD19" s="32">
        <v>0</v>
      </c>
      <c r="FE19" s="32">
        <v>0</v>
      </c>
      <c r="FF19" s="32">
        <v>0</v>
      </c>
      <c r="FG19" s="32">
        <v>0</v>
      </c>
      <c r="FH19" s="32">
        <v>0</v>
      </c>
      <c r="FI19" s="32">
        <v>0</v>
      </c>
      <c r="FJ19" s="32">
        <v>0</v>
      </c>
      <c r="FK19" s="32">
        <v>0</v>
      </c>
      <c r="FL19" s="32">
        <v>0</v>
      </c>
      <c r="FM19" s="32">
        <v>0</v>
      </c>
      <c r="FN19" s="32">
        <v>0</v>
      </c>
      <c r="FO19" s="32">
        <v>0</v>
      </c>
      <c r="FP19" s="32">
        <v>0</v>
      </c>
      <c r="FQ19" s="32">
        <v>0</v>
      </c>
      <c r="FR19" s="32">
        <v>0</v>
      </c>
      <c r="FS19" s="32">
        <v>0</v>
      </c>
      <c r="FT19" s="32">
        <v>0</v>
      </c>
      <c r="FU19" s="32">
        <v>0</v>
      </c>
      <c r="FV19" s="32">
        <v>0</v>
      </c>
      <c r="FW19" s="32">
        <v>0</v>
      </c>
      <c r="FX19" s="32">
        <v>0</v>
      </c>
      <c r="FY19" s="32">
        <v>0</v>
      </c>
      <c r="FZ19" s="32">
        <v>0</v>
      </c>
      <c r="GA19" s="3">
        <v>15.943230000000005</v>
      </c>
      <c r="GB19" s="32">
        <v>10.628820000000003</v>
      </c>
      <c r="GC19" s="32">
        <v>79.716150000000027</v>
      </c>
      <c r="GD19" s="32">
        <v>11.197439999999999</v>
      </c>
      <c r="GE19" s="32">
        <v>11.197439999999999</v>
      </c>
      <c r="GF19" s="32">
        <v>14.929919999999999</v>
      </c>
      <c r="GG19" s="32">
        <v>7.4649599999999996</v>
      </c>
      <c r="GH19" s="32">
        <v>5.5987199999999993</v>
      </c>
      <c r="GI19" s="32">
        <v>0</v>
      </c>
      <c r="GJ19" s="32">
        <v>0</v>
      </c>
      <c r="GK19" s="32">
        <v>68.024448000000021</v>
      </c>
      <c r="GL19" s="32">
        <v>0</v>
      </c>
      <c r="GM19" s="32">
        <v>0</v>
      </c>
      <c r="GN19" s="32">
        <v>53.146830000000023</v>
      </c>
      <c r="GO19" s="32">
        <v>30</v>
      </c>
      <c r="GP19" s="32">
        <v>10</v>
      </c>
      <c r="GQ19" s="32">
        <v>26.730898999999997</v>
      </c>
      <c r="GR19" s="32">
        <v>26.730898999999997</v>
      </c>
      <c r="GS19" s="32">
        <v>1</v>
      </c>
      <c r="GT19" s="32">
        <v>1.390625</v>
      </c>
      <c r="GU19" s="32">
        <v>1.095683193077468</v>
      </c>
      <c r="GV19" s="32">
        <v>1.784347667638484</v>
      </c>
      <c r="GW19" s="32">
        <v>2.5551999999999997</v>
      </c>
      <c r="GX19" s="32">
        <v>2.5309310892394863</v>
      </c>
      <c r="GY19" s="32">
        <v>2.4310313411078717</v>
      </c>
      <c r="GZ19" s="32">
        <v>7.5536000000000012</v>
      </c>
      <c r="HA19" s="32">
        <v>13.164746412555075</v>
      </c>
      <c r="HB19" s="32">
        <v>1.0836370262390671</v>
      </c>
      <c r="HC19" s="32">
        <v>36.555555555555557</v>
      </c>
      <c r="HD19" s="32">
        <v>18.320508075688771</v>
      </c>
      <c r="HE19" s="32">
        <v>1.4087152516904582</v>
      </c>
      <c r="HF19" s="32">
        <v>23.19715829226574</v>
      </c>
      <c r="HG19" s="32">
        <v>13.164746412555075</v>
      </c>
      <c r="HH19" s="32">
        <v>14.011566664973158</v>
      </c>
      <c r="HI19" s="32">
        <v>9.1494297255984218</v>
      </c>
      <c r="HJ19" s="32">
        <v>8.7764976083700503</v>
      </c>
      <c r="HK19" s="32">
        <v>8.0233196159122109</v>
      </c>
      <c r="HL19" s="32">
        <v>6.1320023927966725</v>
      </c>
      <c r="HM19" s="32">
        <v>5.8509984055800333</v>
      </c>
      <c r="HN19" s="32">
        <v>4.3870175616860578</v>
      </c>
      <c r="HO19" s="32">
        <v>3.969908792127705</v>
      </c>
      <c r="HP19" s="32">
        <v>3.900665603720022</v>
      </c>
      <c r="HQ19" s="32">
        <v>2.3873223932666088</v>
      </c>
      <c r="HR19" s="32">
        <v>2.5205933015693844</v>
      </c>
      <c r="HS19" s="32">
        <v>2.6004437358133479</v>
      </c>
      <c r="HT19" s="32">
        <v>1.4389574759945132</v>
      </c>
      <c r="HU19" s="32">
        <v>1.6803955343795896</v>
      </c>
      <c r="HV19" s="32">
        <v>1.086707649579163</v>
      </c>
      <c r="HW19" s="32">
        <v>0.95930498399634212</v>
      </c>
      <c r="HX19" s="32">
        <v>1.0054192280986978</v>
      </c>
      <c r="HY19" s="32">
        <v>0</v>
      </c>
      <c r="HZ19" s="32">
        <v>0</v>
      </c>
      <c r="IA19" s="32">
        <v>0</v>
      </c>
      <c r="IB19" s="32">
        <v>0</v>
      </c>
      <c r="IC19" s="32">
        <v>0</v>
      </c>
      <c r="ID19" s="32">
        <v>0</v>
      </c>
      <c r="IE19" s="32">
        <v>0</v>
      </c>
      <c r="IF19" s="32">
        <v>0</v>
      </c>
      <c r="IG19" s="32">
        <v>0</v>
      </c>
      <c r="IH19" s="32">
        <v>0</v>
      </c>
      <c r="II19" s="32">
        <v>0</v>
      </c>
      <c r="IJ19" s="32">
        <v>0</v>
      </c>
      <c r="IK19" s="32">
        <v>0</v>
      </c>
      <c r="IL19" s="32">
        <v>0</v>
      </c>
      <c r="IM19" s="32">
        <v>0</v>
      </c>
      <c r="IN19" s="32">
        <v>0</v>
      </c>
      <c r="IO19" s="32">
        <v>0</v>
      </c>
      <c r="IP19" s="32">
        <v>0</v>
      </c>
      <c r="IQ19" s="32">
        <v>0</v>
      </c>
      <c r="IR19" s="32">
        <v>0</v>
      </c>
      <c r="IS19" s="32">
        <v>0</v>
      </c>
      <c r="IT19" s="32">
        <v>0</v>
      </c>
      <c r="IU19" s="32">
        <v>0</v>
      </c>
      <c r="IV19" s="32">
        <v>0</v>
      </c>
      <c r="IW19" s="32">
        <v>0</v>
      </c>
      <c r="IX19" s="32">
        <v>0</v>
      </c>
      <c r="IY19" s="32">
        <v>0</v>
      </c>
      <c r="IZ19" s="32">
        <v>0</v>
      </c>
      <c r="JA19" s="32">
        <v>0</v>
      </c>
      <c r="JB19" s="32">
        <v>0</v>
      </c>
      <c r="JC19" s="32">
        <v>0</v>
      </c>
      <c r="JD19" s="32">
        <v>0</v>
      </c>
      <c r="JE19" s="32">
        <v>0</v>
      </c>
      <c r="JF19" s="32">
        <v>0</v>
      </c>
      <c r="JG19" s="32">
        <v>0</v>
      </c>
      <c r="JH19" s="32">
        <v>0</v>
      </c>
      <c r="JI19" s="32">
        <v>1</v>
      </c>
      <c r="JJ19" s="32">
        <v>1.390625</v>
      </c>
      <c r="JK19" s="32">
        <v>1.095683193077468</v>
      </c>
      <c r="JL19" s="32">
        <v>1.784347667638484</v>
      </c>
      <c r="JM19" s="32">
        <v>2.5551999999999997</v>
      </c>
      <c r="JN19" s="32">
        <v>2.5309310892394863</v>
      </c>
      <c r="JO19" s="32">
        <v>2.4310313411078717</v>
      </c>
      <c r="JP19" s="32">
        <v>7.5536000000000012</v>
      </c>
      <c r="JQ19" s="32">
        <v>13.164746412555075</v>
      </c>
      <c r="JR19" s="32">
        <v>1.0836370262390671</v>
      </c>
      <c r="JS19" s="32">
        <v>36.555555555555557</v>
      </c>
      <c r="JT19" s="32">
        <v>18.320508075688771</v>
      </c>
      <c r="JU19" s="32">
        <v>1.4087152516904582</v>
      </c>
      <c r="JV19" s="32">
        <v>23.19715829226574</v>
      </c>
      <c r="JW19" s="32">
        <v>13.164746412555075</v>
      </c>
      <c r="JX19" s="32">
        <v>14.011566664973158</v>
      </c>
      <c r="JY19" s="32">
        <v>9.1494297255984218</v>
      </c>
      <c r="JZ19" s="32">
        <v>8.7764976083700503</v>
      </c>
      <c r="KA19" s="32">
        <v>8.0233196159122109</v>
      </c>
      <c r="KB19" s="32">
        <v>6.1320023927966725</v>
      </c>
      <c r="KC19" s="32">
        <v>5.8509984055800333</v>
      </c>
      <c r="KD19" s="32">
        <v>4.3870175616860578</v>
      </c>
      <c r="KE19" s="32">
        <v>3.969908792127705</v>
      </c>
      <c r="KF19" s="32">
        <v>3.900665603720022</v>
      </c>
      <c r="KG19" s="32">
        <v>2.3873223932666088</v>
      </c>
      <c r="KH19" s="32">
        <v>2.5205933015693844</v>
      </c>
      <c r="KI19" s="32">
        <v>2.6004437358133479</v>
      </c>
      <c r="KJ19" s="32">
        <v>1.4389574759945132</v>
      </c>
      <c r="KK19" s="32">
        <v>1.6803955343795896</v>
      </c>
      <c r="KL19" s="32">
        <v>1.086707649579163</v>
      </c>
      <c r="KM19" s="32">
        <v>0.95930498399634212</v>
      </c>
      <c r="KN19" s="32">
        <v>1.0054192280986978</v>
      </c>
      <c r="KO19" s="32">
        <v>0</v>
      </c>
      <c r="KP19" s="32">
        <v>0</v>
      </c>
      <c r="KQ19" s="32">
        <v>0</v>
      </c>
      <c r="KR19" s="32">
        <v>0</v>
      </c>
      <c r="KS19" s="32">
        <v>0</v>
      </c>
      <c r="KT19" s="32">
        <v>0</v>
      </c>
      <c r="KU19" s="32">
        <v>0</v>
      </c>
      <c r="KV19" s="32">
        <v>0</v>
      </c>
      <c r="KW19" s="32">
        <v>0</v>
      </c>
      <c r="KX19" s="32">
        <v>0</v>
      </c>
      <c r="KY19" s="32">
        <v>0</v>
      </c>
      <c r="KZ19" s="32">
        <v>0</v>
      </c>
      <c r="LA19" s="32">
        <v>0</v>
      </c>
      <c r="LB19" s="32">
        <v>0</v>
      </c>
      <c r="LC19" s="32">
        <v>0</v>
      </c>
      <c r="LD19" s="32">
        <v>0</v>
      </c>
      <c r="LE19" s="32">
        <v>0</v>
      </c>
      <c r="LF19" s="32">
        <v>0</v>
      </c>
      <c r="LG19" s="32">
        <v>0</v>
      </c>
      <c r="LH19" s="32">
        <v>0</v>
      </c>
      <c r="LI19" s="32">
        <v>0</v>
      </c>
      <c r="LJ19" s="32">
        <v>0</v>
      </c>
      <c r="LK19" s="32">
        <v>0</v>
      </c>
      <c r="LL19" s="32">
        <v>0</v>
      </c>
      <c r="LM19" s="32">
        <v>0</v>
      </c>
      <c r="LN19" s="32">
        <v>0</v>
      </c>
      <c r="LO19" s="32">
        <v>0</v>
      </c>
      <c r="LP19" s="32">
        <v>0</v>
      </c>
      <c r="LQ19" s="32">
        <v>0</v>
      </c>
      <c r="LR19" s="32">
        <v>0</v>
      </c>
      <c r="LS19" s="32">
        <v>0</v>
      </c>
      <c r="LT19" s="32">
        <v>0</v>
      </c>
      <c r="LU19" s="32">
        <v>0</v>
      </c>
      <c r="LV19" s="32">
        <v>0</v>
      </c>
      <c r="LW19" s="32">
        <v>0</v>
      </c>
      <c r="LX19" s="32">
        <v>0</v>
      </c>
    </row>
    <row r="20" spans="1:336" s="32" customFormat="1" ht="14.25" x14ac:dyDescent="0.2">
      <c r="A20" s="5">
        <v>14</v>
      </c>
      <c r="B20" s="27" t="s">
        <v>662</v>
      </c>
      <c r="C20" s="27" t="s">
        <v>445</v>
      </c>
      <c r="D20" s="27" t="s">
        <v>446</v>
      </c>
      <c r="E20" s="27" t="s">
        <v>445</v>
      </c>
      <c r="F20" s="28" t="s">
        <v>447</v>
      </c>
      <c r="G20" s="28" t="s">
        <v>448</v>
      </c>
      <c r="H20" s="29">
        <v>-1</v>
      </c>
      <c r="I20" s="30">
        <v>-3.96</v>
      </c>
      <c r="J20" s="31">
        <v>9.7345409781075922</v>
      </c>
      <c r="K20" s="29" t="s">
        <v>449</v>
      </c>
      <c r="L20" s="16">
        <v>0</v>
      </c>
      <c r="M20" s="16">
        <v>2</v>
      </c>
      <c r="N20" s="27" t="s">
        <v>445</v>
      </c>
      <c r="O20" s="27">
        <v>0</v>
      </c>
      <c r="P20" s="27">
        <v>0</v>
      </c>
      <c r="Q20" s="27">
        <v>0</v>
      </c>
      <c r="R20" s="27">
        <v>0</v>
      </c>
      <c r="S20" s="27">
        <v>0</v>
      </c>
      <c r="T20" s="27">
        <v>20</v>
      </c>
      <c r="U20" s="27">
        <v>3</v>
      </c>
      <c r="V20" s="27">
        <v>20</v>
      </c>
      <c r="W20" s="27">
        <v>4</v>
      </c>
      <c r="X20" s="27" t="s">
        <v>445</v>
      </c>
      <c r="Y20" s="17">
        <v>598.25784159580007</v>
      </c>
      <c r="Z20" s="17">
        <v>580.24728159580002</v>
      </c>
      <c r="AA20" s="17">
        <v>600.27348159579992</v>
      </c>
      <c r="AB20" s="17">
        <v>582.26292159579987</v>
      </c>
      <c r="AC20" s="17">
        <v>873.53154159580004</v>
      </c>
      <c r="AD20" s="17">
        <v>719.53794713100001</v>
      </c>
      <c r="AE20" s="17">
        <v>793.57472656340008</v>
      </c>
      <c r="AF20" s="17">
        <v>521.32432553299998</v>
      </c>
      <c r="AG20" s="17">
        <v>447.28754610059997</v>
      </c>
      <c r="AH20" s="17">
        <v>333.31573590759996</v>
      </c>
      <c r="AI20" s="17">
        <v>351.32630059159993</v>
      </c>
      <c r="AJ20" s="17">
        <v>503.313760849</v>
      </c>
      <c r="AK20" s="17">
        <v>0</v>
      </c>
      <c r="AL20" s="17">
        <v>547.52426712519991</v>
      </c>
      <c r="AM20" s="17">
        <v>0</v>
      </c>
      <c r="AN20" s="17">
        <v>0</v>
      </c>
      <c r="AO20" s="17">
        <v>0</v>
      </c>
      <c r="AP20" s="17">
        <v>252.97831503820004</v>
      </c>
      <c r="AQ20" s="17">
        <v>173.021500038</v>
      </c>
      <c r="AR20" s="17">
        <v>155.010935354</v>
      </c>
      <c r="AS20" s="32">
        <v>275.27387109479997</v>
      </c>
      <c r="AT20" s="32">
        <v>273.25822103039997</v>
      </c>
      <c r="AU20" s="32">
        <v>55.0547752254</v>
      </c>
      <c r="AV20" s="32">
        <v>57.070425289800006</v>
      </c>
      <c r="AW20" s="32">
        <v>69.070425289799999</v>
      </c>
      <c r="AX20" s="32">
        <v>71.086075354200005</v>
      </c>
      <c r="AY20" s="32">
        <v>81.070425289799999</v>
      </c>
      <c r="AZ20" s="32">
        <v>83.086075354200005</v>
      </c>
      <c r="BA20" s="32">
        <v>85.101725418599997</v>
      </c>
      <c r="BB20" s="32">
        <v>95.086075354200005</v>
      </c>
      <c r="BC20" s="32">
        <v>97.101725418599997</v>
      </c>
      <c r="BD20" s="32">
        <v>99.117375483000004</v>
      </c>
      <c r="BE20" s="32">
        <v>109.1017254186</v>
      </c>
      <c r="BF20" s="32">
        <v>111.117375483</v>
      </c>
      <c r="BG20" s="32">
        <v>113.13302554740001</v>
      </c>
      <c r="BH20" s="32">
        <v>123.117375483</v>
      </c>
      <c r="BI20" s="32">
        <v>125.13302554740001</v>
      </c>
      <c r="BJ20" s="32">
        <v>137.1330255474</v>
      </c>
      <c r="BK20" s="32">
        <v>139.1486756118</v>
      </c>
      <c r="BL20" s="32">
        <v>149.1330255474</v>
      </c>
      <c r="BM20" s="32">
        <v>151.1486756118</v>
      </c>
      <c r="BN20" s="32">
        <v>153.16432567620001</v>
      </c>
      <c r="BO20" s="32">
        <v>163.1486756118</v>
      </c>
      <c r="BP20" s="32">
        <v>165.16432567620001</v>
      </c>
      <c r="BQ20" s="32">
        <v>167.17997574060001</v>
      </c>
      <c r="BR20" s="32">
        <v>177.16432567620001</v>
      </c>
      <c r="BS20" s="32">
        <v>179.17997574060001</v>
      </c>
      <c r="BT20" s="32">
        <v>181.19562580499999</v>
      </c>
      <c r="BU20" s="32">
        <v>191.17997574060001</v>
      </c>
      <c r="BV20" s="32">
        <v>193.19562580499999</v>
      </c>
      <c r="BW20" s="32">
        <v>205.19562580499999</v>
      </c>
      <c r="BX20" s="32">
        <v>207.2112758694</v>
      </c>
      <c r="BY20" s="32">
        <v>219.2112758694</v>
      </c>
      <c r="BZ20" s="32">
        <v>221.2269259338</v>
      </c>
      <c r="CA20" s="32">
        <v>0</v>
      </c>
      <c r="CB20" s="32">
        <v>0</v>
      </c>
      <c r="CC20" s="32">
        <v>0</v>
      </c>
      <c r="CD20" s="32">
        <v>0</v>
      </c>
      <c r="CE20" s="32">
        <v>0</v>
      </c>
      <c r="CF20" s="32">
        <v>0</v>
      </c>
      <c r="CG20" s="32">
        <v>0</v>
      </c>
      <c r="CH20" s="32">
        <v>0</v>
      </c>
      <c r="CI20" s="32">
        <v>0</v>
      </c>
      <c r="CJ20" s="32">
        <v>0</v>
      </c>
      <c r="CK20" s="32">
        <v>0</v>
      </c>
      <c r="CL20" s="32">
        <v>0</v>
      </c>
      <c r="CM20" s="32">
        <v>0</v>
      </c>
      <c r="CN20" s="32">
        <v>0</v>
      </c>
      <c r="CO20" s="32">
        <v>0</v>
      </c>
      <c r="CP20" s="32">
        <v>0</v>
      </c>
      <c r="CQ20" s="32">
        <v>0</v>
      </c>
      <c r="CR20" s="32">
        <v>0</v>
      </c>
      <c r="CS20" s="32">
        <v>0</v>
      </c>
      <c r="CT20" s="32">
        <v>0</v>
      </c>
      <c r="CU20" s="32">
        <v>0</v>
      </c>
      <c r="CV20" s="32">
        <v>0</v>
      </c>
      <c r="CW20" s="32">
        <v>0</v>
      </c>
      <c r="CX20" s="32">
        <v>0</v>
      </c>
      <c r="CY20" s="32">
        <v>0</v>
      </c>
      <c r="CZ20" s="32">
        <v>0</v>
      </c>
      <c r="DA20" s="32">
        <v>0</v>
      </c>
      <c r="DB20" s="32">
        <v>0</v>
      </c>
      <c r="DC20" s="32">
        <v>0</v>
      </c>
      <c r="DD20" s="32">
        <v>0</v>
      </c>
      <c r="DE20" s="32">
        <v>0</v>
      </c>
      <c r="DF20" s="32">
        <v>0</v>
      </c>
      <c r="DG20" s="32">
        <v>0</v>
      </c>
      <c r="DH20" s="32">
        <v>0</v>
      </c>
      <c r="DI20" s="32">
        <v>0</v>
      </c>
      <c r="DJ20" s="32">
        <v>0</v>
      </c>
      <c r="DK20" s="32">
        <v>55.0547752254</v>
      </c>
      <c r="DL20" s="32">
        <v>69.070425289799999</v>
      </c>
      <c r="DM20" s="32">
        <v>81.070425289799999</v>
      </c>
      <c r="DN20" s="32">
        <v>83.086075354200005</v>
      </c>
      <c r="DO20" s="32">
        <v>95.086075354200005</v>
      </c>
      <c r="DP20" s="32">
        <v>97.101725418599997</v>
      </c>
      <c r="DQ20" s="32">
        <v>109.1017254186</v>
      </c>
      <c r="DR20" s="32">
        <v>111.117375483</v>
      </c>
      <c r="DS20" s="32">
        <v>123.117375483</v>
      </c>
      <c r="DT20" s="32">
        <v>137.1330255474</v>
      </c>
      <c r="DU20" s="32">
        <v>149.1330255474</v>
      </c>
      <c r="DV20" s="32">
        <v>151.1486756118</v>
      </c>
      <c r="DW20" s="32">
        <v>163.1486756118</v>
      </c>
      <c r="DX20" s="32">
        <v>165.16432567620001</v>
      </c>
      <c r="DY20" s="32">
        <v>177.16432567620001</v>
      </c>
      <c r="DZ20" s="32">
        <v>179.17997574060001</v>
      </c>
      <c r="EA20" s="32">
        <v>191.17997574060001</v>
      </c>
      <c r="EB20" s="32">
        <v>205.19562580499999</v>
      </c>
      <c r="EC20" s="32">
        <v>217.19562580499999</v>
      </c>
      <c r="ED20" s="32">
        <v>219.2112758694</v>
      </c>
      <c r="EE20" s="32">
        <v>0</v>
      </c>
      <c r="EF20" s="32">
        <v>0</v>
      </c>
      <c r="EG20" s="32">
        <v>0</v>
      </c>
      <c r="EH20" s="32">
        <v>0</v>
      </c>
      <c r="EI20" s="32">
        <v>0</v>
      </c>
      <c r="EJ20" s="32">
        <v>0</v>
      </c>
      <c r="EK20" s="32">
        <v>0</v>
      </c>
      <c r="EL20" s="32">
        <v>0</v>
      </c>
      <c r="EM20" s="32">
        <v>0</v>
      </c>
      <c r="EN20" s="32">
        <v>0</v>
      </c>
      <c r="EO20" s="32">
        <v>0</v>
      </c>
      <c r="EP20" s="32">
        <v>0</v>
      </c>
      <c r="EQ20" s="32">
        <v>0</v>
      </c>
      <c r="ER20" s="32">
        <v>0</v>
      </c>
      <c r="ES20" s="32">
        <v>0</v>
      </c>
      <c r="ET20" s="32">
        <v>0</v>
      </c>
      <c r="EU20" s="32">
        <v>0</v>
      </c>
      <c r="EV20" s="32">
        <v>0</v>
      </c>
      <c r="EW20" s="32">
        <v>0</v>
      </c>
      <c r="EX20" s="32">
        <v>0</v>
      </c>
      <c r="EY20" s="32">
        <v>0</v>
      </c>
      <c r="EZ20" s="32">
        <v>0</v>
      </c>
      <c r="FA20" s="32">
        <v>0</v>
      </c>
      <c r="FB20" s="32">
        <v>0</v>
      </c>
      <c r="FC20" s="32">
        <v>0</v>
      </c>
      <c r="FD20" s="32">
        <v>0</v>
      </c>
      <c r="FE20" s="32">
        <v>0</v>
      </c>
      <c r="FF20" s="32">
        <v>0</v>
      </c>
      <c r="FG20" s="32">
        <v>0</v>
      </c>
      <c r="FH20" s="32">
        <v>0</v>
      </c>
      <c r="FI20" s="32">
        <v>0</v>
      </c>
      <c r="FJ20" s="32">
        <v>0</v>
      </c>
      <c r="FK20" s="32">
        <v>0</v>
      </c>
      <c r="FL20" s="32">
        <v>0</v>
      </c>
      <c r="FM20" s="32">
        <v>0</v>
      </c>
      <c r="FN20" s="32">
        <v>0</v>
      </c>
      <c r="FO20" s="32">
        <v>0</v>
      </c>
      <c r="FP20" s="32">
        <v>0</v>
      </c>
      <c r="FQ20" s="32">
        <v>0</v>
      </c>
      <c r="FR20" s="32">
        <v>0</v>
      </c>
      <c r="FS20" s="32">
        <v>0</v>
      </c>
      <c r="FT20" s="32">
        <v>0</v>
      </c>
      <c r="FU20" s="32">
        <v>0</v>
      </c>
      <c r="FV20" s="32">
        <v>0</v>
      </c>
      <c r="FW20" s="32">
        <v>0</v>
      </c>
      <c r="FX20" s="32">
        <v>0</v>
      </c>
      <c r="FY20" s="32">
        <v>0</v>
      </c>
      <c r="FZ20" s="32">
        <v>0</v>
      </c>
      <c r="GA20" s="3">
        <v>14.348907000000004</v>
      </c>
      <c r="GB20" s="32">
        <v>9.5659380000000027</v>
      </c>
      <c r="GC20" s="32">
        <v>71.744535000000013</v>
      </c>
      <c r="GD20" s="32">
        <v>13.436927999999998</v>
      </c>
      <c r="GE20" s="32">
        <v>13.436927999999998</v>
      </c>
      <c r="GF20" s="32">
        <v>17.915903999999998</v>
      </c>
      <c r="GG20" s="32">
        <v>8.9579519999999988</v>
      </c>
      <c r="GH20" s="32">
        <v>6.7184639999999991</v>
      </c>
      <c r="GI20" s="32">
        <v>0</v>
      </c>
      <c r="GJ20" s="32">
        <v>0</v>
      </c>
      <c r="GK20" s="32">
        <v>122.44400640000003</v>
      </c>
      <c r="GL20" s="32">
        <v>0</v>
      </c>
      <c r="GM20" s="32">
        <v>0</v>
      </c>
      <c r="GN20" s="32">
        <v>58.461513000000039</v>
      </c>
      <c r="GO20" s="32">
        <v>30</v>
      </c>
      <c r="GP20" s="32">
        <v>10</v>
      </c>
      <c r="GQ20" s="32">
        <v>34.750168699999996</v>
      </c>
      <c r="GR20" s="32">
        <v>61.481067699999997</v>
      </c>
      <c r="GS20" s="32">
        <v>1</v>
      </c>
      <c r="GT20" s="32">
        <v>1.390625</v>
      </c>
      <c r="GU20" s="32">
        <v>1.095683193077468</v>
      </c>
      <c r="GV20" s="32">
        <v>1.784347667638484</v>
      </c>
      <c r="GW20" s="32">
        <v>2.5551999999999997</v>
      </c>
      <c r="GX20" s="32">
        <v>2.5309310892394863</v>
      </c>
      <c r="GY20" s="32">
        <v>2.4310313411078717</v>
      </c>
      <c r="GZ20" s="32">
        <v>7.5536000000000012</v>
      </c>
      <c r="HA20" s="32">
        <v>13.164746412555075</v>
      </c>
      <c r="HB20" s="32">
        <v>1.0836370262390671</v>
      </c>
      <c r="HC20" s="32">
        <v>36.555555555555557</v>
      </c>
      <c r="HD20" s="32">
        <v>18.320508075688771</v>
      </c>
      <c r="HE20" s="32">
        <v>1.4087152516904582</v>
      </c>
      <c r="HF20" s="32">
        <v>23.19715829226574</v>
      </c>
      <c r="HG20" s="32">
        <v>13.164746412555075</v>
      </c>
      <c r="HH20" s="32">
        <v>14.011566664973158</v>
      </c>
      <c r="HI20" s="32">
        <v>9.1494297255984218</v>
      </c>
      <c r="HJ20" s="32">
        <v>8.7764976083700503</v>
      </c>
      <c r="HK20" s="32">
        <v>8.0233196159122109</v>
      </c>
      <c r="HL20" s="32">
        <v>6.1320023927966725</v>
      </c>
      <c r="HM20" s="32">
        <v>5.8509984055800333</v>
      </c>
      <c r="HN20" s="32">
        <v>4.3870175616860578</v>
      </c>
      <c r="HO20" s="32">
        <v>3.969908792127705</v>
      </c>
      <c r="HP20" s="32">
        <v>3.900665603720022</v>
      </c>
      <c r="HQ20" s="32">
        <v>2.3873223932666088</v>
      </c>
      <c r="HR20" s="32">
        <v>2.5205933015693844</v>
      </c>
      <c r="HS20" s="32">
        <v>2.6004437358133479</v>
      </c>
      <c r="HT20" s="32">
        <v>1.4389574759945132</v>
      </c>
      <c r="HU20" s="32">
        <v>1.6803955343795896</v>
      </c>
      <c r="HV20" s="32">
        <v>1.086707649579163</v>
      </c>
      <c r="HW20" s="32">
        <v>0.95930498399634212</v>
      </c>
      <c r="HX20" s="32">
        <v>1.0054192280986978</v>
      </c>
      <c r="HY20" s="32">
        <v>0</v>
      </c>
      <c r="HZ20" s="32">
        <v>0</v>
      </c>
      <c r="IA20" s="32">
        <v>0</v>
      </c>
      <c r="IB20" s="32">
        <v>0</v>
      </c>
      <c r="IC20" s="32">
        <v>0</v>
      </c>
      <c r="ID20" s="32">
        <v>0</v>
      </c>
      <c r="IE20" s="32">
        <v>0</v>
      </c>
      <c r="IF20" s="32">
        <v>0</v>
      </c>
      <c r="IG20" s="32">
        <v>0</v>
      </c>
      <c r="IH20" s="32">
        <v>0</v>
      </c>
      <c r="II20" s="32">
        <v>0</v>
      </c>
      <c r="IJ20" s="32">
        <v>0</v>
      </c>
      <c r="IK20" s="32">
        <v>0</v>
      </c>
      <c r="IL20" s="32">
        <v>0</v>
      </c>
      <c r="IM20" s="32">
        <v>0</v>
      </c>
      <c r="IN20" s="32">
        <v>0</v>
      </c>
      <c r="IO20" s="32">
        <v>0</v>
      </c>
      <c r="IP20" s="32">
        <v>0</v>
      </c>
      <c r="IQ20" s="32">
        <v>0</v>
      </c>
      <c r="IR20" s="32">
        <v>0</v>
      </c>
      <c r="IS20" s="32">
        <v>0</v>
      </c>
      <c r="IT20" s="32">
        <v>0</v>
      </c>
      <c r="IU20" s="32">
        <v>0</v>
      </c>
      <c r="IV20" s="32">
        <v>0</v>
      </c>
      <c r="IW20" s="32">
        <v>0</v>
      </c>
      <c r="IX20" s="32">
        <v>0</v>
      </c>
      <c r="IY20" s="32">
        <v>0</v>
      </c>
      <c r="IZ20" s="32">
        <v>0</v>
      </c>
      <c r="JA20" s="32">
        <v>0</v>
      </c>
      <c r="JB20" s="32">
        <v>0</v>
      </c>
      <c r="JC20" s="32">
        <v>0</v>
      </c>
      <c r="JD20" s="32">
        <v>0</v>
      </c>
      <c r="JE20" s="32">
        <v>0</v>
      </c>
      <c r="JF20" s="32">
        <v>0</v>
      </c>
      <c r="JG20" s="32">
        <v>0</v>
      </c>
      <c r="JH20" s="32">
        <v>0</v>
      </c>
      <c r="JI20" s="32">
        <v>1</v>
      </c>
      <c r="JJ20" s="32">
        <v>1.0338291173353296</v>
      </c>
      <c r="JK20" s="32">
        <v>1.6911999999999998</v>
      </c>
      <c r="JL20" s="32">
        <v>1.5412658773652741</v>
      </c>
      <c r="JM20" s="32">
        <v>3.9127111111111117</v>
      </c>
      <c r="JN20" s="32">
        <v>3.7401585041617</v>
      </c>
      <c r="JO20" s="32">
        <v>9.8888888888888893</v>
      </c>
      <c r="JP20" s="32">
        <v>9.6602540378443855</v>
      </c>
      <c r="JQ20" s="32">
        <v>13.48590153939948</v>
      </c>
      <c r="JR20" s="32">
        <v>8.3190062490474013</v>
      </c>
      <c r="JS20" s="32">
        <v>6.4401693585629234</v>
      </c>
      <c r="JT20" s="32">
        <v>4.9506172839506188</v>
      </c>
      <c r="JU20" s="32">
        <v>5.5460041660316008</v>
      </c>
      <c r="JV20" s="32">
        <v>2.9051973784484075</v>
      </c>
      <c r="JW20" s="32">
        <v>3.300411522633746</v>
      </c>
      <c r="JX20" s="32">
        <v>1.7803688462124674</v>
      </c>
      <c r="JY20" s="32">
        <v>1.9367982522989384</v>
      </c>
      <c r="JZ20" s="32">
        <v>2.2002743484224974</v>
      </c>
      <c r="KA20" s="32">
        <v>1.1869125641416449</v>
      </c>
      <c r="KB20" s="32">
        <v>1.2911988348659589</v>
      </c>
      <c r="KC20" s="32">
        <v>0</v>
      </c>
      <c r="KD20" s="32">
        <v>0</v>
      </c>
      <c r="KE20" s="32">
        <v>0</v>
      </c>
      <c r="KF20" s="32">
        <v>0</v>
      </c>
      <c r="KG20" s="32">
        <v>0</v>
      </c>
      <c r="KH20" s="32">
        <v>0</v>
      </c>
      <c r="KI20" s="32">
        <v>0</v>
      </c>
      <c r="KJ20" s="32">
        <v>0</v>
      </c>
      <c r="KK20" s="32">
        <v>0</v>
      </c>
      <c r="KL20" s="32">
        <v>0</v>
      </c>
      <c r="KM20" s="32">
        <v>0</v>
      </c>
      <c r="KN20" s="32">
        <v>0</v>
      </c>
      <c r="KO20" s="32">
        <v>0</v>
      </c>
      <c r="KP20" s="32">
        <v>0</v>
      </c>
      <c r="KQ20" s="32">
        <v>0</v>
      </c>
      <c r="KR20" s="32">
        <v>0</v>
      </c>
      <c r="KS20" s="32">
        <v>0</v>
      </c>
      <c r="KT20" s="32">
        <v>0</v>
      </c>
      <c r="KU20" s="32">
        <v>0</v>
      </c>
      <c r="KV20" s="32">
        <v>0</v>
      </c>
      <c r="KW20" s="32">
        <v>0</v>
      </c>
      <c r="KX20" s="32">
        <v>0</v>
      </c>
      <c r="KY20" s="32">
        <v>0</v>
      </c>
      <c r="KZ20" s="32">
        <v>0</v>
      </c>
      <c r="LA20" s="32">
        <v>0</v>
      </c>
      <c r="LB20" s="32">
        <v>0</v>
      </c>
      <c r="LC20" s="32">
        <v>0</v>
      </c>
      <c r="LD20" s="32">
        <v>0</v>
      </c>
      <c r="LE20" s="32">
        <v>0</v>
      </c>
      <c r="LF20" s="32">
        <v>0</v>
      </c>
      <c r="LG20" s="32">
        <v>0</v>
      </c>
      <c r="LH20" s="32">
        <v>0</v>
      </c>
      <c r="LI20" s="32">
        <v>0</v>
      </c>
      <c r="LJ20" s="32">
        <v>0</v>
      </c>
      <c r="LK20" s="32">
        <v>0</v>
      </c>
      <c r="LL20" s="32">
        <v>0</v>
      </c>
      <c r="LM20" s="32">
        <v>0</v>
      </c>
      <c r="LN20" s="32">
        <v>0</v>
      </c>
      <c r="LO20" s="32">
        <v>0</v>
      </c>
      <c r="LP20" s="32">
        <v>0</v>
      </c>
      <c r="LQ20" s="32">
        <v>0</v>
      </c>
      <c r="LR20" s="32">
        <v>0</v>
      </c>
      <c r="LS20" s="32">
        <v>0</v>
      </c>
      <c r="LT20" s="32">
        <v>0</v>
      </c>
      <c r="LU20" s="32">
        <v>0</v>
      </c>
      <c r="LV20" s="32">
        <v>0</v>
      </c>
      <c r="LW20" s="32">
        <v>0</v>
      </c>
      <c r="LX20" s="32">
        <v>0</v>
      </c>
    </row>
    <row r="21" spans="1:336" s="32" customFormat="1" ht="14.25" x14ac:dyDescent="0.2">
      <c r="A21" s="5">
        <v>15</v>
      </c>
      <c r="B21" s="27" t="s">
        <v>663</v>
      </c>
      <c r="C21" s="27" t="s">
        <v>450</v>
      </c>
      <c r="D21" s="27" t="s">
        <v>451</v>
      </c>
      <c r="E21" s="27" t="s">
        <v>450</v>
      </c>
      <c r="F21" s="28" t="s">
        <v>452</v>
      </c>
      <c r="G21" s="28" t="s">
        <v>453</v>
      </c>
      <c r="H21" s="29">
        <v>-1</v>
      </c>
      <c r="I21" s="30">
        <v>-4.9000000000000004</v>
      </c>
      <c r="J21" s="31">
        <v>9.3289614789582629</v>
      </c>
      <c r="K21" s="29" t="s">
        <v>454</v>
      </c>
      <c r="L21" s="16">
        <v>0</v>
      </c>
      <c r="M21" s="16">
        <v>2</v>
      </c>
      <c r="N21" s="27" t="s">
        <v>450</v>
      </c>
      <c r="O21" s="27">
        <v>0</v>
      </c>
      <c r="P21" s="27">
        <v>0</v>
      </c>
      <c r="Q21" s="27">
        <v>0</v>
      </c>
      <c r="R21" s="27">
        <v>0</v>
      </c>
      <c r="S21" s="27">
        <v>0</v>
      </c>
      <c r="T21" s="27">
        <v>20</v>
      </c>
      <c r="U21" s="27">
        <v>4</v>
      </c>
      <c r="V21" s="27">
        <v>20</v>
      </c>
      <c r="W21" s="27">
        <v>4</v>
      </c>
      <c r="X21" s="27" t="s">
        <v>450</v>
      </c>
      <c r="Y21" s="17">
        <v>598.25783153139992</v>
      </c>
      <c r="Z21" s="17">
        <v>580.24727153139986</v>
      </c>
      <c r="AA21" s="17">
        <v>598.25783153139992</v>
      </c>
      <c r="AB21" s="17">
        <v>580.24727153139986</v>
      </c>
      <c r="AC21" s="17">
        <v>871.51589153140003</v>
      </c>
      <c r="AD21" s="17">
        <v>717.5222970666</v>
      </c>
      <c r="AE21" s="17">
        <v>791.55907649900007</v>
      </c>
      <c r="AF21" s="17">
        <v>519.30867546859997</v>
      </c>
      <c r="AG21" s="17">
        <v>445.27189603619996</v>
      </c>
      <c r="AH21" s="17">
        <v>331.30008584319995</v>
      </c>
      <c r="AI21" s="17">
        <v>349.31065052719993</v>
      </c>
      <c r="AJ21" s="17">
        <v>501.2981107846</v>
      </c>
      <c r="AK21" s="17">
        <v>0</v>
      </c>
      <c r="AL21" s="17">
        <v>545.50861706079991</v>
      </c>
      <c r="AM21" s="17">
        <v>0</v>
      </c>
      <c r="AN21" s="17">
        <v>0</v>
      </c>
      <c r="AO21" s="17">
        <v>0</v>
      </c>
      <c r="AP21" s="17">
        <v>252.97831503820004</v>
      </c>
      <c r="AQ21" s="17">
        <v>173.021500038</v>
      </c>
      <c r="AR21" s="17">
        <v>155.010935354</v>
      </c>
      <c r="AS21" s="32">
        <v>273.25822103039997</v>
      </c>
      <c r="AT21" s="32">
        <v>273.25822103039997</v>
      </c>
      <c r="AU21" s="32">
        <v>55.0547752254</v>
      </c>
      <c r="AV21" s="32">
        <v>69.070425289799999</v>
      </c>
      <c r="AW21" s="32">
        <v>81.070425289799999</v>
      </c>
      <c r="AX21" s="32">
        <v>83.086075354200005</v>
      </c>
      <c r="AY21" s="32">
        <v>95.086075354200005</v>
      </c>
      <c r="AZ21" s="32">
        <v>97.101725418599997</v>
      </c>
      <c r="BA21" s="32">
        <v>109.1017254186</v>
      </c>
      <c r="BB21" s="32">
        <v>111.117375483</v>
      </c>
      <c r="BC21" s="32">
        <v>123.117375483</v>
      </c>
      <c r="BD21" s="32">
        <v>137.1330255474</v>
      </c>
      <c r="BE21" s="32">
        <v>149.1330255474</v>
      </c>
      <c r="BF21" s="32">
        <v>151.1486756118</v>
      </c>
      <c r="BG21" s="32">
        <v>163.1486756118</v>
      </c>
      <c r="BH21" s="32">
        <v>165.16432567620001</v>
      </c>
      <c r="BI21" s="32">
        <v>177.16432567620001</v>
      </c>
      <c r="BJ21" s="32">
        <v>179.17997574060001</v>
      </c>
      <c r="BK21" s="32">
        <v>191.17997574060001</v>
      </c>
      <c r="BL21" s="32">
        <v>205.19562580499999</v>
      </c>
      <c r="BM21" s="32">
        <v>217.19562580499999</v>
      </c>
      <c r="BN21" s="32">
        <v>219.2112758694</v>
      </c>
      <c r="BO21" s="32">
        <v>0</v>
      </c>
      <c r="BP21" s="32">
        <v>0</v>
      </c>
      <c r="BQ21" s="32">
        <v>0</v>
      </c>
      <c r="BR21" s="32">
        <v>0</v>
      </c>
      <c r="BS21" s="32">
        <v>0</v>
      </c>
      <c r="BT21" s="32">
        <v>0</v>
      </c>
      <c r="BU21" s="32">
        <v>0</v>
      </c>
      <c r="BV21" s="32">
        <v>0</v>
      </c>
      <c r="BW21" s="32">
        <v>0</v>
      </c>
      <c r="BX21" s="32">
        <v>0</v>
      </c>
      <c r="BY21" s="32">
        <v>0</v>
      </c>
      <c r="BZ21" s="32">
        <v>0</v>
      </c>
      <c r="CA21" s="32">
        <v>0</v>
      </c>
      <c r="CB21" s="32">
        <v>0</v>
      </c>
      <c r="CC21" s="32">
        <v>0</v>
      </c>
      <c r="CD21" s="32">
        <v>0</v>
      </c>
      <c r="CE21" s="32">
        <v>0</v>
      </c>
      <c r="CF21" s="32">
        <v>0</v>
      </c>
      <c r="CG21" s="32">
        <v>0</v>
      </c>
      <c r="CH21" s="32">
        <v>0</v>
      </c>
      <c r="CI21" s="32">
        <v>0</v>
      </c>
      <c r="CJ21" s="32">
        <v>0</v>
      </c>
      <c r="CK21" s="32">
        <v>0</v>
      </c>
      <c r="CL21" s="32">
        <v>0</v>
      </c>
      <c r="CM21" s="32">
        <v>0</v>
      </c>
      <c r="CN21" s="32">
        <v>0</v>
      </c>
      <c r="CO21" s="32">
        <v>0</v>
      </c>
      <c r="CP21" s="32">
        <v>0</v>
      </c>
      <c r="CQ21" s="32">
        <v>0</v>
      </c>
      <c r="CR21" s="32">
        <v>0</v>
      </c>
      <c r="CS21" s="32">
        <v>0</v>
      </c>
      <c r="CT21" s="32">
        <v>0</v>
      </c>
      <c r="CU21" s="32">
        <v>0</v>
      </c>
      <c r="CV21" s="32">
        <v>0</v>
      </c>
      <c r="CW21" s="32">
        <v>0</v>
      </c>
      <c r="CX21" s="32">
        <v>0</v>
      </c>
      <c r="CY21" s="32">
        <v>0</v>
      </c>
      <c r="CZ21" s="32">
        <v>0</v>
      </c>
      <c r="DA21" s="32">
        <v>0</v>
      </c>
      <c r="DB21" s="32">
        <v>0</v>
      </c>
      <c r="DC21" s="32">
        <v>0</v>
      </c>
      <c r="DD21" s="32">
        <v>0</v>
      </c>
      <c r="DE21" s="32">
        <v>0</v>
      </c>
      <c r="DF21" s="32">
        <v>0</v>
      </c>
      <c r="DG21" s="32">
        <v>0</v>
      </c>
      <c r="DH21" s="32">
        <v>0</v>
      </c>
      <c r="DI21" s="32">
        <v>0</v>
      </c>
      <c r="DJ21" s="32">
        <v>0</v>
      </c>
      <c r="DK21" s="32">
        <v>55.0547752254</v>
      </c>
      <c r="DL21" s="32">
        <v>69.070425289799999</v>
      </c>
      <c r="DM21" s="32">
        <v>81.070425289799999</v>
      </c>
      <c r="DN21" s="32">
        <v>83.086075354200005</v>
      </c>
      <c r="DO21" s="32">
        <v>95.086075354200005</v>
      </c>
      <c r="DP21" s="32">
        <v>97.101725418599997</v>
      </c>
      <c r="DQ21" s="32">
        <v>109.1017254186</v>
      </c>
      <c r="DR21" s="32">
        <v>111.117375483</v>
      </c>
      <c r="DS21" s="32">
        <v>123.117375483</v>
      </c>
      <c r="DT21" s="32">
        <v>137.1330255474</v>
      </c>
      <c r="DU21" s="32">
        <v>149.1330255474</v>
      </c>
      <c r="DV21" s="32">
        <v>151.1486756118</v>
      </c>
      <c r="DW21" s="32">
        <v>163.1486756118</v>
      </c>
      <c r="DX21" s="32">
        <v>165.16432567620001</v>
      </c>
      <c r="DY21" s="32">
        <v>177.16432567620001</v>
      </c>
      <c r="DZ21" s="32">
        <v>179.17997574060001</v>
      </c>
      <c r="EA21" s="32">
        <v>191.17997574060001</v>
      </c>
      <c r="EB21" s="32">
        <v>205.19562580499999</v>
      </c>
      <c r="EC21" s="32">
        <v>217.19562580499999</v>
      </c>
      <c r="ED21" s="32">
        <v>219.2112758694</v>
      </c>
      <c r="EE21" s="32">
        <v>0</v>
      </c>
      <c r="EF21" s="32">
        <v>0</v>
      </c>
      <c r="EG21" s="32">
        <v>0</v>
      </c>
      <c r="EH21" s="32">
        <v>0</v>
      </c>
      <c r="EI21" s="32">
        <v>0</v>
      </c>
      <c r="EJ21" s="32">
        <v>0</v>
      </c>
      <c r="EK21" s="32">
        <v>0</v>
      </c>
      <c r="EL21" s="32">
        <v>0</v>
      </c>
      <c r="EM21" s="32">
        <v>0</v>
      </c>
      <c r="EN21" s="32">
        <v>0</v>
      </c>
      <c r="EO21" s="32">
        <v>0</v>
      </c>
      <c r="EP21" s="32">
        <v>0</v>
      </c>
      <c r="EQ21" s="32">
        <v>0</v>
      </c>
      <c r="ER21" s="32">
        <v>0</v>
      </c>
      <c r="ES21" s="32">
        <v>0</v>
      </c>
      <c r="ET21" s="32">
        <v>0</v>
      </c>
      <c r="EU21" s="32">
        <v>0</v>
      </c>
      <c r="EV21" s="32">
        <v>0</v>
      </c>
      <c r="EW21" s="32">
        <v>0</v>
      </c>
      <c r="EX21" s="32">
        <v>0</v>
      </c>
      <c r="EY21" s="32">
        <v>0</v>
      </c>
      <c r="EZ21" s="32">
        <v>0</v>
      </c>
      <c r="FA21" s="32">
        <v>0</v>
      </c>
      <c r="FB21" s="32">
        <v>0</v>
      </c>
      <c r="FC21" s="32">
        <v>0</v>
      </c>
      <c r="FD21" s="32">
        <v>0</v>
      </c>
      <c r="FE21" s="32">
        <v>0</v>
      </c>
      <c r="FF21" s="32">
        <v>0</v>
      </c>
      <c r="FG21" s="32">
        <v>0</v>
      </c>
      <c r="FH21" s="32">
        <v>0</v>
      </c>
      <c r="FI21" s="32">
        <v>0</v>
      </c>
      <c r="FJ21" s="32">
        <v>0</v>
      </c>
      <c r="FK21" s="32">
        <v>0</v>
      </c>
      <c r="FL21" s="32">
        <v>0</v>
      </c>
      <c r="FM21" s="32">
        <v>0</v>
      </c>
      <c r="FN21" s="32">
        <v>0</v>
      </c>
      <c r="FO21" s="32">
        <v>0</v>
      </c>
      <c r="FP21" s="32">
        <v>0</v>
      </c>
      <c r="FQ21" s="32">
        <v>0</v>
      </c>
      <c r="FR21" s="32">
        <v>0</v>
      </c>
      <c r="FS21" s="32">
        <v>0</v>
      </c>
      <c r="FT21" s="32">
        <v>0</v>
      </c>
      <c r="FU21" s="32">
        <v>0</v>
      </c>
      <c r="FV21" s="32">
        <v>0</v>
      </c>
      <c r="FW21" s="32">
        <v>0</v>
      </c>
      <c r="FX21" s="32">
        <v>0</v>
      </c>
      <c r="FY21" s="32">
        <v>0</v>
      </c>
      <c r="FZ21" s="32">
        <v>0</v>
      </c>
      <c r="GA21" s="3">
        <v>12.914016300000005</v>
      </c>
      <c r="GB21" s="32">
        <v>8.6093442000000042</v>
      </c>
      <c r="GC21" s="32">
        <v>64.570081500000029</v>
      </c>
      <c r="GD21" s="32">
        <v>8.0621567999999986</v>
      </c>
      <c r="GE21" s="32">
        <v>8.0621567999999986</v>
      </c>
      <c r="GF21" s="32">
        <v>10.749542399999999</v>
      </c>
      <c r="GG21" s="32">
        <v>5.3747711999999996</v>
      </c>
      <c r="GH21" s="32">
        <v>4.0310783999999993</v>
      </c>
      <c r="GI21" s="32">
        <v>0</v>
      </c>
      <c r="GJ21" s="32">
        <v>0</v>
      </c>
      <c r="GK21" s="32">
        <v>220.39921152000008</v>
      </c>
      <c r="GL21" s="32">
        <v>0</v>
      </c>
      <c r="GM21" s="32">
        <v>0</v>
      </c>
      <c r="GN21" s="32">
        <v>64.307664300000027</v>
      </c>
      <c r="GO21" s="32">
        <v>30</v>
      </c>
      <c r="GP21" s="32">
        <v>10</v>
      </c>
      <c r="GQ21" s="32">
        <v>79.925388009999992</v>
      </c>
      <c r="GR21" s="32">
        <v>79.925388009999992</v>
      </c>
      <c r="GS21" s="32">
        <v>1</v>
      </c>
      <c r="GT21" s="32">
        <v>1.0338291173353296</v>
      </c>
      <c r="GU21" s="32">
        <v>1.6911999999999998</v>
      </c>
      <c r="GV21" s="32">
        <v>1.5412658773652741</v>
      </c>
      <c r="GW21" s="32">
        <v>3.9127111111111117</v>
      </c>
      <c r="GX21" s="32">
        <v>3.7401585041617</v>
      </c>
      <c r="GY21" s="32">
        <v>9.8888888888888893</v>
      </c>
      <c r="GZ21" s="32">
        <v>9.6602540378443855</v>
      </c>
      <c r="HA21" s="32">
        <v>13.48590153939948</v>
      </c>
      <c r="HB21" s="32">
        <v>8.3190062490474013</v>
      </c>
      <c r="HC21" s="32">
        <v>6.4401693585629234</v>
      </c>
      <c r="HD21" s="32">
        <v>4.9506172839506188</v>
      </c>
      <c r="HE21" s="32">
        <v>5.5460041660316008</v>
      </c>
      <c r="HF21" s="32">
        <v>2.9051973784484075</v>
      </c>
      <c r="HG21" s="32">
        <v>3.300411522633746</v>
      </c>
      <c r="HH21" s="32">
        <v>1.7803688462124674</v>
      </c>
      <c r="HI21" s="32">
        <v>1.9367982522989384</v>
      </c>
      <c r="HJ21" s="32">
        <v>2.2002743484224974</v>
      </c>
      <c r="HK21" s="32">
        <v>1.1869125641416449</v>
      </c>
      <c r="HL21" s="32">
        <v>1.2911988348659589</v>
      </c>
      <c r="HM21" s="32">
        <v>0</v>
      </c>
      <c r="HN21" s="32">
        <v>0</v>
      </c>
      <c r="HO21" s="32">
        <v>0</v>
      </c>
      <c r="HP21" s="32">
        <v>0</v>
      </c>
      <c r="HQ21" s="32">
        <v>0</v>
      </c>
      <c r="HR21" s="32">
        <v>0</v>
      </c>
      <c r="HS21" s="32">
        <v>0</v>
      </c>
      <c r="HT21" s="32">
        <v>0</v>
      </c>
      <c r="HU21" s="32">
        <v>0</v>
      </c>
      <c r="HV21" s="32">
        <v>0</v>
      </c>
      <c r="HW21" s="32">
        <v>0</v>
      </c>
      <c r="HX21" s="32">
        <v>0</v>
      </c>
      <c r="HY21" s="32">
        <v>0</v>
      </c>
      <c r="HZ21" s="32">
        <v>0</v>
      </c>
      <c r="IA21" s="32">
        <v>0</v>
      </c>
      <c r="IB21" s="32">
        <v>0</v>
      </c>
      <c r="IC21" s="32">
        <v>0</v>
      </c>
      <c r="ID21" s="32">
        <v>0</v>
      </c>
      <c r="IE21" s="32">
        <v>0</v>
      </c>
      <c r="IF21" s="32">
        <v>0</v>
      </c>
      <c r="IG21" s="32">
        <v>0</v>
      </c>
      <c r="IH21" s="32">
        <v>0</v>
      </c>
      <c r="II21" s="32">
        <v>0</v>
      </c>
      <c r="IJ21" s="32">
        <v>0</v>
      </c>
      <c r="IK21" s="32">
        <v>0</v>
      </c>
      <c r="IL21" s="32">
        <v>0</v>
      </c>
      <c r="IM21" s="32">
        <v>0</v>
      </c>
      <c r="IN21" s="32">
        <v>0</v>
      </c>
      <c r="IO21" s="32">
        <v>0</v>
      </c>
      <c r="IP21" s="32">
        <v>0</v>
      </c>
      <c r="IQ21" s="32">
        <v>0</v>
      </c>
      <c r="IR21" s="32">
        <v>0</v>
      </c>
      <c r="IS21" s="32">
        <v>0</v>
      </c>
      <c r="IT21" s="32">
        <v>0</v>
      </c>
      <c r="IU21" s="32">
        <v>0</v>
      </c>
      <c r="IV21" s="32">
        <v>0</v>
      </c>
      <c r="IW21" s="32">
        <v>0</v>
      </c>
      <c r="IX21" s="32">
        <v>0</v>
      </c>
      <c r="IY21" s="32">
        <v>0</v>
      </c>
      <c r="IZ21" s="32">
        <v>0</v>
      </c>
      <c r="JA21" s="32">
        <v>0</v>
      </c>
      <c r="JB21" s="32">
        <v>0</v>
      </c>
      <c r="JC21" s="32">
        <v>0</v>
      </c>
      <c r="JD21" s="32">
        <v>0</v>
      </c>
      <c r="JE21" s="32">
        <v>0</v>
      </c>
      <c r="JF21" s="32">
        <v>0</v>
      </c>
      <c r="JG21" s="32">
        <v>0</v>
      </c>
      <c r="JH21" s="32">
        <v>0</v>
      </c>
      <c r="JI21" s="32">
        <v>1</v>
      </c>
      <c r="JJ21" s="32">
        <v>1.0338291173353296</v>
      </c>
      <c r="JK21" s="32">
        <v>1.6911999999999998</v>
      </c>
      <c r="JL21" s="32">
        <v>1.5412658773652741</v>
      </c>
      <c r="JM21" s="32">
        <v>3.9127111111111117</v>
      </c>
      <c r="JN21" s="32">
        <v>3.7401585041617</v>
      </c>
      <c r="JO21" s="32">
        <v>9.8888888888888893</v>
      </c>
      <c r="JP21" s="32">
        <v>9.6602540378443855</v>
      </c>
      <c r="JQ21" s="32">
        <v>13.48590153939948</v>
      </c>
      <c r="JR21" s="32">
        <v>8.3190062490474013</v>
      </c>
      <c r="JS21" s="32">
        <v>6.4401693585629234</v>
      </c>
      <c r="JT21" s="32">
        <v>4.9506172839506188</v>
      </c>
      <c r="JU21" s="32">
        <v>5.5460041660316008</v>
      </c>
      <c r="JV21" s="32">
        <v>2.9051973784484075</v>
      </c>
      <c r="JW21" s="32">
        <v>3.300411522633746</v>
      </c>
      <c r="JX21" s="32">
        <v>1.7803688462124674</v>
      </c>
      <c r="JY21" s="32">
        <v>1.9367982522989384</v>
      </c>
      <c r="JZ21" s="32">
        <v>2.2002743484224974</v>
      </c>
      <c r="KA21" s="32">
        <v>1.1869125641416449</v>
      </c>
      <c r="KB21" s="32">
        <v>1.2911988348659589</v>
      </c>
      <c r="KC21" s="32">
        <v>0</v>
      </c>
      <c r="KD21" s="32">
        <v>0</v>
      </c>
      <c r="KE21" s="32">
        <v>0</v>
      </c>
      <c r="KF21" s="32">
        <v>0</v>
      </c>
      <c r="KG21" s="32">
        <v>0</v>
      </c>
      <c r="KH21" s="32">
        <v>0</v>
      </c>
      <c r="KI21" s="32">
        <v>0</v>
      </c>
      <c r="KJ21" s="32">
        <v>0</v>
      </c>
      <c r="KK21" s="32">
        <v>0</v>
      </c>
      <c r="KL21" s="32">
        <v>0</v>
      </c>
      <c r="KM21" s="32">
        <v>0</v>
      </c>
      <c r="KN21" s="32">
        <v>0</v>
      </c>
      <c r="KO21" s="32">
        <v>0</v>
      </c>
      <c r="KP21" s="32">
        <v>0</v>
      </c>
      <c r="KQ21" s="32">
        <v>0</v>
      </c>
      <c r="KR21" s="32">
        <v>0</v>
      </c>
      <c r="KS21" s="32">
        <v>0</v>
      </c>
      <c r="KT21" s="32">
        <v>0</v>
      </c>
      <c r="KU21" s="32">
        <v>0</v>
      </c>
      <c r="KV21" s="32">
        <v>0</v>
      </c>
      <c r="KW21" s="32">
        <v>0</v>
      </c>
      <c r="KX21" s="32">
        <v>0</v>
      </c>
      <c r="KY21" s="32">
        <v>0</v>
      </c>
      <c r="KZ21" s="32">
        <v>0</v>
      </c>
      <c r="LA21" s="32">
        <v>0</v>
      </c>
      <c r="LB21" s="32">
        <v>0</v>
      </c>
      <c r="LC21" s="32">
        <v>0</v>
      </c>
      <c r="LD21" s="32">
        <v>0</v>
      </c>
      <c r="LE21" s="32">
        <v>0</v>
      </c>
      <c r="LF21" s="32">
        <v>0</v>
      </c>
      <c r="LG21" s="32">
        <v>0</v>
      </c>
      <c r="LH21" s="32">
        <v>0</v>
      </c>
      <c r="LI21" s="32">
        <v>0</v>
      </c>
      <c r="LJ21" s="32">
        <v>0</v>
      </c>
      <c r="LK21" s="32">
        <v>0</v>
      </c>
      <c r="LL21" s="32">
        <v>0</v>
      </c>
      <c r="LM21" s="32">
        <v>0</v>
      </c>
      <c r="LN21" s="32">
        <v>0</v>
      </c>
      <c r="LO21" s="32">
        <v>0</v>
      </c>
      <c r="LP21" s="32">
        <v>0</v>
      </c>
      <c r="LQ21" s="32">
        <v>0</v>
      </c>
      <c r="LR21" s="32">
        <v>0</v>
      </c>
      <c r="LS21" s="32">
        <v>0</v>
      </c>
      <c r="LT21" s="32">
        <v>0</v>
      </c>
      <c r="LU21" s="32">
        <v>0</v>
      </c>
      <c r="LV21" s="32">
        <v>0</v>
      </c>
      <c r="LW21" s="32">
        <v>0</v>
      </c>
      <c r="LX21" s="32">
        <v>0</v>
      </c>
    </row>
    <row r="22" spans="1:336" s="32" customFormat="1" ht="14.25" x14ac:dyDescent="0.2">
      <c r="A22" s="5">
        <v>16</v>
      </c>
      <c r="B22" s="27" t="s">
        <v>664</v>
      </c>
      <c r="C22" s="27" t="s">
        <v>455</v>
      </c>
      <c r="D22" s="27" t="s">
        <v>456</v>
      </c>
      <c r="E22" s="27" t="s">
        <v>455</v>
      </c>
      <c r="F22" s="28" t="s">
        <v>457</v>
      </c>
      <c r="G22" s="28" t="s">
        <v>458</v>
      </c>
      <c r="H22" s="29">
        <v>-1</v>
      </c>
      <c r="I22" s="30">
        <v>7.42</v>
      </c>
      <c r="J22" s="31">
        <v>16.392366277721177</v>
      </c>
      <c r="K22" s="29" t="s">
        <v>459</v>
      </c>
      <c r="L22" s="16">
        <v>0</v>
      </c>
      <c r="M22" s="16">
        <v>2</v>
      </c>
      <c r="N22" s="27" t="s">
        <v>455</v>
      </c>
      <c r="O22" s="27">
        <v>0</v>
      </c>
      <c r="P22" s="27">
        <v>0</v>
      </c>
      <c r="Q22" s="27">
        <v>0</v>
      </c>
      <c r="R22" s="27">
        <v>0</v>
      </c>
      <c r="S22" s="27">
        <v>0</v>
      </c>
      <c r="T22" s="27">
        <v>25</v>
      </c>
      <c r="U22" s="27">
        <v>0</v>
      </c>
      <c r="V22" s="27">
        <v>25</v>
      </c>
      <c r="W22" s="27">
        <v>0</v>
      </c>
      <c r="X22" s="27" t="s">
        <v>455</v>
      </c>
      <c r="Y22" s="17">
        <v>676.39877269060003</v>
      </c>
      <c r="Z22" s="17">
        <v>658.38821269059997</v>
      </c>
      <c r="AA22" s="17">
        <v>676.39877269060003</v>
      </c>
      <c r="AB22" s="17">
        <v>658.38821269059997</v>
      </c>
      <c r="AC22" s="17">
        <v>1027.7975926906001</v>
      </c>
      <c r="AD22" s="17">
        <v>873.80399822580011</v>
      </c>
      <c r="AE22" s="17">
        <v>947.84077765820018</v>
      </c>
      <c r="AF22" s="17">
        <v>597.44952604820003</v>
      </c>
      <c r="AG22" s="17">
        <v>523.41274661579996</v>
      </c>
      <c r="AH22" s="17">
        <v>409.44093642279995</v>
      </c>
      <c r="AI22" s="17">
        <v>427.45150110679992</v>
      </c>
      <c r="AJ22" s="17">
        <v>579.43896136420005</v>
      </c>
      <c r="AK22" s="17">
        <v>0</v>
      </c>
      <c r="AL22" s="17">
        <v>0</v>
      </c>
      <c r="AM22" s="17">
        <v>0</v>
      </c>
      <c r="AN22" s="17">
        <v>0</v>
      </c>
      <c r="AO22" s="17">
        <v>0</v>
      </c>
      <c r="AP22" s="17">
        <v>252.97831503820004</v>
      </c>
      <c r="AQ22" s="17">
        <v>173.021500038</v>
      </c>
      <c r="AR22" s="17">
        <v>155.010935354</v>
      </c>
      <c r="AS22" s="32">
        <v>351.39907160999996</v>
      </c>
      <c r="AT22" s="32">
        <v>351.39907160999996</v>
      </c>
      <c r="AU22" s="32">
        <v>55.0547752254</v>
      </c>
      <c r="AV22" s="32">
        <v>57.070425289800006</v>
      </c>
      <c r="AW22" s="32">
        <v>69.070425289799999</v>
      </c>
      <c r="AX22" s="32">
        <v>71.086075354200005</v>
      </c>
      <c r="AY22" s="32">
        <v>83.086075354200005</v>
      </c>
      <c r="AZ22" s="32">
        <v>85.101725418599997</v>
      </c>
      <c r="BA22" s="32">
        <v>97.101725418599997</v>
      </c>
      <c r="BB22" s="32">
        <v>99.117375483000004</v>
      </c>
      <c r="BC22" s="32">
        <v>111.117375483</v>
      </c>
      <c r="BD22" s="32">
        <v>113.13302554740001</v>
      </c>
      <c r="BE22" s="32">
        <v>125.13302554740001</v>
      </c>
      <c r="BF22" s="32">
        <v>127.1486756118</v>
      </c>
      <c r="BG22" s="32">
        <v>139.1486756118</v>
      </c>
      <c r="BH22" s="32">
        <v>141.16432567620001</v>
      </c>
      <c r="BI22" s="32">
        <v>153.16432567620001</v>
      </c>
      <c r="BJ22" s="32">
        <v>155.17997574060001</v>
      </c>
      <c r="BK22" s="32">
        <v>167.17997574060001</v>
      </c>
      <c r="BL22" s="32">
        <v>169.19562580499999</v>
      </c>
      <c r="BM22" s="32">
        <v>181.19562580499999</v>
      </c>
      <c r="BN22" s="32">
        <v>183.2112758694</v>
      </c>
      <c r="BO22" s="32">
        <v>195.2112758694</v>
      </c>
      <c r="BP22" s="32">
        <v>197.2269259338</v>
      </c>
      <c r="BQ22" s="32">
        <v>209.2269259338</v>
      </c>
      <c r="BR22" s="32">
        <v>211.24257599820001</v>
      </c>
      <c r="BS22" s="32">
        <v>223.24257599820001</v>
      </c>
      <c r="BT22" s="32">
        <v>225.25822606260002</v>
      </c>
      <c r="BU22" s="32">
        <v>237.25822606260002</v>
      </c>
      <c r="BV22" s="32">
        <v>239.27387612699999</v>
      </c>
      <c r="BW22" s="32">
        <v>251.27387612699999</v>
      </c>
      <c r="BX22" s="32">
        <v>253.2895261914</v>
      </c>
      <c r="BY22" s="32">
        <v>267.30517625580001</v>
      </c>
      <c r="BZ22" s="32">
        <v>281.32082632020001</v>
      </c>
      <c r="CA22" s="32">
        <v>295.33647638460002</v>
      </c>
      <c r="CB22" s="32">
        <v>0</v>
      </c>
      <c r="CC22" s="32">
        <v>0</v>
      </c>
      <c r="CD22" s="32">
        <v>0</v>
      </c>
      <c r="CE22" s="32">
        <v>0</v>
      </c>
      <c r="CF22" s="32">
        <v>0</v>
      </c>
      <c r="CG22" s="32">
        <v>0</v>
      </c>
      <c r="CH22" s="32">
        <v>0</v>
      </c>
      <c r="CI22" s="32">
        <v>0</v>
      </c>
      <c r="CJ22" s="32">
        <v>0</v>
      </c>
      <c r="CK22" s="32">
        <v>0</v>
      </c>
      <c r="CL22" s="32">
        <v>0</v>
      </c>
      <c r="CM22" s="32">
        <v>0</v>
      </c>
      <c r="CN22" s="32">
        <v>0</v>
      </c>
      <c r="CO22" s="32">
        <v>0</v>
      </c>
      <c r="CP22" s="32">
        <v>0</v>
      </c>
      <c r="CQ22" s="32">
        <v>0</v>
      </c>
      <c r="CR22" s="32">
        <v>0</v>
      </c>
      <c r="CS22" s="32">
        <v>0</v>
      </c>
      <c r="CT22" s="32">
        <v>0</v>
      </c>
      <c r="CU22" s="32">
        <v>0</v>
      </c>
      <c r="CV22" s="32">
        <v>0</v>
      </c>
      <c r="CW22" s="32">
        <v>0</v>
      </c>
      <c r="CX22" s="32">
        <v>0</v>
      </c>
      <c r="CY22" s="32">
        <v>0</v>
      </c>
      <c r="CZ22" s="32">
        <v>0</v>
      </c>
      <c r="DA22" s="32">
        <v>0</v>
      </c>
      <c r="DB22" s="32">
        <v>0</v>
      </c>
      <c r="DC22" s="32">
        <v>0</v>
      </c>
      <c r="DD22" s="32">
        <v>0</v>
      </c>
      <c r="DE22" s="32">
        <v>0</v>
      </c>
      <c r="DF22" s="32">
        <v>0</v>
      </c>
      <c r="DG22" s="32">
        <v>0</v>
      </c>
      <c r="DH22" s="32">
        <v>0</v>
      </c>
      <c r="DI22" s="32">
        <v>0</v>
      </c>
      <c r="DJ22" s="32">
        <v>0</v>
      </c>
      <c r="DK22" s="32">
        <v>55.0547752254</v>
      </c>
      <c r="DL22" s="32">
        <v>57.070425289800006</v>
      </c>
      <c r="DM22" s="32">
        <v>69.070425289799999</v>
      </c>
      <c r="DN22" s="32">
        <v>71.086075354200005</v>
      </c>
      <c r="DO22" s="32">
        <v>83.086075354200005</v>
      </c>
      <c r="DP22" s="32">
        <v>85.101725418599997</v>
      </c>
      <c r="DQ22" s="32">
        <v>97.101725418599997</v>
      </c>
      <c r="DR22" s="32">
        <v>99.117375483000004</v>
      </c>
      <c r="DS22" s="32">
        <v>111.117375483</v>
      </c>
      <c r="DT22" s="32">
        <v>113.13302554740001</v>
      </c>
      <c r="DU22" s="32">
        <v>125.13302554740001</v>
      </c>
      <c r="DV22" s="32">
        <v>127.1486756118</v>
      </c>
      <c r="DW22" s="32">
        <v>139.1486756118</v>
      </c>
      <c r="DX22" s="32">
        <v>141.16432567620001</v>
      </c>
      <c r="DY22" s="32">
        <v>153.16432567620001</v>
      </c>
      <c r="DZ22" s="32">
        <v>155.17997574060001</v>
      </c>
      <c r="EA22" s="32">
        <v>167.17997574060001</v>
      </c>
      <c r="EB22" s="32">
        <v>169.19562580499999</v>
      </c>
      <c r="EC22" s="32">
        <v>181.19562580499999</v>
      </c>
      <c r="ED22" s="32">
        <v>183.2112758694</v>
      </c>
      <c r="EE22" s="32">
        <v>195.2112758694</v>
      </c>
      <c r="EF22" s="32">
        <v>197.2269259338</v>
      </c>
      <c r="EG22" s="32">
        <v>209.2269259338</v>
      </c>
      <c r="EH22" s="32">
        <v>211.24257599820001</v>
      </c>
      <c r="EI22" s="32">
        <v>223.24257599820001</v>
      </c>
      <c r="EJ22" s="32">
        <v>225.25822606260002</v>
      </c>
      <c r="EK22" s="32">
        <v>237.25822606260002</v>
      </c>
      <c r="EL22" s="32">
        <v>239.27387612699999</v>
      </c>
      <c r="EM22" s="32">
        <v>251.27387612699999</v>
      </c>
      <c r="EN22" s="32">
        <v>253.2895261914</v>
      </c>
      <c r="EO22" s="32">
        <v>267.30517625580001</v>
      </c>
      <c r="EP22" s="32">
        <v>281.32082632020001</v>
      </c>
      <c r="EQ22" s="32">
        <v>295.33647638460002</v>
      </c>
      <c r="ER22" s="32">
        <v>0</v>
      </c>
      <c r="ES22" s="32">
        <v>0</v>
      </c>
      <c r="ET22" s="32">
        <v>0</v>
      </c>
      <c r="EU22" s="32">
        <v>0</v>
      </c>
      <c r="EV22" s="32">
        <v>0</v>
      </c>
      <c r="EW22" s="32">
        <v>0</v>
      </c>
      <c r="EX22" s="32">
        <v>0</v>
      </c>
      <c r="EY22" s="32">
        <v>0</v>
      </c>
      <c r="EZ22" s="32">
        <v>0</v>
      </c>
      <c r="FA22" s="32">
        <v>0</v>
      </c>
      <c r="FB22" s="32">
        <v>0</v>
      </c>
      <c r="FC22" s="32">
        <v>0</v>
      </c>
      <c r="FD22" s="32">
        <v>0</v>
      </c>
      <c r="FE22" s="32">
        <v>0</v>
      </c>
      <c r="FF22" s="32">
        <v>0</v>
      </c>
      <c r="FG22" s="32">
        <v>0</v>
      </c>
      <c r="FH22" s="32">
        <v>0</v>
      </c>
      <c r="FI22" s="32">
        <v>0</v>
      </c>
      <c r="FJ22" s="32">
        <v>0</v>
      </c>
      <c r="FK22" s="32">
        <v>0</v>
      </c>
      <c r="FL22" s="32">
        <v>0</v>
      </c>
      <c r="FM22" s="32">
        <v>0</v>
      </c>
      <c r="FN22" s="32">
        <v>0</v>
      </c>
      <c r="FO22" s="32">
        <v>0</v>
      </c>
      <c r="FP22" s="32">
        <v>0</v>
      </c>
      <c r="FQ22" s="32">
        <v>0</v>
      </c>
      <c r="FR22" s="32">
        <v>0</v>
      </c>
      <c r="FS22" s="32">
        <v>0</v>
      </c>
      <c r="FT22" s="32">
        <v>0</v>
      </c>
      <c r="FU22" s="32">
        <v>0</v>
      </c>
      <c r="FV22" s="32">
        <v>0</v>
      </c>
      <c r="FW22" s="32">
        <v>0</v>
      </c>
      <c r="FX22" s="32">
        <v>0</v>
      </c>
      <c r="FY22" s="32">
        <v>0</v>
      </c>
      <c r="FZ22" s="32">
        <v>0</v>
      </c>
      <c r="GA22" s="3">
        <v>30</v>
      </c>
      <c r="GB22" s="32">
        <v>20</v>
      </c>
      <c r="GC22" s="32">
        <v>150</v>
      </c>
      <c r="GD22" s="32">
        <v>30</v>
      </c>
      <c r="GE22" s="32">
        <v>30</v>
      </c>
      <c r="GF22" s="32">
        <v>40</v>
      </c>
      <c r="GG22" s="32">
        <v>20</v>
      </c>
      <c r="GH22" s="32">
        <v>15</v>
      </c>
      <c r="GI22" s="32">
        <v>0</v>
      </c>
      <c r="GJ22" s="32">
        <v>0</v>
      </c>
      <c r="GK22" s="32">
        <v>2</v>
      </c>
      <c r="GL22" s="32">
        <v>0</v>
      </c>
      <c r="GM22" s="32">
        <v>0</v>
      </c>
      <c r="GN22" s="32">
        <v>30</v>
      </c>
      <c r="GO22" s="32">
        <v>30</v>
      </c>
      <c r="GP22" s="32">
        <v>10</v>
      </c>
      <c r="GQ22" s="32">
        <v>0.8</v>
      </c>
      <c r="GR22" s="32">
        <v>0.8</v>
      </c>
      <c r="GS22" s="32">
        <v>1</v>
      </c>
      <c r="GT22" s="32">
        <v>26</v>
      </c>
      <c r="GU22" s="32">
        <v>1.0268454372456677</v>
      </c>
      <c r="GV22" s="32">
        <v>51.049562682215743</v>
      </c>
      <c r="GW22" s="32">
        <v>1.429526995930682</v>
      </c>
      <c r="GX22" s="32">
        <v>91.396501457725947</v>
      </c>
      <c r="GY22" s="32">
        <v>3.1744804168990779</v>
      </c>
      <c r="GZ22" s="32">
        <v>2.3381924198250732</v>
      </c>
      <c r="HA22" s="32">
        <v>7.8724319348909129</v>
      </c>
      <c r="HB22" s="32">
        <v>4.1720116618075798</v>
      </c>
      <c r="HC22" s="32">
        <v>6.502453702972061</v>
      </c>
      <c r="HD22" s="32">
        <v>10.311044327573251</v>
      </c>
      <c r="HE22" s="32">
        <v>5.3278288569575425</v>
      </c>
      <c r="HF22" s="32">
        <v>13.772351615326819</v>
      </c>
      <c r="HG22" s="32">
        <v>4.333530213316255</v>
      </c>
      <c r="HH22" s="32">
        <v>18</v>
      </c>
      <c r="HI22" s="32">
        <v>3.5045305885170968</v>
      </c>
      <c r="HJ22" s="32">
        <v>13.772351615326819</v>
      </c>
      <c r="HK22" s="32">
        <v>2.8258027990289638</v>
      </c>
      <c r="HL22" s="32">
        <v>10.311044327573251</v>
      </c>
      <c r="HM22" s="32">
        <v>2.282319661320753</v>
      </c>
      <c r="HN22" s="32">
        <v>7.5394440270473329</v>
      </c>
      <c r="HO22" s="32">
        <v>1.859053991861364</v>
      </c>
      <c r="HP22" s="32">
        <v>5.3809166040570995</v>
      </c>
      <c r="HQ22" s="32">
        <v>1.5409786071196927</v>
      </c>
      <c r="HR22" s="32">
        <v>3.7588279489105929</v>
      </c>
      <c r="HS22" s="32">
        <v>1.3130663235646372</v>
      </c>
      <c r="HT22" s="32">
        <v>2.5965439519158533</v>
      </c>
      <c r="HU22" s="32">
        <v>1.1602899576650942</v>
      </c>
      <c r="HV22" s="32">
        <v>1.8174305033809166</v>
      </c>
      <c r="HW22" s="32">
        <v>1.3448534936138241</v>
      </c>
      <c r="HX22" s="32">
        <v>1.1021788129226144</v>
      </c>
      <c r="HY22" s="32">
        <v>1.0127723516153269</v>
      </c>
      <c r="HZ22" s="32">
        <v>0</v>
      </c>
      <c r="IA22" s="32">
        <v>0</v>
      </c>
      <c r="IB22" s="32">
        <v>0</v>
      </c>
      <c r="IC22" s="32">
        <v>0</v>
      </c>
      <c r="ID22" s="32">
        <v>0</v>
      </c>
      <c r="IE22" s="32">
        <v>0</v>
      </c>
      <c r="IF22" s="32">
        <v>0</v>
      </c>
      <c r="IG22" s="32">
        <v>0</v>
      </c>
      <c r="IH22" s="32">
        <v>0</v>
      </c>
      <c r="II22" s="32">
        <v>0</v>
      </c>
      <c r="IJ22" s="32">
        <v>0</v>
      </c>
      <c r="IK22" s="32">
        <v>0</v>
      </c>
      <c r="IL22" s="32">
        <v>0</v>
      </c>
      <c r="IM22" s="32">
        <v>0</v>
      </c>
      <c r="IN22" s="32">
        <v>0</v>
      </c>
      <c r="IO22" s="32">
        <v>0</v>
      </c>
      <c r="IP22" s="32">
        <v>0</v>
      </c>
      <c r="IQ22" s="32">
        <v>0</v>
      </c>
      <c r="IR22" s="32">
        <v>0</v>
      </c>
      <c r="IS22" s="32">
        <v>0</v>
      </c>
      <c r="IT22" s="32">
        <v>0</v>
      </c>
      <c r="IU22" s="32">
        <v>0</v>
      </c>
      <c r="IV22" s="32">
        <v>0</v>
      </c>
      <c r="IW22" s="32">
        <v>0</v>
      </c>
      <c r="IX22" s="32">
        <v>0</v>
      </c>
      <c r="IY22" s="32">
        <v>0</v>
      </c>
      <c r="IZ22" s="32">
        <v>0</v>
      </c>
      <c r="JA22" s="32">
        <v>0</v>
      </c>
      <c r="JB22" s="32">
        <v>0</v>
      </c>
      <c r="JC22" s="32">
        <v>0</v>
      </c>
      <c r="JD22" s="32">
        <v>0</v>
      </c>
      <c r="JE22" s="32">
        <v>0</v>
      </c>
      <c r="JF22" s="32">
        <v>0</v>
      </c>
      <c r="JG22" s="32">
        <v>0</v>
      </c>
      <c r="JH22" s="32">
        <v>0</v>
      </c>
      <c r="JI22" s="32">
        <v>1</v>
      </c>
      <c r="JJ22" s="32">
        <v>26</v>
      </c>
      <c r="JK22" s="32">
        <v>1.0268454372456677</v>
      </c>
      <c r="JL22" s="32">
        <v>51.049562682215743</v>
      </c>
      <c r="JM22" s="32">
        <v>1.429526995930682</v>
      </c>
      <c r="JN22" s="32">
        <v>91.396501457725947</v>
      </c>
      <c r="JO22" s="32">
        <v>3.1744804168990779</v>
      </c>
      <c r="JP22" s="32">
        <v>2.3381924198250732</v>
      </c>
      <c r="JQ22" s="32">
        <v>7.8724319348909129</v>
      </c>
      <c r="JR22" s="32">
        <v>4.1720116618075798</v>
      </c>
      <c r="JS22" s="32">
        <v>6.502453702972061</v>
      </c>
      <c r="JT22" s="32">
        <v>10.311044327573251</v>
      </c>
      <c r="JU22" s="32">
        <v>5.3278288569575425</v>
      </c>
      <c r="JV22" s="32">
        <v>13.772351615326819</v>
      </c>
      <c r="JW22" s="32">
        <v>4.333530213316255</v>
      </c>
      <c r="JX22" s="32">
        <v>18</v>
      </c>
      <c r="JY22" s="32">
        <v>3.5045305885170968</v>
      </c>
      <c r="JZ22" s="32">
        <v>13.772351615326819</v>
      </c>
      <c r="KA22" s="32">
        <v>2.8258027990289638</v>
      </c>
      <c r="KB22" s="32">
        <v>10.311044327573251</v>
      </c>
      <c r="KC22" s="32">
        <v>2.282319661320753</v>
      </c>
      <c r="KD22" s="32">
        <v>7.5394440270473329</v>
      </c>
      <c r="KE22" s="32">
        <v>1.859053991861364</v>
      </c>
      <c r="KF22" s="32">
        <v>5.3809166040570995</v>
      </c>
      <c r="KG22" s="32">
        <v>1.5409786071196927</v>
      </c>
      <c r="KH22" s="32">
        <v>3.7588279489105929</v>
      </c>
      <c r="KI22" s="32">
        <v>1.3130663235646372</v>
      </c>
      <c r="KJ22" s="32">
        <v>2.5965439519158533</v>
      </c>
      <c r="KK22" s="32">
        <v>1.1602899576650942</v>
      </c>
      <c r="KL22" s="32">
        <v>1.8174305033809166</v>
      </c>
      <c r="KM22" s="32">
        <v>1.3448534936138241</v>
      </c>
      <c r="KN22" s="32">
        <v>1.1021788129226144</v>
      </c>
      <c r="KO22" s="32">
        <v>1.0127723516153269</v>
      </c>
      <c r="KP22" s="32">
        <v>0</v>
      </c>
      <c r="KQ22" s="32">
        <v>0</v>
      </c>
      <c r="KR22" s="32">
        <v>0</v>
      </c>
      <c r="KS22" s="32">
        <v>0</v>
      </c>
      <c r="KT22" s="32">
        <v>0</v>
      </c>
      <c r="KU22" s="32">
        <v>0</v>
      </c>
      <c r="KV22" s="32">
        <v>0</v>
      </c>
      <c r="KW22" s="32">
        <v>0</v>
      </c>
      <c r="KX22" s="32">
        <v>0</v>
      </c>
      <c r="KY22" s="32">
        <v>0</v>
      </c>
      <c r="KZ22" s="32">
        <v>0</v>
      </c>
      <c r="LA22" s="32">
        <v>0</v>
      </c>
      <c r="LB22" s="32">
        <v>0</v>
      </c>
      <c r="LC22" s="32">
        <v>0</v>
      </c>
      <c r="LD22" s="32">
        <v>0</v>
      </c>
      <c r="LE22" s="32">
        <v>0</v>
      </c>
      <c r="LF22" s="32">
        <v>0</v>
      </c>
      <c r="LG22" s="32">
        <v>0</v>
      </c>
      <c r="LH22" s="32">
        <v>0</v>
      </c>
      <c r="LI22" s="32">
        <v>0</v>
      </c>
      <c r="LJ22" s="32">
        <v>0</v>
      </c>
      <c r="LK22" s="32">
        <v>0</v>
      </c>
      <c r="LL22" s="32">
        <v>0</v>
      </c>
      <c r="LM22" s="32">
        <v>0</v>
      </c>
      <c r="LN22" s="32">
        <v>0</v>
      </c>
      <c r="LO22" s="32">
        <v>0</v>
      </c>
      <c r="LP22" s="32">
        <v>0</v>
      </c>
      <c r="LQ22" s="32">
        <v>0</v>
      </c>
      <c r="LR22" s="32">
        <v>0</v>
      </c>
      <c r="LS22" s="32">
        <v>0</v>
      </c>
      <c r="LT22" s="32">
        <v>0</v>
      </c>
      <c r="LU22" s="32">
        <v>0</v>
      </c>
      <c r="LV22" s="32">
        <v>0</v>
      </c>
      <c r="LW22" s="32">
        <v>0</v>
      </c>
      <c r="LX22" s="32">
        <v>0</v>
      </c>
    </row>
    <row r="23" spans="1:336" s="32" customFormat="1" ht="14.25" x14ac:dyDescent="0.2">
      <c r="A23" s="5">
        <v>17</v>
      </c>
      <c r="B23" s="27" t="s">
        <v>665</v>
      </c>
      <c r="C23" s="27" t="s">
        <v>460</v>
      </c>
      <c r="D23" s="27" t="s">
        <v>461</v>
      </c>
      <c r="E23" s="27" t="s">
        <v>460</v>
      </c>
      <c r="F23" s="28" t="s">
        <v>462</v>
      </c>
      <c r="G23" s="28" t="s">
        <v>463</v>
      </c>
      <c r="H23" s="29">
        <v>-1</v>
      </c>
      <c r="I23" s="30">
        <v>6.28</v>
      </c>
      <c r="J23" s="31">
        <v>16.142695961748487</v>
      </c>
      <c r="K23" s="29" t="s">
        <v>464</v>
      </c>
      <c r="L23" s="16">
        <v>0</v>
      </c>
      <c r="M23" s="16">
        <v>2</v>
      </c>
      <c r="N23" s="27" t="s">
        <v>460</v>
      </c>
      <c r="O23" s="27">
        <v>0</v>
      </c>
      <c r="P23" s="27">
        <v>0</v>
      </c>
      <c r="Q23" s="27">
        <v>0</v>
      </c>
      <c r="R23" s="27">
        <v>0</v>
      </c>
      <c r="S23" s="27">
        <v>0</v>
      </c>
      <c r="T23" s="27">
        <v>25</v>
      </c>
      <c r="U23" s="27">
        <v>0</v>
      </c>
      <c r="V23" s="27">
        <v>25</v>
      </c>
      <c r="W23" s="27">
        <v>1</v>
      </c>
      <c r="X23" s="27" t="s">
        <v>460</v>
      </c>
      <c r="Y23" s="17">
        <v>674.38312262620002</v>
      </c>
      <c r="Z23" s="17">
        <v>656.37256262619997</v>
      </c>
      <c r="AA23" s="17">
        <v>676.3987626262001</v>
      </c>
      <c r="AB23" s="17">
        <v>658.38820262620004</v>
      </c>
      <c r="AC23" s="17">
        <v>1025.7819426262001</v>
      </c>
      <c r="AD23" s="17">
        <v>871.78834816140011</v>
      </c>
      <c r="AE23" s="17">
        <v>945.82512759380018</v>
      </c>
      <c r="AF23" s="17">
        <v>597.44952604820003</v>
      </c>
      <c r="AG23" s="17">
        <v>523.41274661579996</v>
      </c>
      <c r="AH23" s="17">
        <v>409.44093642279995</v>
      </c>
      <c r="AI23" s="17">
        <v>427.45150110679992</v>
      </c>
      <c r="AJ23" s="17">
        <v>579.43896136420005</v>
      </c>
      <c r="AK23" s="17">
        <v>0</v>
      </c>
      <c r="AL23" s="17">
        <v>0</v>
      </c>
      <c r="AM23" s="17">
        <v>0</v>
      </c>
      <c r="AN23" s="17">
        <v>0</v>
      </c>
      <c r="AO23" s="17">
        <v>0</v>
      </c>
      <c r="AP23" s="17">
        <v>252.97831503820004</v>
      </c>
      <c r="AQ23" s="17">
        <v>173.021500038</v>
      </c>
      <c r="AR23" s="17">
        <v>155.010935354</v>
      </c>
      <c r="AS23" s="32">
        <v>351.39907160999996</v>
      </c>
      <c r="AT23" s="32">
        <v>349.38342154559996</v>
      </c>
      <c r="AU23" s="32">
        <v>55.0547752254</v>
      </c>
      <c r="AV23" s="32">
        <v>57.070425289800006</v>
      </c>
      <c r="AW23" s="32">
        <v>69.070425289799999</v>
      </c>
      <c r="AX23" s="32">
        <v>71.086075354200005</v>
      </c>
      <c r="AY23" s="32">
        <v>83.086075354200005</v>
      </c>
      <c r="AZ23" s="32">
        <v>85.101725418599997</v>
      </c>
      <c r="BA23" s="32">
        <v>97.101725418599997</v>
      </c>
      <c r="BB23" s="32">
        <v>99.117375483000004</v>
      </c>
      <c r="BC23" s="32">
        <v>111.117375483</v>
      </c>
      <c r="BD23" s="32">
        <v>113.13302554740001</v>
      </c>
      <c r="BE23" s="32">
        <v>125.13302554740001</v>
      </c>
      <c r="BF23" s="32">
        <v>127.1486756118</v>
      </c>
      <c r="BG23" s="32">
        <v>139.1486756118</v>
      </c>
      <c r="BH23" s="32">
        <v>141.16432567620001</v>
      </c>
      <c r="BI23" s="32">
        <v>153.16432567620001</v>
      </c>
      <c r="BJ23" s="32">
        <v>155.17997574060001</v>
      </c>
      <c r="BK23" s="32">
        <v>167.17997574060001</v>
      </c>
      <c r="BL23" s="32">
        <v>169.19562580499999</v>
      </c>
      <c r="BM23" s="32">
        <v>181.19562580499999</v>
      </c>
      <c r="BN23" s="32">
        <v>183.2112758694</v>
      </c>
      <c r="BO23" s="32">
        <v>195.2112758694</v>
      </c>
      <c r="BP23" s="32">
        <v>197.2269259338</v>
      </c>
      <c r="BQ23" s="32">
        <v>209.2269259338</v>
      </c>
      <c r="BR23" s="32">
        <v>211.24257599820001</v>
      </c>
      <c r="BS23" s="32">
        <v>223.24257599820001</v>
      </c>
      <c r="BT23" s="32">
        <v>225.25822606260002</v>
      </c>
      <c r="BU23" s="32">
        <v>237.25822606260002</v>
      </c>
      <c r="BV23" s="32">
        <v>239.27387612699999</v>
      </c>
      <c r="BW23" s="32">
        <v>251.27387612699999</v>
      </c>
      <c r="BX23" s="32">
        <v>253.2895261914</v>
      </c>
      <c r="BY23" s="32">
        <v>267.30517625580001</v>
      </c>
      <c r="BZ23" s="32">
        <v>281.32082632020001</v>
      </c>
      <c r="CA23" s="32">
        <v>295.33647638460002</v>
      </c>
      <c r="CB23" s="32">
        <v>0</v>
      </c>
      <c r="CC23" s="32">
        <v>0</v>
      </c>
      <c r="CD23" s="32">
        <v>0</v>
      </c>
      <c r="CE23" s="32">
        <v>0</v>
      </c>
      <c r="CF23" s="32">
        <v>0</v>
      </c>
      <c r="CG23" s="32">
        <v>0</v>
      </c>
      <c r="CH23" s="32">
        <v>0</v>
      </c>
      <c r="CI23" s="32">
        <v>0</v>
      </c>
      <c r="CJ23" s="32">
        <v>0</v>
      </c>
      <c r="CK23" s="32">
        <v>0</v>
      </c>
      <c r="CL23" s="32">
        <v>0</v>
      </c>
      <c r="CM23" s="32">
        <v>0</v>
      </c>
      <c r="CN23" s="32">
        <v>0</v>
      </c>
      <c r="CO23" s="32">
        <v>0</v>
      </c>
      <c r="CP23" s="32">
        <v>0</v>
      </c>
      <c r="CQ23" s="32">
        <v>0</v>
      </c>
      <c r="CR23" s="32">
        <v>0</v>
      </c>
      <c r="CS23" s="32">
        <v>0</v>
      </c>
      <c r="CT23" s="32">
        <v>0</v>
      </c>
      <c r="CU23" s="32">
        <v>0</v>
      </c>
      <c r="CV23" s="32">
        <v>0</v>
      </c>
      <c r="CW23" s="32">
        <v>0</v>
      </c>
      <c r="CX23" s="32">
        <v>0</v>
      </c>
      <c r="CY23" s="32">
        <v>0</v>
      </c>
      <c r="CZ23" s="32">
        <v>0</v>
      </c>
      <c r="DA23" s="32">
        <v>0</v>
      </c>
      <c r="DB23" s="32">
        <v>0</v>
      </c>
      <c r="DC23" s="32">
        <v>0</v>
      </c>
      <c r="DD23" s="32">
        <v>0</v>
      </c>
      <c r="DE23" s="32">
        <v>0</v>
      </c>
      <c r="DF23" s="32">
        <v>0</v>
      </c>
      <c r="DG23" s="32">
        <v>0</v>
      </c>
      <c r="DH23" s="32">
        <v>0</v>
      </c>
      <c r="DI23" s="32">
        <v>0</v>
      </c>
      <c r="DJ23" s="32">
        <v>0</v>
      </c>
      <c r="DK23" s="32">
        <v>55.0547752254</v>
      </c>
      <c r="DL23" s="32">
        <v>57.070425289800006</v>
      </c>
      <c r="DM23" s="32">
        <v>69.070425289799999</v>
      </c>
      <c r="DN23" s="32">
        <v>71.086075354200005</v>
      </c>
      <c r="DO23" s="32">
        <v>81.070425289799999</v>
      </c>
      <c r="DP23" s="32">
        <v>83.086075354200005</v>
      </c>
      <c r="DQ23" s="32">
        <v>85.101725418599997</v>
      </c>
      <c r="DR23" s="32">
        <v>95.086075354200005</v>
      </c>
      <c r="DS23" s="32">
        <v>97.101725418599997</v>
      </c>
      <c r="DT23" s="32">
        <v>99.117375483000004</v>
      </c>
      <c r="DU23" s="32">
        <v>109.1017254186</v>
      </c>
      <c r="DV23" s="32">
        <v>111.117375483</v>
      </c>
      <c r="DW23" s="32">
        <v>113.13302554740001</v>
      </c>
      <c r="DX23" s="32">
        <v>123.117375483</v>
      </c>
      <c r="DY23" s="32">
        <v>125.13302554740001</v>
      </c>
      <c r="DZ23" s="32">
        <v>127.1486756118</v>
      </c>
      <c r="EA23" s="32">
        <v>137.1330255474</v>
      </c>
      <c r="EB23" s="32">
        <v>139.1486756118</v>
      </c>
      <c r="EC23" s="32">
        <v>141.16432567620001</v>
      </c>
      <c r="ED23" s="32">
        <v>151.1486756118</v>
      </c>
      <c r="EE23" s="32">
        <v>153.16432567620001</v>
      </c>
      <c r="EF23" s="32">
        <v>155.17997574060001</v>
      </c>
      <c r="EG23" s="32">
        <v>165.16432567620001</v>
      </c>
      <c r="EH23" s="32">
        <v>167.17997574060001</v>
      </c>
      <c r="EI23" s="32">
        <v>169.19562580499999</v>
      </c>
      <c r="EJ23" s="32">
        <v>179.17997574060001</v>
      </c>
      <c r="EK23" s="32">
        <v>181.19562580499999</v>
      </c>
      <c r="EL23" s="32">
        <v>183.2112758694</v>
      </c>
      <c r="EM23" s="32">
        <v>193.19562580499999</v>
      </c>
      <c r="EN23" s="32">
        <v>195.2112758694</v>
      </c>
      <c r="EO23" s="32">
        <v>197.2269259338</v>
      </c>
      <c r="EP23" s="32">
        <v>207.2112758694</v>
      </c>
      <c r="EQ23" s="32">
        <v>209.2269259338</v>
      </c>
      <c r="ER23" s="32">
        <v>211.24257599820001</v>
      </c>
      <c r="ES23" s="32">
        <v>221.2269259338</v>
      </c>
      <c r="ET23" s="32">
        <v>223.24257599820001</v>
      </c>
      <c r="EU23" s="32">
        <v>225.25822606260002</v>
      </c>
      <c r="EV23" s="32">
        <v>235.24257599820001</v>
      </c>
      <c r="EW23" s="32">
        <v>237.25822606260002</v>
      </c>
      <c r="EX23" s="32">
        <v>239.27387612699999</v>
      </c>
      <c r="EY23" s="32">
        <v>249.25822606260002</v>
      </c>
      <c r="EZ23" s="32">
        <v>251.27387612699999</v>
      </c>
      <c r="FA23" s="32">
        <v>253.2895261914</v>
      </c>
      <c r="FB23" s="32">
        <v>265.2895261914</v>
      </c>
      <c r="FC23" s="32">
        <v>267.30517625580001</v>
      </c>
      <c r="FD23" s="32">
        <v>279.30517625580001</v>
      </c>
      <c r="FE23" s="32">
        <v>281.32082632020001</v>
      </c>
      <c r="FF23" s="32">
        <v>293.32082632020001</v>
      </c>
      <c r="FG23" s="32">
        <v>295.33647638460002</v>
      </c>
      <c r="FH23" s="32">
        <v>0</v>
      </c>
      <c r="FI23" s="32">
        <v>0</v>
      </c>
      <c r="FJ23" s="32">
        <v>0</v>
      </c>
      <c r="FK23" s="32">
        <v>0</v>
      </c>
      <c r="FL23" s="32">
        <v>0</v>
      </c>
      <c r="FM23" s="32">
        <v>0</v>
      </c>
      <c r="FN23" s="32">
        <v>0</v>
      </c>
      <c r="FO23" s="32">
        <v>0</v>
      </c>
      <c r="FP23" s="32">
        <v>0</v>
      </c>
      <c r="FQ23" s="32">
        <v>0</v>
      </c>
      <c r="FR23" s="32">
        <v>0</v>
      </c>
      <c r="FS23" s="32">
        <v>0</v>
      </c>
      <c r="FT23" s="32">
        <v>0</v>
      </c>
      <c r="FU23" s="32">
        <v>0</v>
      </c>
      <c r="FV23" s="32">
        <v>0</v>
      </c>
      <c r="FW23" s="32">
        <v>0</v>
      </c>
      <c r="FX23" s="32">
        <v>0</v>
      </c>
      <c r="FY23" s="32">
        <v>0</v>
      </c>
      <c r="FZ23" s="32">
        <v>0</v>
      </c>
      <c r="GA23" s="3">
        <v>27</v>
      </c>
      <c r="GB23" s="32">
        <v>18</v>
      </c>
      <c r="GC23" s="32">
        <v>135</v>
      </c>
      <c r="GD23" s="32">
        <v>36</v>
      </c>
      <c r="GE23" s="32">
        <v>36</v>
      </c>
      <c r="GF23" s="32">
        <v>48</v>
      </c>
      <c r="GG23" s="32">
        <v>24</v>
      </c>
      <c r="GH23" s="32">
        <v>18</v>
      </c>
      <c r="GI23" s="32">
        <v>0</v>
      </c>
      <c r="GJ23" s="32">
        <v>0</v>
      </c>
      <c r="GK23" s="32">
        <v>3.6</v>
      </c>
      <c r="GL23" s="32">
        <v>0</v>
      </c>
      <c r="GM23" s="32">
        <v>0</v>
      </c>
      <c r="GN23" s="32">
        <v>33</v>
      </c>
      <c r="GO23" s="32">
        <v>30</v>
      </c>
      <c r="GP23" s="32">
        <v>10</v>
      </c>
      <c r="GQ23" s="32">
        <v>1.04</v>
      </c>
      <c r="GR23" s="32">
        <v>1.8399999999999999</v>
      </c>
      <c r="GS23" s="32">
        <v>1</v>
      </c>
      <c r="GT23" s="32">
        <v>26</v>
      </c>
      <c r="GU23" s="32">
        <v>1.0268454372456677</v>
      </c>
      <c r="GV23" s="32">
        <v>51.049562682215743</v>
      </c>
      <c r="GW23" s="32">
        <v>1.429526995930682</v>
      </c>
      <c r="GX23" s="32">
        <v>91.396501457725947</v>
      </c>
      <c r="GY23" s="32">
        <v>3.1744804168990779</v>
      </c>
      <c r="GZ23" s="32">
        <v>2.3381924198250732</v>
      </c>
      <c r="HA23" s="32">
        <v>7.8724319348909129</v>
      </c>
      <c r="HB23" s="32">
        <v>4.1720116618075798</v>
      </c>
      <c r="HC23" s="32">
        <v>6.502453702972061</v>
      </c>
      <c r="HD23" s="32">
        <v>10.311044327573251</v>
      </c>
      <c r="HE23" s="32">
        <v>5.3278288569575425</v>
      </c>
      <c r="HF23" s="32">
        <v>13.772351615326819</v>
      </c>
      <c r="HG23" s="32">
        <v>4.333530213316255</v>
      </c>
      <c r="HH23" s="32">
        <v>18</v>
      </c>
      <c r="HI23" s="32">
        <v>3.5045305885170968</v>
      </c>
      <c r="HJ23" s="32">
        <v>13.772351615326819</v>
      </c>
      <c r="HK23" s="32">
        <v>2.8258027990289638</v>
      </c>
      <c r="HL23" s="32">
        <v>10.311044327573251</v>
      </c>
      <c r="HM23" s="32">
        <v>2.282319661320753</v>
      </c>
      <c r="HN23" s="32">
        <v>7.5394440270473329</v>
      </c>
      <c r="HO23" s="32">
        <v>1.859053991861364</v>
      </c>
      <c r="HP23" s="32">
        <v>5.3809166040570995</v>
      </c>
      <c r="HQ23" s="32">
        <v>1.5409786071196927</v>
      </c>
      <c r="HR23" s="32">
        <v>3.7588279489105929</v>
      </c>
      <c r="HS23" s="32">
        <v>1.3130663235646372</v>
      </c>
      <c r="HT23" s="32">
        <v>2.5965439519158533</v>
      </c>
      <c r="HU23" s="32">
        <v>1.1602899576650942</v>
      </c>
      <c r="HV23" s="32">
        <v>1.8174305033809166</v>
      </c>
      <c r="HW23" s="32">
        <v>1.3448534936138241</v>
      </c>
      <c r="HX23" s="32">
        <v>1.1021788129226144</v>
      </c>
      <c r="HY23" s="32">
        <v>1.0127723516153269</v>
      </c>
      <c r="HZ23" s="32">
        <v>0</v>
      </c>
      <c r="IA23" s="32">
        <v>0</v>
      </c>
      <c r="IB23" s="32">
        <v>0</v>
      </c>
      <c r="IC23" s="32">
        <v>0</v>
      </c>
      <c r="ID23" s="32">
        <v>0</v>
      </c>
      <c r="IE23" s="32">
        <v>0</v>
      </c>
      <c r="IF23" s="32">
        <v>0</v>
      </c>
      <c r="IG23" s="32">
        <v>0</v>
      </c>
      <c r="IH23" s="32">
        <v>0</v>
      </c>
      <c r="II23" s="32">
        <v>0</v>
      </c>
      <c r="IJ23" s="32">
        <v>0</v>
      </c>
      <c r="IK23" s="32">
        <v>0</v>
      </c>
      <c r="IL23" s="32">
        <v>0</v>
      </c>
      <c r="IM23" s="32">
        <v>0</v>
      </c>
      <c r="IN23" s="32">
        <v>0</v>
      </c>
      <c r="IO23" s="32">
        <v>0</v>
      </c>
      <c r="IP23" s="32">
        <v>0</v>
      </c>
      <c r="IQ23" s="32">
        <v>0</v>
      </c>
      <c r="IR23" s="32">
        <v>0</v>
      </c>
      <c r="IS23" s="32">
        <v>0</v>
      </c>
      <c r="IT23" s="32">
        <v>0</v>
      </c>
      <c r="IU23" s="32">
        <v>0</v>
      </c>
      <c r="IV23" s="32">
        <v>0</v>
      </c>
      <c r="IW23" s="32">
        <v>0</v>
      </c>
      <c r="IX23" s="32">
        <v>0</v>
      </c>
      <c r="IY23" s="32">
        <v>0</v>
      </c>
      <c r="IZ23" s="32">
        <v>0</v>
      </c>
      <c r="JA23" s="32">
        <v>0</v>
      </c>
      <c r="JB23" s="32">
        <v>0</v>
      </c>
      <c r="JC23" s="32">
        <v>0</v>
      </c>
      <c r="JD23" s="32">
        <v>0</v>
      </c>
      <c r="JE23" s="32">
        <v>0</v>
      </c>
      <c r="JF23" s="32">
        <v>0</v>
      </c>
      <c r="JG23" s="32">
        <v>0</v>
      </c>
      <c r="JH23" s="32">
        <v>0</v>
      </c>
      <c r="JI23" s="32">
        <v>1</v>
      </c>
      <c r="JJ23" s="32">
        <v>4.125</v>
      </c>
      <c r="JK23" s="32">
        <v>1.0759303628813179</v>
      </c>
      <c r="JL23" s="32">
        <v>7.2623906705539358</v>
      </c>
      <c r="JM23" s="32">
        <v>1.1269551020408164</v>
      </c>
      <c r="JN23" s="32">
        <v>2.2148858061010874</v>
      </c>
      <c r="JO23" s="32">
        <v>12.349125364431487</v>
      </c>
      <c r="JP23" s="32">
        <v>1.534987755102041</v>
      </c>
      <c r="JQ23" s="32">
        <v>12.004907405944122</v>
      </c>
      <c r="JR23" s="32">
        <v>1.3345481049562684</v>
      </c>
      <c r="JS23" s="32">
        <v>7.5306122448979584</v>
      </c>
      <c r="JT23" s="32">
        <v>14.744863869781826</v>
      </c>
      <c r="JU23" s="32">
        <v>2.6348610067618332</v>
      </c>
      <c r="JV23" s="32">
        <v>5.8552898877168529</v>
      </c>
      <c r="JW23" s="32">
        <v>12.004907405944122</v>
      </c>
      <c r="JX23" s="32">
        <v>3.3277610818933128</v>
      </c>
      <c r="JY23" s="32">
        <v>4.5250618364796988</v>
      </c>
      <c r="JZ23" s="32">
        <v>9.655657713915085</v>
      </c>
      <c r="KA23" s="32">
        <v>4.1930879038317048</v>
      </c>
      <c r="KB23" s="32">
        <v>3.4889289326726107</v>
      </c>
      <c r="KC23" s="32">
        <v>7.6670604266325109</v>
      </c>
      <c r="KD23" s="32">
        <v>5.25</v>
      </c>
      <c r="KE23" s="32">
        <v>2.6999719504628175</v>
      </c>
      <c r="KF23" s="32">
        <v>6.0090611770341935</v>
      </c>
      <c r="KG23" s="32">
        <v>4.1930879038317048</v>
      </c>
      <c r="KH23" s="32">
        <v>2.1153515966986536</v>
      </c>
      <c r="KI23" s="32">
        <v>4.6516055980579276</v>
      </c>
      <c r="KJ23" s="32">
        <v>3.3277610818933128</v>
      </c>
      <c r="KK23" s="32">
        <v>1.6963085109095699</v>
      </c>
      <c r="KL23" s="32">
        <v>3.5646393226415065</v>
      </c>
      <c r="KM23" s="32">
        <v>2.6348610067618332</v>
      </c>
      <c r="KN23" s="32">
        <v>1.4081632653061225</v>
      </c>
      <c r="KO23" s="32">
        <v>2.718107983722728</v>
      </c>
      <c r="KP23" s="32">
        <v>2.0952291510142746</v>
      </c>
      <c r="KQ23" s="32">
        <v>1.2203163647799811</v>
      </c>
      <c r="KR23" s="32">
        <v>2.0819572142393854</v>
      </c>
      <c r="KS23" s="32">
        <v>1.6897069872276482</v>
      </c>
      <c r="KT23" s="32">
        <v>1.1062482469039261</v>
      </c>
      <c r="KU23" s="32">
        <v>1.6261326471292741</v>
      </c>
      <c r="KV23" s="32">
        <v>1.3991359879789633</v>
      </c>
      <c r="KW23" s="32">
        <v>1.0435192819318482</v>
      </c>
      <c r="KX23" s="32">
        <v>1.3205799153301883</v>
      </c>
      <c r="KY23" s="32">
        <v>1.2043576258452291</v>
      </c>
      <c r="KZ23" s="32">
        <v>1.1352446517799233</v>
      </c>
      <c r="LA23" s="32">
        <v>1.086213373403456</v>
      </c>
      <c r="LB23" s="32">
        <v>1.0400724894162736</v>
      </c>
      <c r="LC23" s="32">
        <v>1.0255447032306537</v>
      </c>
      <c r="LD23" s="32">
        <v>1.0050090611770341</v>
      </c>
      <c r="LE23" s="32">
        <v>1.0031930879038318</v>
      </c>
      <c r="LF23" s="32">
        <v>0</v>
      </c>
      <c r="LG23" s="32">
        <v>0</v>
      </c>
      <c r="LH23" s="32">
        <v>0</v>
      </c>
      <c r="LI23" s="32">
        <v>0</v>
      </c>
      <c r="LJ23" s="32">
        <v>0</v>
      </c>
      <c r="LK23" s="32">
        <v>0</v>
      </c>
      <c r="LL23" s="32">
        <v>0</v>
      </c>
      <c r="LM23" s="32">
        <v>0</v>
      </c>
      <c r="LN23" s="32">
        <v>0</v>
      </c>
      <c r="LO23" s="32">
        <v>0</v>
      </c>
      <c r="LP23" s="32">
        <v>0</v>
      </c>
      <c r="LQ23" s="32">
        <v>0</v>
      </c>
      <c r="LR23" s="32">
        <v>0</v>
      </c>
      <c r="LS23" s="32">
        <v>0</v>
      </c>
      <c r="LT23" s="32">
        <v>0</v>
      </c>
      <c r="LU23" s="32">
        <v>0</v>
      </c>
      <c r="LV23" s="32">
        <v>0</v>
      </c>
      <c r="LW23" s="32">
        <v>0</v>
      </c>
      <c r="LX23" s="32">
        <v>0</v>
      </c>
    </row>
    <row r="24" spans="1:336" s="32" customFormat="1" ht="14.25" x14ac:dyDescent="0.2">
      <c r="A24" s="5">
        <v>18</v>
      </c>
      <c r="B24" s="27" t="s">
        <v>666</v>
      </c>
      <c r="C24" s="27" t="s">
        <v>465</v>
      </c>
      <c r="D24" s="27" t="s">
        <v>466</v>
      </c>
      <c r="E24" s="27" t="s">
        <v>465</v>
      </c>
      <c r="F24" s="28" t="s">
        <v>467</v>
      </c>
      <c r="G24" s="28" t="s">
        <v>468</v>
      </c>
      <c r="H24" s="29">
        <v>-1</v>
      </c>
      <c r="I24" s="30">
        <v>5.38</v>
      </c>
      <c r="J24" s="31">
        <v>15.737116465702805</v>
      </c>
      <c r="K24" s="29" t="s">
        <v>469</v>
      </c>
      <c r="L24" s="16">
        <v>0</v>
      </c>
      <c r="M24" s="16">
        <v>2</v>
      </c>
      <c r="N24" s="27" t="s">
        <v>465</v>
      </c>
      <c r="O24" s="27">
        <v>0</v>
      </c>
      <c r="P24" s="27">
        <v>0</v>
      </c>
      <c r="Q24" s="27">
        <v>0</v>
      </c>
      <c r="R24" s="27">
        <v>0</v>
      </c>
      <c r="S24" s="27">
        <v>0</v>
      </c>
      <c r="T24" s="27">
        <v>25</v>
      </c>
      <c r="U24" s="27">
        <v>0</v>
      </c>
      <c r="V24" s="27">
        <v>25</v>
      </c>
      <c r="W24" s="27">
        <v>2</v>
      </c>
      <c r="X24" s="27" t="s">
        <v>465</v>
      </c>
      <c r="Y24" s="17">
        <v>672.36747256180001</v>
      </c>
      <c r="Z24" s="17">
        <v>654.35691256179996</v>
      </c>
      <c r="AA24" s="17">
        <v>676.39875256179994</v>
      </c>
      <c r="AB24" s="17">
        <v>658.38819256179988</v>
      </c>
      <c r="AC24" s="17">
        <v>1023.7662925618</v>
      </c>
      <c r="AD24" s="17">
        <v>869.77269809699999</v>
      </c>
      <c r="AE24" s="17">
        <v>943.80947752940006</v>
      </c>
      <c r="AF24" s="17">
        <v>597.44952604820003</v>
      </c>
      <c r="AG24" s="17">
        <v>523.41274661579996</v>
      </c>
      <c r="AH24" s="17">
        <v>409.44093642279995</v>
      </c>
      <c r="AI24" s="17">
        <v>427.45150110679992</v>
      </c>
      <c r="AJ24" s="17">
        <v>579.43896136420005</v>
      </c>
      <c r="AK24" s="17">
        <v>0</v>
      </c>
      <c r="AL24" s="17">
        <v>0</v>
      </c>
      <c r="AM24" s="17">
        <v>0</v>
      </c>
      <c r="AN24" s="17">
        <v>0</v>
      </c>
      <c r="AO24" s="17">
        <v>0</v>
      </c>
      <c r="AP24" s="17">
        <v>252.97831503820004</v>
      </c>
      <c r="AQ24" s="17">
        <v>173.021500038</v>
      </c>
      <c r="AR24" s="17">
        <v>155.010935354</v>
      </c>
      <c r="AS24" s="32">
        <v>351.39907160999996</v>
      </c>
      <c r="AT24" s="32">
        <v>347.36777148120001</v>
      </c>
      <c r="AU24" s="32">
        <v>55.0547752254</v>
      </c>
      <c r="AV24" s="32">
        <v>57.070425289800006</v>
      </c>
      <c r="AW24" s="32">
        <v>69.070425289799999</v>
      </c>
      <c r="AX24" s="32">
        <v>71.086075354200005</v>
      </c>
      <c r="AY24" s="32">
        <v>83.086075354200005</v>
      </c>
      <c r="AZ24" s="32">
        <v>85.101725418599997</v>
      </c>
      <c r="BA24" s="32">
        <v>97.101725418599997</v>
      </c>
      <c r="BB24" s="32">
        <v>99.117375483000004</v>
      </c>
      <c r="BC24" s="32">
        <v>111.117375483</v>
      </c>
      <c r="BD24" s="32">
        <v>113.13302554740001</v>
      </c>
      <c r="BE24" s="32">
        <v>125.13302554740001</v>
      </c>
      <c r="BF24" s="32">
        <v>127.1486756118</v>
      </c>
      <c r="BG24" s="32">
        <v>139.1486756118</v>
      </c>
      <c r="BH24" s="32">
        <v>141.16432567620001</v>
      </c>
      <c r="BI24" s="32">
        <v>153.16432567620001</v>
      </c>
      <c r="BJ24" s="32">
        <v>155.17997574060001</v>
      </c>
      <c r="BK24" s="32">
        <v>167.17997574060001</v>
      </c>
      <c r="BL24" s="32">
        <v>169.19562580499999</v>
      </c>
      <c r="BM24" s="32">
        <v>181.19562580499999</v>
      </c>
      <c r="BN24" s="32">
        <v>183.2112758694</v>
      </c>
      <c r="BO24" s="32">
        <v>195.2112758694</v>
      </c>
      <c r="BP24" s="32">
        <v>197.2269259338</v>
      </c>
      <c r="BQ24" s="32">
        <v>209.2269259338</v>
      </c>
      <c r="BR24" s="32">
        <v>211.24257599820001</v>
      </c>
      <c r="BS24" s="32">
        <v>223.24257599820001</v>
      </c>
      <c r="BT24" s="32">
        <v>225.25822606260002</v>
      </c>
      <c r="BU24" s="32">
        <v>237.25822606260002</v>
      </c>
      <c r="BV24" s="32">
        <v>239.27387612699999</v>
      </c>
      <c r="BW24" s="32">
        <v>251.27387612699999</v>
      </c>
      <c r="BX24" s="32">
        <v>253.2895261914</v>
      </c>
      <c r="BY24" s="32">
        <v>267.30517625580001</v>
      </c>
      <c r="BZ24" s="32">
        <v>281.32082632020001</v>
      </c>
      <c r="CA24" s="32">
        <v>295.33647638460002</v>
      </c>
      <c r="CB24" s="32">
        <v>0</v>
      </c>
      <c r="CC24" s="32">
        <v>0</v>
      </c>
      <c r="CD24" s="32">
        <v>0</v>
      </c>
      <c r="CE24" s="32">
        <v>0</v>
      </c>
      <c r="CF24" s="32">
        <v>0</v>
      </c>
      <c r="CG24" s="32">
        <v>0</v>
      </c>
      <c r="CH24" s="32">
        <v>0</v>
      </c>
      <c r="CI24" s="32">
        <v>0</v>
      </c>
      <c r="CJ24" s="32">
        <v>0</v>
      </c>
      <c r="CK24" s="32">
        <v>0</v>
      </c>
      <c r="CL24" s="32">
        <v>0</v>
      </c>
      <c r="CM24" s="32">
        <v>0</v>
      </c>
      <c r="CN24" s="32">
        <v>0</v>
      </c>
      <c r="CO24" s="32">
        <v>0</v>
      </c>
      <c r="CP24" s="32">
        <v>0</v>
      </c>
      <c r="CQ24" s="32">
        <v>0</v>
      </c>
      <c r="CR24" s="32">
        <v>0</v>
      </c>
      <c r="CS24" s="32">
        <v>0</v>
      </c>
      <c r="CT24" s="32">
        <v>0</v>
      </c>
      <c r="CU24" s="32">
        <v>0</v>
      </c>
      <c r="CV24" s="32">
        <v>0</v>
      </c>
      <c r="CW24" s="32">
        <v>0</v>
      </c>
      <c r="CX24" s="32">
        <v>0</v>
      </c>
      <c r="CY24" s="32">
        <v>0</v>
      </c>
      <c r="CZ24" s="32">
        <v>0</v>
      </c>
      <c r="DA24" s="32">
        <v>0</v>
      </c>
      <c r="DB24" s="32">
        <v>0</v>
      </c>
      <c r="DC24" s="32">
        <v>0</v>
      </c>
      <c r="DD24" s="32">
        <v>0</v>
      </c>
      <c r="DE24" s="32">
        <v>0</v>
      </c>
      <c r="DF24" s="32">
        <v>0</v>
      </c>
      <c r="DG24" s="32">
        <v>0</v>
      </c>
      <c r="DH24" s="32">
        <v>0</v>
      </c>
      <c r="DI24" s="32">
        <v>0</v>
      </c>
      <c r="DJ24" s="32">
        <v>0</v>
      </c>
      <c r="DK24" s="32">
        <v>55.0547752254</v>
      </c>
      <c r="DL24" s="32">
        <v>57.070425289800006</v>
      </c>
      <c r="DM24" s="32">
        <v>69.070425289799999</v>
      </c>
      <c r="DN24" s="32">
        <v>71.086075354200005</v>
      </c>
      <c r="DO24" s="32">
        <v>81.070425289799999</v>
      </c>
      <c r="DP24" s="32">
        <v>83.086075354200005</v>
      </c>
      <c r="DQ24" s="32">
        <v>85.101725418599997</v>
      </c>
      <c r="DR24" s="32">
        <v>95.086075354200005</v>
      </c>
      <c r="DS24" s="32">
        <v>97.101725418599997</v>
      </c>
      <c r="DT24" s="32">
        <v>99.117375483000004</v>
      </c>
      <c r="DU24" s="32">
        <v>109.1017254186</v>
      </c>
      <c r="DV24" s="32">
        <v>111.117375483</v>
      </c>
      <c r="DW24" s="32">
        <v>113.13302554740001</v>
      </c>
      <c r="DX24" s="32">
        <v>123.117375483</v>
      </c>
      <c r="DY24" s="32">
        <v>125.13302554740001</v>
      </c>
      <c r="DZ24" s="32">
        <v>127.1486756118</v>
      </c>
      <c r="EA24" s="32">
        <v>137.1330255474</v>
      </c>
      <c r="EB24" s="32">
        <v>139.1486756118</v>
      </c>
      <c r="EC24" s="32">
        <v>141.16432567620001</v>
      </c>
      <c r="ED24" s="32">
        <v>149.1330255474</v>
      </c>
      <c r="EE24" s="32">
        <v>151.1486756118</v>
      </c>
      <c r="EF24" s="32">
        <v>153.16432567620001</v>
      </c>
      <c r="EG24" s="32">
        <v>155.17997574060001</v>
      </c>
      <c r="EH24" s="32">
        <v>163.1486756118</v>
      </c>
      <c r="EI24" s="32">
        <v>165.16432567620001</v>
      </c>
      <c r="EJ24" s="32">
        <v>167.17997574060001</v>
      </c>
      <c r="EK24" s="32">
        <v>169.19562580499999</v>
      </c>
      <c r="EL24" s="32">
        <v>177.16432567620001</v>
      </c>
      <c r="EM24" s="32">
        <v>179.17997574060001</v>
      </c>
      <c r="EN24" s="32">
        <v>181.19562580499999</v>
      </c>
      <c r="EO24" s="32">
        <v>183.2112758694</v>
      </c>
      <c r="EP24" s="32">
        <v>191.17997574060001</v>
      </c>
      <c r="EQ24" s="32">
        <v>193.19562580499999</v>
      </c>
      <c r="ER24" s="32">
        <v>195.2112758694</v>
      </c>
      <c r="ES24" s="32">
        <v>197.2269259338</v>
      </c>
      <c r="ET24" s="32">
        <v>205.19562580499999</v>
      </c>
      <c r="EU24" s="32">
        <v>207.2112758694</v>
      </c>
      <c r="EV24" s="32">
        <v>209.2269259338</v>
      </c>
      <c r="EW24" s="32">
        <v>211.24257599820001</v>
      </c>
      <c r="EX24" s="32">
        <v>219.2112758694</v>
      </c>
      <c r="EY24" s="32">
        <v>221.2269259338</v>
      </c>
      <c r="EZ24" s="32">
        <v>223.24257599820001</v>
      </c>
      <c r="FA24" s="32">
        <v>225.25822606260002</v>
      </c>
      <c r="FB24" s="32">
        <v>233.2269259338</v>
      </c>
      <c r="FC24" s="32">
        <v>235.24257599820001</v>
      </c>
      <c r="FD24" s="32">
        <v>237.25822606260002</v>
      </c>
      <c r="FE24" s="32">
        <v>239.27387612699999</v>
      </c>
      <c r="FF24" s="32">
        <v>247.24257599820001</v>
      </c>
      <c r="FG24" s="32">
        <v>249.25822606260002</v>
      </c>
      <c r="FH24" s="32">
        <v>251.27387612699999</v>
      </c>
      <c r="FI24" s="32">
        <v>253.2895261914</v>
      </c>
      <c r="FJ24" s="32">
        <v>263.27387612699999</v>
      </c>
      <c r="FK24" s="32">
        <v>265.2895261914</v>
      </c>
      <c r="FL24" s="32">
        <v>277.2895261914</v>
      </c>
      <c r="FM24" s="32">
        <v>279.30517625580001</v>
      </c>
      <c r="FN24" s="32">
        <v>291.30517625580001</v>
      </c>
      <c r="FO24" s="32">
        <v>293.32082632020001</v>
      </c>
      <c r="FP24" s="32">
        <v>0</v>
      </c>
      <c r="FQ24" s="32">
        <v>0</v>
      </c>
      <c r="FR24" s="32">
        <v>0</v>
      </c>
      <c r="FS24" s="32">
        <v>0</v>
      </c>
      <c r="FT24" s="32">
        <v>0</v>
      </c>
      <c r="FU24" s="32">
        <v>0</v>
      </c>
      <c r="FV24" s="32">
        <v>0</v>
      </c>
      <c r="FW24" s="32">
        <v>0</v>
      </c>
      <c r="FX24" s="32">
        <v>0</v>
      </c>
      <c r="FY24" s="32">
        <v>0</v>
      </c>
      <c r="FZ24" s="32">
        <v>0</v>
      </c>
      <c r="GA24" s="3">
        <v>24.3</v>
      </c>
      <c r="GB24" s="32">
        <v>16.2</v>
      </c>
      <c r="GC24" s="32">
        <v>121.5</v>
      </c>
      <c r="GD24" s="32">
        <v>43.199999999999996</v>
      </c>
      <c r="GE24" s="32">
        <v>43.199999999999996</v>
      </c>
      <c r="GF24" s="32">
        <v>57.599999999999994</v>
      </c>
      <c r="GG24" s="32">
        <v>28.799999999999997</v>
      </c>
      <c r="GH24" s="32">
        <v>21.599999999999998</v>
      </c>
      <c r="GI24" s="32">
        <v>0</v>
      </c>
      <c r="GJ24" s="32">
        <v>0</v>
      </c>
      <c r="GK24" s="32">
        <v>6.48</v>
      </c>
      <c r="GL24" s="32">
        <v>0</v>
      </c>
      <c r="GM24" s="32">
        <v>0</v>
      </c>
      <c r="GN24" s="32">
        <v>36.300000000000004</v>
      </c>
      <c r="GO24" s="32">
        <v>30</v>
      </c>
      <c r="GP24" s="32">
        <v>10</v>
      </c>
      <c r="GQ24" s="32">
        <v>1.3520000000000003</v>
      </c>
      <c r="GR24" s="32">
        <v>4.2319999999999993</v>
      </c>
      <c r="GS24" s="32">
        <v>1</v>
      </c>
      <c r="GT24" s="32">
        <v>26</v>
      </c>
      <c r="GU24" s="32">
        <v>1.0268454372456677</v>
      </c>
      <c r="GV24" s="32">
        <v>51.049562682215743</v>
      </c>
      <c r="GW24" s="32">
        <v>1.429526995930682</v>
      </c>
      <c r="GX24" s="32">
        <v>91.396501457725947</v>
      </c>
      <c r="GY24" s="32">
        <v>3.1744804168990779</v>
      </c>
      <c r="GZ24" s="32">
        <v>2.3381924198250732</v>
      </c>
      <c r="HA24" s="32">
        <v>7.8724319348909129</v>
      </c>
      <c r="HB24" s="32">
        <v>4.1720116618075798</v>
      </c>
      <c r="HC24" s="32">
        <v>6.502453702972061</v>
      </c>
      <c r="HD24" s="32">
        <v>10.311044327573251</v>
      </c>
      <c r="HE24" s="32">
        <v>5.3278288569575425</v>
      </c>
      <c r="HF24" s="32">
        <v>13.772351615326819</v>
      </c>
      <c r="HG24" s="32">
        <v>4.333530213316255</v>
      </c>
      <c r="HH24" s="32">
        <v>18</v>
      </c>
      <c r="HI24" s="32">
        <v>3.5045305885170968</v>
      </c>
      <c r="HJ24" s="32">
        <v>13.772351615326819</v>
      </c>
      <c r="HK24" s="32">
        <v>2.8258027990289638</v>
      </c>
      <c r="HL24" s="32">
        <v>10.311044327573251</v>
      </c>
      <c r="HM24" s="32">
        <v>2.282319661320753</v>
      </c>
      <c r="HN24" s="32">
        <v>7.5394440270473329</v>
      </c>
      <c r="HO24" s="32">
        <v>1.859053991861364</v>
      </c>
      <c r="HP24" s="32">
        <v>5.3809166040570995</v>
      </c>
      <c r="HQ24" s="32">
        <v>1.5409786071196927</v>
      </c>
      <c r="HR24" s="32">
        <v>3.7588279489105929</v>
      </c>
      <c r="HS24" s="32">
        <v>1.3130663235646372</v>
      </c>
      <c r="HT24" s="32">
        <v>2.5965439519158533</v>
      </c>
      <c r="HU24" s="32">
        <v>1.1602899576650942</v>
      </c>
      <c r="HV24" s="32">
        <v>1.8174305033809166</v>
      </c>
      <c r="HW24" s="32">
        <v>1.3448534936138241</v>
      </c>
      <c r="HX24" s="32">
        <v>1.1021788129226144</v>
      </c>
      <c r="HY24" s="32">
        <v>1.0127723516153269</v>
      </c>
      <c r="HZ24" s="32">
        <v>0</v>
      </c>
      <c r="IA24" s="32">
        <v>0</v>
      </c>
      <c r="IB24" s="32">
        <v>0</v>
      </c>
      <c r="IC24" s="32">
        <v>0</v>
      </c>
      <c r="ID24" s="32">
        <v>0</v>
      </c>
      <c r="IE24" s="32">
        <v>0</v>
      </c>
      <c r="IF24" s="32">
        <v>0</v>
      </c>
      <c r="IG24" s="32">
        <v>0</v>
      </c>
      <c r="IH24" s="32">
        <v>0</v>
      </c>
      <c r="II24" s="32">
        <v>0</v>
      </c>
      <c r="IJ24" s="32">
        <v>0</v>
      </c>
      <c r="IK24" s="32">
        <v>0</v>
      </c>
      <c r="IL24" s="32">
        <v>0</v>
      </c>
      <c r="IM24" s="32">
        <v>0</v>
      </c>
      <c r="IN24" s="32">
        <v>0</v>
      </c>
      <c r="IO24" s="32">
        <v>0</v>
      </c>
      <c r="IP24" s="32">
        <v>0</v>
      </c>
      <c r="IQ24" s="32">
        <v>0</v>
      </c>
      <c r="IR24" s="32">
        <v>0</v>
      </c>
      <c r="IS24" s="32">
        <v>0</v>
      </c>
      <c r="IT24" s="32">
        <v>0</v>
      </c>
      <c r="IU24" s="32">
        <v>0</v>
      </c>
      <c r="IV24" s="32">
        <v>0</v>
      </c>
      <c r="IW24" s="32">
        <v>0</v>
      </c>
      <c r="IX24" s="32">
        <v>0</v>
      </c>
      <c r="IY24" s="32">
        <v>0</v>
      </c>
      <c r="IZ24" s="32">
        <v>0</v>
      </c>
      <c r="JA24" s="32">
        <v>0</v>
      </c>
      <c r="JB24" s="32">
        <v>0</v>
      </c>
      <c r="JC24" s="32">
        <v>0</v>
      </c>
      <c r="JD24" s="32">
        <v>0</v>
      </c>
      <c r="JE24" s="32">
        <v>0</v>
      </c>
      <c r="JF24" s="32">
        <v>0</v>
      </c>
      <c r="JG24" s="32">
        <v>0</v>
      </c>
      <c r="JH24" s="32">
        <v>0</v>
      </c>
      <c r="JI24" s="32">
        <v>1</v>
      </c>
      <c r="JJ24" s="32">
        <v>1.925925925925926</v>
      </c>
      <c r="JK24" s="32">
        <v>1.1394929837826946</v>
      </c>
      <c r="JL24" s="32">
        <v>2.8573588165424901</v>
      </c>
      <c r="JM24" s="32">
        <v>1.5078204081632651</v>
      </c>
      <c r="JN24" s="32">
        <v>3.2318877405231148</v>
      </c>
      <c r="JO24" s="32">
        <v>4.3773890508584383</v>
      </c>
      <c r="JP24" s="32">
        <v>3.1399510204081635</v>
      </c>
      <c r="JQ24" s="32">
        <v>17.507361108916182</v>
      </c>
      <c r="JR24" s="32">
        <v>1.1486880466472305</v>
      </c>
      <c r="JS24" s="32">
        <v>15.693877551020407</v>
      </c>
      <c r="JT24" s="32">
        <v>21.617295804672739</v>
      </c>
      <c r="JU24" s="32">
        <v>1.7266048918941481</v>
      </c>
      <c r="JV24" s="32">
        <v>11.924402247362918</v>
      </c>
      <c r="JW24" s="32">
        <v>17.507361108916182</v>
      </c>
      <c r="JX24" s="32">
        <v>2.0345604808414723</v>
      </c>
      <c r="JY24" s="32">
        <v>8.9313891320793211</v>
      </c>
      <c r="JZ24" s="32">
        <v>13.983486570872627</v>
      </c>
      <c r="KA24" s="32">
        <v>2.4191501794807575</v>
      </c>
      <c r="KB24" s="32">
        <v>6.457226260881292</v>
      </c>
      <c r="KC24" s="32">
        <v>6.6000900985133741</v>
      </c>
      <c r="KD24" s="32">
        <v>11.000590639948767</v>
      </c>
      <c r="KE24" s="32">
        <v>2.8888888888888888</v>
      </c>
      <c r="KF24" s="32">
        <v>4.7717409327994611</v>
      </c>
      <c r="KG24" s="32">
        <v>4.8249368885413384</v>
      </c>
      <c r="KH24" s="32">
        <v>8.5135917655512898</v>
      </c>
      <c r="KI24" s="32">
        <v>2.4191501794807575</v>
      </c>
      <c r="KJ24" s="32">
        <v>3.4883385689556921</v>
      </c>
      <c r="KK24" s="32">
        <v>3.509541092571971</v>
      </c>
      <c r="KL24" s="32">
        <v>6.4774083970868919</v>
      </c>
      <c r="KM24" s="32">
        <v>2.0345604808414723</v>
      </c>
      <c r="KN24" s="32">
        <v>2.5373321631684211</v>
      </c>
      <c r="KO24" s="32">
        <v>2.5666941495465321</v>
      </c>
      <c r="KP24" s="32">
        <v>4.84695898396226</v>
      </c>
      <c r="KQ24" s="32">
        <v>1.7266048918941481</v>
      </c>
      <c r="KR24" s="32">
        <v>1.8556715669876656</v>
      </c>
      <c r="KS24" s="32">
        <v>1.9183673469387754</v>
      </c>
      <c r="KT24" s="32">
        <v>3.5771619755840924</v>
      </c>
      <c r="KU24" s="32">
        <v>1.4867685115619</v>
      </c>
      <c r="KV24" s="32">
        <v>1.3869434896950159</v>
      </c>
      <c r="KW24" s="32">
        <v>1.4957118207549576</v>
      </c>
      <c r="KX24" s="32">
        <v>2.6229358213590785</v>
      </c>
      <c r="KY24" s="32">
        <v>1.3065364387678438</v>
      </c>
      <c r="KZ24" s="32">
        <v>1.0813714983036424</v>
      </c>
      <c r="LA24" s="32">
        <v>1.2390585555338336</v>
      </c>
      <c r="LB24" s="32">
        <v>1.9391989706939112</v>
      </c>
      <c r="LC24" s="32">
        <v>1.1773937724350949</v>
      </c>
      <c r="LD24" s="32">
        <v>0.89581601755829243</v>
      </c>
      <c r="LE24" s="32">
        <v>1.0979183843466582</v>
      </c>
      <c r="LF24" s="32">
        <v>1.4808698729952825</v>
      </c>
      <c r="LG24" s="32">
        <v>1.0908256114867685</v>
      </c>
      <c r="LH24" s="32">
        <v>1.0309819887971849</v>
      </c>
      <c r="LI24" s="32">
        <v>1.2028669776698848</v>
      </c>
      <c r="LJ24" s="32">
        <v>1.0061198990216662</v>
      </c>
      <c r="LK24" s="32">
        <v>1.0601087341244102</v>
      </c>
      <c r="LL24" s="32">
        <v>1.0003824936888541</v>
      </c>
      <c r="LM24" s="32">
        <v>1.0075135917655513</v>
      </c>
      <c r="LN24" s="32">
        <v>0</v>
      </c>
      <c r="LO24" s="32">
        <v>0</v>
      </c>
      <c r="LP24" s="32">
        <v>0</v>
      </c>
      <c r="LQ24" s="32">
        <v>0</v>
      </c>
      <c r="LR24" s="32">
        <v>0</v>
      </c>
      <c r="LS24" s="32">
        <v>0</v>
      </c>
      <c r="LT24" s="32">
        <v>0</v>
      </c>
      <c r="LU24" s="32">
        <v>0</v>
      </c>
      <c r="LV24" s="32">
        <v>0</v>
      </c>
      <c r="LW24" s="32">
        <v>0</v>
      </c>
      <c r="LX24" s="32">
        <v>0</v>
      </c>
    </row>
    <row r="25" spans="1:336" s="32" customFormat="1" ht="14.25" x14ac:dyDescent="0.2">
      <c r="A25" s="5">
        <v>19</v>
      </c>
      <c r="B25" s="27" t="s">
        <v>667</v>
      </c>
      <c r="C25" s="27" t="s">
        <v>470</v>
      </c>
      <c r="D25" s="27" t="s">
        <v>471</v>
      </c>
      <c r="E25" s="27" t="s">
        <v>470</v>
      </c>
      <c r="F25" s="28" t="s">
        <v>472</v>
      </c>
      <c r="G25" s="28" t="s">
        <v>473</v>
      </c>
      <c r="H25" s="29">
        <v>-1</v>
      </c>
      <c r="I25" s="30">
        <v>4.4800000000000004</v>
      </c>
      <c r="J25" s="31">
        <v>15.331536970692854</v>
      </c>
      <c r="K25" s="29" t="s">
        <v>474</v>
      </c>
      <c r="L25" s="16">
        <v>0</v>
      </c>
      <c r="M25" s="16">
        <v>2</v>
      </c>
      <c r="N25" s="27" t="s">
        <v>470</v>
      </c>
      <c r="O25" s="27">
        <v>0</v>
      </c>
      <c r="P25" s="27">
        <v>0</v>
      </c>
      <c r="Q25" s="27">
        <v>0</v>
      </c>
      <c r="R25" s="27">
        <v>0</v>
      </c>
      <c r="S25" s="27">
        <v>0</v>
      </c>
      <c r="T25" s="27">
        <v>25</v>
      </c>
      <c r="U25" s="27">
        <v>0</v>
      </c>
      <c r="V25" s="27">
        <v>25</v>
      </c>
      <c r="W25" s="27">
        <v>3</v>
      </c>
      <c r="X25" s="27" t="s">
        <v>470</v>
      </c>
      <c r="Y25" s="17">
        <v>670.35182249740001</v>
      </c>
      <c r="Z25" s="17">
        <v>652.34126249739995</v>
      </c>
      <c r="AA25" s="17">
        <v>676.39874249740001</v>
      </c>
      <c r="AB25" s="17">
        <v>658.38818249739995</v>
      </c>
      <c r="AC25" s="17">
        <v>1021.7506424974</v>
      </c>
      <c r="AD25" s="17">
        <v>867.75704803259998</v>
      </c>
      <c r="AE25" s="17">
        <v>941.79382746500005</v>
      </c>
      <c r="AF25" s="17">
        <v>597.44952604820003</v>
      </c>
      <c r="AG25" s="17">
        <v>523.41274661579996</v>
      </c>
      <c r="AH25" s="17">
        <v>409.44093642279995</v>
      </c>
      <c r="AI25" s="17">
        <v>427.45150110679992</v>
      </c>
      <c r="AJ25" s="17">
        <v>579.43896136420005</v>
      </c>
      <c r="AK25" s="17">
        <v>0</v>
      </c>
      <c r="AL25" s="17">
        <v>695.7433680268</v>
      </c>
      <c r="AM25" s="17">
        <v>0</v>
      </c>
      <c r="AN25" s="17">
        <v>0</v>
      </c>
      <c r="AO25" s="17">
        <v>0</v>
      </c>
      <c r="AP25" s="17">
        <v>252.97831503820004</v>
      </c>
      <c r="AQ25" s="17">
        <v>173.021500038</v>
      </c>
      <c r="AR25" s="17">
        <v>155.010935354</v>
      </c>
      <c r="AS25" s="32">
        <v>351.39907160999996</v>
      </c>
      <c r="AT25" s="32">
        <v>345.3521214168</v>
      </c>
      <c r="AU25" s="32">
        <v>55.0547752254</v>
      </c>
      <c r="AV25" s="32">
        <v>57.070425289800006</v>
      </c>
      <c r="AW25" s="32">
        <v>69.070425289799999</v>
      </c>
      <c r="AX25" s="32">
        <v>71.086075354200005</v>
      </c>
      <c r="AY25" s="32">
        <v>83.086075354200005</v>
      </c>
      <c r="AZ25" s="32">
        <v>85.101725418599997</v>
      </c>
      <c r="BA25" s="32">
        <v>97.101725418599997</v>
      </c>
      <c r="BB25" s="32">
        <v>99.117375483000004</v>
      </c>
      <c r="BC25" s="32">
        <v>111.117375483</v>
      </c>
      <c r="BD25" s="32">
        <v>113.13302554740001</v>
      </c>
      <c r="BE25" s="32">
        <v>125.13302554740001</v>
      </c>
      <c r="BF25" s="32">
        <v>127.1486756118</v>
      </c>
      <c r="BG25" s="32">
        <v>139.1486756118</v>
      </c>
      <c r="BH25" s="32">
        <v>141.16432567620001</v>
      </c>
      <c r="BI25" s="32">
        <v>153.16432567620001</v>
      </c>
      <c r="BJ25" s="32">
        <v>155.17997574060001</v>
      </c>
      <c r="BK25" s="32">
        <v>167.17997574060001</v>
      </c>
      <c r="BL25" s="32">
        <v>169.19562580499999</v>
      </c>
      <c r="BM25" s="32">
        <v>181.19562580499999</v>
      </c>
      <c r="BN25" s="32">
        <v>183.2112758694</v>
      </c>
      <c r="BO25" s="32">
        <v>195.2112758694</v>
      </c>
      <c r="BP25" s="32">
        <v>197.2269259338</v>
      </c>
      <c r="BQ25" s="32">
        <v>209.2269259338</v>
      </c>
      <c r="BR25" s="32">
        <v>211.24257599820001</v>
      </c>
      <c r="BS25" s="32">
        <v>223.24257599820001</v>
      </c>
      <c r="BT25" s="32">
        <v>225.25822606260002</v>
      </c>
      <c r="BU25" s="32">
        <v>237.25822606260002</v>
      </c>
      <c r="BV25" s="32">
        <v>239.27387612699999</v>
      </c>
      <c r="BW25" s="32">
        <v>251.27387612699999</v>
      </c>
      <c r="BX25" s="32">
        <v>253.2895261914</v>
      </c>
      <c r="BY25" s="32">
        <v>267.30517625580001</v>
      </c>
      <c r="BZ25" s="32">
        <v>281.32082632020001</v>
      </c>
      <c r="CA25" s="32">
        <v>295.33647638460002</v>
      </c>
      <c r="CB25" s="32">
        <v>0</v>
      </c>
      <c r="CC25" s="32">
        <v>0</v>
      </c>
      <c r="CD25" s="32">
        <v>0</v>
      </c>
      <c r="CE25" s="32">
        <v>0</v>
      </c>
      <c r="CF25" s="32">
        <v>0</v>
      </c>
      <c r="CG25" s="32">
        <v>0</v>
      </c>
      <c r="CH25" s="32">
        <v>0</v>
      </c>
      <c r="CI25" s="32">
        <v>0</v>
      </c>
      <c r="CJ25" s="32">
        <v>0</v>
      </c>
      <c r="CK25" s="32">
        <v>0</v>
      </c>
      <c r="CL25" s="32">
        <v>0</v>
      </c>
      <c r="CM25" s="32">
        <v>0</v>
      </c>
      <c r="CN25" s="32">
        <v>0</v>
      </c>
      <c r="CO25" s="32">
        <v>0</v>
      </c>
      <c r="CP25" s="32">
        <v>0</v>
      </c>
      <c r="CQ25" s="32">
        <v>0</v>
      </c>
      <c r="CR25" s="32">
        <v>0</v>
      </c>
      <c r="CS25" s="32">
        <v>0</v>
      </c>
      <c r="CT25" s="32">
        <v>0</v>
      </c>
      <c r="CU25" s="32">
        <v>0</v>
      </c>
      <c r="CV25" s="32">
        <v>0</v>
      </c>
      <c r="CW25" s="32">
        <v>0</v>
      </c>
      <c r="CX25" s="32">
        <v>0</v>
      </c>
      <c r="CY25" s="32">
        <v>0</v>
      </c>
      <c r="CZ25" s="32">
        <v>0</v>
      </c>
      <c r="DA25" s="32">
        <v>0</v>
      </c>
      <c r="DB25" s="32">
        <v>0</v>
      </c>
      <c r="DC25" s="32">
        <v>0</v>
      </c>
      <c r="DD25" s="32">
        <v>0</v>
      </c>
      <c r="DE25" s="32">
        <v>0</v>
      </c>
      <c r="DF25" s="32">
        <v>0</v>
      </c>
      <c r="DG25" s="32">
        <v>0</v>
      </c>
      <c r="DH25" s="32">
        <v>0</v>
      </c>
      <c r="DI25" s="32">
        <v>0</v>
      </c>
      <c r="DJ25" s="32">
        <v>0</v>
      </c>
      <c r="DK25" s="32">
        <v>55.0547752254</v>
      </c>
      <c r="DL25" s="32">
        <v>57.070425289800006</v>
      </c>
      <c r="DM25" s="32">
        <v>69.070425289799999</v>
      </c>
      <c r="DN25" s="32">
        <v>71.086075354200005</v>
      </c>
      <c r="DO25" s="32">
        <v>81.070425289799999</v>
      </c>
      <c r="DP25" s="32">
        <v>83.086075354200005</v>
      </c>
      <c r="DQ25" s="32">
        <v>85.101725418599997</v>
      </c>
      <c r="DR25" s="32">
        <v>95.086075354200005</v>
      </c>
      <c r="DS25" s="32">
        <v>97.101725418599997</v>
      </c>
      <c r="DT25" s="32">
        <v>99.117375483000004</v>
      </c>
      <c r="DU25" s="32">
        <v>109.1017254186</v>
      </c>
      <c r="DV25" s="32">
        <v>111.117375483</v>
      </c>
      <c r="DW25" s="32">
        <v>113.13302554740001</v>
      </c>
      <c r="DX25" s="32">
        <v>123.117375483</v>
      </c>
      <c r="DY25" s="32">
        <v>125.13302554740001</v>
      </c>
      <c r="DZ25" s="32">
        <v>127.1486756118</v>
      </c>
      <c r="EA25" s="32">
        <v>137.1330255474</v>
      </c>
      <c r="EB25" s="32">
        <v>139.1486756118</v>
      </c>
      <c r="EC25" s="32">
        <v>141.16432567620001</v>
      </c>
      <c r="ED25" s="32">
        <v>149.1330255474</v>
      </c>
      <c r="EE25" s="32">
        <v>151.1486756118</v>
      </c>
      <c r="EF25" s="32">
        <v>153.16432567620001</v>
      </c>
      <c r="EG25" s="32">
        <v>155.17997574060001</v>
      </c>
      <c r="EH25" s="32">
        <v>163.1486756118</v>
      </c>
      <c r="EI25" s="32">
        <v>165.16432567620001</v>
      </c>
      <c r="EJ25" s="32">
        <v>167.17997574060001</v>
      </c>
      <c r="EK25" s="32">
        <v>169.19562580499999</v>
      </c>
      <c r="EL25" s="32">
        <v>177.16432567620001</v>
      </c>
      <c r="EM25" s="32">
        <v>179.17997574060001</v>
      </c>
      <c r="EN25" s="32">
        <v>181.19562580499999</v>
      </c>
      <c r="EO25" s="32">
        <v>183.2112758694</v>
      </c>
      <c r="EP25" s="32">
        <v>191.17997574060001</v>
      </c>
      <c r="EQ25" s="32">
        <v>193.19562580499999</v>
      </c>
      <c r="ER25" s="32">
        <v>195.2112758694</v>
      </c>
      <c r="ES25" s="32">
        <v>205.19562580499999</v>
      </c>
      <c r="ET25" s="32">
        <v>207.2112758694</v>
      </c>
      <c r="EU25" s="32">
        <v>209.2269259338</v>
      </c>
      <c r="EV25" s="32">
        <v>217.19562580499999</v>
      </c>
      <c r="EW25" s="32">
        <v>219.2112758694</v>
      </c>
      <c r="EX25" s="32">
        <v>221.2269259338</v>
      </c>
      <c r="EY25" s="32">
        <v>223.24257599820001</v>
      </c>
      <c r="EZ25" s="32">
        <v>231.2112758694</v>
      </c>
      <c r="FA25" s="32">
        <v>233.2269259338</v>
      </c>
      <c r="FB25" s="32">
        <v>235.24257599820001</v>
      </c>
      <c r="FC25" s="32">
        <v>237.25822606260002</v>
      </c>
      <c r="FD25" s="32">
        <v>245.2269259338</v>
      </c>
      <c r="FE25" s="32">
        <v>247.24257599820001</v>
      </c>
      <c r="FF25" s="32">
        <v>249.25822606260002</v>
      </c>
      <c r="FG25" s="32">
        <v>251.27387612699999</v>
      </c>
      <c r="FH25" s="32">
        <v>261.25822606259999</v>
      </c>
      <c r="FI25" s="32">
        <v>263.27387612699999</v>
      </c>
      <c r="FJ25" s="32">
        <v>275.27387612699999</v>
      </c>
      <c r="FK25" s="32">
        <v>277.2895261914</v>
      </c>
      <c r="FL25" s="32">
        <v>289.2895261914</v>
      </c>
      <c r="FM25" s="32">
        <v>291.30517625580001</v>
      </c>
      <c r="FN25" s="32">
        <v>0</v>
      </c>
      <c r="FO25" s="32">
        <v>0</v>
      </c>
      <c r="FP25" s="32">
        <v>0</v>
      </c>
      <c r="FQ25" s="32">
        <v>0</v>
      </c>
      <c r="FR25" s="32">
        <v>0</v>
      </c>
      <c r="FS25" s="32">
        <v>0</v>
      </c>
      <c r="FT25" s="32">
        <v>0</v>
      </c>
      <c r="FU25" s="32">
        <v>0</v>
      </c>
      <c r="FV25" s="32">
        <v>0</v>
      </c>
      <c r="FW25" s="32">
        <v>0</v>
      </c>
      <c r="FX25" s="32">
        <v>0</v>
      </c>
      <c r="FY25" s="32">
        <v>0</v>
      </c>
      <c r="FZ25" s="32">
        <v>0</v>
      </c>
      <c r="GA25" s="3">
        <v>21.870000000000005</v>
      </c>
      <c r="GB25" s="32">
        <v>14.580000000000004</v>
      </c>
      <c r="GC25" s="32">
        <v>109.35000000000002</v>
      </c>
      <c r="GD25" s="32">
        <v>51.839999999999996</v>
      </c>
      <c r="GE25" s="32">
        <v>51.839999999999996</v>
      </c>
      <c r="GF25" s="32">
        <v>69.12</v>
      </c>
      <c r="GG25" s="32">
        <v>34.56</v>
      </c>
      <c r="GH25" s="32">
        <v>25.919999999999998</v>
      </c>
      <c r="GI25" s="32">
        <v>0</v>
      </c>
      <c r="GJ25" s="32">
        <v>0</v>
      </c>
      <c r="GK25" s="32">
        <v>11.664000000000001</v>
      </c>
      <c r="GL25" s="32">
        <v>0</v>
      </c>
      <c r="GM25" s="32">
        <v>0</v>
      </c>
      <c r="GN25" s="32">
        <v>39.930000000000014</v>
      </c>
      <c r="GO25" s="32">
        <v>30</v>
      </c>
      <c r="GP25" s="32">
        <v>10</v>
      </c>
      <c r="GQ25" s="32">
        <v>1.7576000000000005</v>
      </c>
      <c r="GR25" s="32">
        <v>9.7335999999999974</v>
      </c>
      <c r="GS25" s="32">
        <v>1</v>
      </c>
      <c r="GT25" s="32">
        <v>26</v>
      </c>
      <c r="GU25" s="32">
        <v>1.0268454372456677</v>
      </c>
      <c r="GV25" s="32">
        <v>51.049562682215743</v>
      </c>
      <c r="GW25" s="32">
        <v>1.429526995930682</v>
      </c>
      <c r="GX25" s="32">
        <v>91.396501457725947</v>
      </c>
      <c r="GY25" s="32">
        <v>3.1744804168990779</v>
      </c>
      <c r="GZ25" s="32">
        <v>2.3381924198250732</v>
      </c>
      <c r="HA25" s="32">
        <v>7.8724319348909129</v>
      </c>
      <c r="HB25" s="32">
        <v>4.1720116618075798</v>
      </c>
      <c r="HC25" s="32">
        <v>6.502453702972061</v>
      </c>
      <c r="HD25" s="32">
        <v>10.311044327573251</v>
      </c>
      <c r="HE25" s="32">
        <v>5.3278288569575425</v>
      </c>
      <c r="HF25" s="32">
        <v>13.772351615326819</v>
      </c>
      <c r="HG25" s="32">
        <v>4.333530213316255</v>
      </c>
      <c r="HH25" s="32">
        <v>18</v>
      </c>
      <c r="HI25" s="32">
        <v>3.5045305885170968</v>
      </c>
      <c r="HJ25" s="32">
        <v>13.772351615326819</v>
      </c>
      <c r="HK25" s="32">
        <v>2.8258027990289638</v>
      </c>
      <c r="HL25" s="32">
        <v>10.311044327573251</v>
      </c>
      <c r="HM25" s="32">
        <v>2.282319661320753</v>
      </c>
      <c r="HN25" s="32">
        <v>7.5394440270473329</v>
      </c>
      <c r="HO25" s="32">
        <v>1.859053991861364</v>
      </c>
      <c r="HP25" s="32">
        <v>5.3809166040570995</v>
      </c>
      <c r="HQ25" s="32">
        <v>1.5409786071196927</v>
      </c>
      <c r="HR25" s="32">
        <v>3.7588279489105929</v>
      </c>
      <c r="HS25" s="32">
        <v>1.3130663235646372</v>
      </c>
      <c r="HT25" s="32">
        <v>2.5965439519158533</v>
      </c>
      <c r="HU25" s="32">
        <v>1.1602899576650942</v>
      </c>
      <c r="HV25" s="32">
        <v>1.8174305033809166</v>
      </c>
      <c r="HW25" s="32">
        <v>1.3448534936138241</v>
      </c>
      <c r="HX25" s="32">
        <v>1.1021788129226144</v>
      </c>
      <c r="HY25" s="32">
        <v>1.0127723516153269</v>
      </c>
      <c r="HZ25" s="32">
        <v>0</v>
      </c>
      <c r="IA25" s="32">
        <v>0</v>
      </c>
      <c r="IB25" s="32">
        <v>0</v>
      </c>
      <c r="IC25" s="32">
        <v>0</v>
      </c>
      <c r="ID25" s="32">
        <v>0</v>
      </c>
      <c r="IE25" s="32">
        <v>0</v>
      </c>
      <c r="IF25" s="32">
        <v>0</v>
      </c>
      <c r="IG25" s="32">
        <v>0</v>
      </c>
      <c r="IH25" s="32">
        <v>0</v>
      </c>
      <c r="II25" s="32">
        <v>0</v>
      </c>
      <c r="IJ25" s="32">
        <v>0</v>
      </c>
      <c r="IK25" s="32">
        <v>0</v>
      </c>
      <c r="IL25" s="32">
        <v>0</v>
      </c>
      <c r="IM25" s="32">
        <v>0</v>
      </c>
      <c r="IN25" s="32">
        <v>0</v>
      </c>
      <c r="IO25" s="32">
        <v>0</v>
      </c>
      <c r="IP25" s="32">
        <v>0</v>
      </c>
      <c r="IQ25" s="32">
        <v>0</v>
      </c>
      <c r="IR25" s="32">
        <v>0</v>
      </c>
      <c r="IS25" s="32">
        <v>0</v>
      </c>
      <c r="IT25" s="32">
        <v>0</v>
      </c>
      <c r="IU25" s="32">
        <v>0</v>
      </c>
      <c r="IV25" s="32">
        <v>0</v>
      </c>
      <c r="IW25" s="32">
        <v>0</v>
      </c>
      <c r="IX25" s="32">
        <v>0</v>
      </c>
      <c r="IY25" s="32">
        <v>0</v>
      </c>
      <c r="IZ25" s="32">
        <v>0</v>
      </c>
      <c r="JA25" s="32">
        <v>0</v>
      </c>
      <c r="JB25" s="32">
        <v>0</v>
      </c>
      <c r="JC25" s="32">
        <v>0</v>
      </c>
      <c r="JD25" s="32">
        <v>0</v>
      </c>
      <c r="JE25" s="32">
        <v>0</v>
      </c>
      <c r="JF25" s="32">
        <v>0</v>
      </c>
      <c r="JG25" s="32">
        <v>0</v>
      </c>
      <c r="JH25" s="32">
        <v>0</v>
      </c>
      <c r="JI25" s="32">
        <v>1</v>
      </c>
      <c r="JJ25" s="32">
        <v>1.390625</v>
      </c>
      <c r="JK25" s="32">
        <v>1.1394929837826946</v>
      </c>
      <c r="JL25" s="32">
        <v>1.784347667638484</v>
      </c>
      <c r="JM25" s="32">
        <v>2.1425959183673466</v>
      </c>
      <c r="JN25" s="32">
        <v>3.2318877405231148</v>
      </c>
      <c r="JO25" s="32">
        <v>2.4310313411078717</v>
      </c>
      <c r="JP25" s="32">
        <v>5.8148897959183676</v>
      </c>
      <c r="JQ25" s="32">
        <v>17.507361108916182</v>
      </c>
      <c r="JR25" s="32">
        <v>1.0836370262390671</v>
      </c>
      <c r="JS25" s="32">
        <v>27.122448979591834</v>
      </c>
      <c r="JT25" s="32">
        <v>21.617295804672739</v>
      </c>
      <c r="JU25" s="32">
        <v>1.4087152516904582</v>
      </c>
      <c r="JV25" s="32">
        <v>20.421159550867412</v>
      </c>
      <c r="JW25" s="32">
        <v>17.507361108916182</v>
      </c>
      <c r="JX25" s="32">
        <v>1.5819402704733281</v>
      </c>
      <c r="JY25" s="32">
        <v>15.100247345918794</v>
      </c>
      <c r="JZ25" s="32">
        <v>13.983486570872627</v>
      </c>
      <c r="KA25" s="32">
        <v>1.7982719759579262</v>
      </c>
      <c r="KB25" s="32">
        <v>10.917194656501268</v>
      </c>
      <c r="KC25" s="32">
        <v>10.955715730690443</v>
      </c>
      <c r="KD25" s="32">
        <v>11.000590639948767</v>
      </c>
      <c r="KE25" s="32">
        <v>2.0625</v>
      </c>
      <c r="KF25" s="32">
        <v>7.9207762954669025</v>
      </c>
      <c r="KG25" s="32">
        <v>7.799887801851269</v>
      </c>
      <c r="KH25" s="32">
        <v>8.5135917655512898</v>
      </c>
      <c r="KI25" s="32">
        <v>1.7982719759579262</v>
      </c>
      <c r="KJ25" s="32">
        <v>5.6391720930779803</v>
      </c>
      <c r="KK25" s="32">
        <v>5.4614063867946152</v>
      </c>
      <c r="KL25" s="32">
        <v>6.4774083970868919</v>
      </c>
      <c r="KM25" s="32">
        <v>1.5819402704733281</v>
      </c>
      <c r="KN25" s="32">
        <v>3.9484940383450535</v>
      </c>
      <c r="KO25" s="32">
        <v>3.7852340436382792</v>
      </c>
      <c r="KP25" s="32">
        <v>4.84695898396226</v>
      </c>
      <c r="KQ25" s="32">
        <v>2.8546868822184095</v>
      </c>
      <c r="KR25" s="32">
        <v>2.6326530612244898</v>
      </c>
      <c r="KS25" s="32">
        <v>3.5771619755840924</v>
      </c>
      <c r="KT25" s="32">
        <v>2.0638848929161564</v>
      </c>
      <c r="KU25" s="32">
        <v>1.9033586188367773</v>
      </c>
      <c r="KV25" s="32">
        <v>1.8812654591199247</v>
      </c>
      <c r="KW25" s="32">
        <v>2.6229358213590785</v>
      </c>
      <c r="KX25" s="32">
        <v>1.3760924617295502</v>
      </c>
      <c r="KY25" s="32">
        <v>1.360119523029891</v>
      </c>
      <c r="KZ25" s="32">
        <v>1.4249929876157041</v>
      </c>
      <c r="LA25" s="32">
        <v>1.9391989706939112</v>
      </c>
      <c r="LB25" s="32">
        <v>0.9833408187871967</v>
      </c>
      <c r="LC25" s="32">
        <v>1.0302431128159353</v>
      </c>
      <c r="LD25" s="32">
        <v>1.1740771277273925</v>
      </c>
      <c r="LE25" s="32">
        <v>1.4808698729952825</v>
      </c>
      <c r="LF25" s="32">
        <v>0.74484638221315191</v>
      </c>
      <c r="LG25" s="32">
        <v>1.0550790911949952</v>
      </c>
      <c r="LH25" s="32">
        <v>1.0706410493870033</v>
      </c>
      <c r="LI25" s="32">
        <v>1.0108798204829621</v>
      </c>
      <c r="LJ25" s="32">
        <v>0.76280232718792973</v>
      </c>
      <c r="LK25" s="32">
        <v>1.0006799887801852</v>
      </c>
      <c r="LL25" s="32">
        <v>0</v>
      </c>
      <c r="LM25" s="32">
        <v>0</v>
      </c>
      <c r="LN25" s="32">
        <v>0</v>
      </c>
      <c r="LO25" s="32">
        <v>0</v>
      </c>
      <c r="LP25" s="32">
        <v>0</v>
      </c>
      <c r="LQ25" s="32">
        <v>0</v>
      </c>
      <c r="LR25" s="32">
        <v>0</v>
      </c>
      <c r="LS25" s="32">
        <v>0</v>
      </c>
      <c r="LT25" s="32">
        <v>0</v>
      </c>
      <c r="LU25" s="32">
        <v>0</v>
      </c>
      <c r="LV25" s="32">
        <v>0</v>
      </c>
      <c r="LW25" s="32">
        <v>0</v>
      </c>
      <c r="LX25" s="32">
        <v>0</v>
      </c>
    </row>
    <row r="26" spans="1:336" s="32" customFormat="1" ht="14.25" x14ac:dyDescent="0.2">
      <c r="A26" s="5">
        <v>20</v>
      </c>
      <c r="B26" s="27" t="s">
        <v>668</v>
      </c>
      <c r="C26" s="27" t="s">
        <v>475</v>
      </c>
      <c r="D26" s="27" t="s">
        <v>476</v>
      </c>
      <c r="E26" s="27" t="s">
        <v>475</v>
      </c>
      <c r="F26" s="28" t="s">
        <v>477</v>
      </c>
      <c r="G26" s="28" t="s">
        <v>478</v>
      </c>
      <c r="H26" s="29">
        <v>-1</v>
      </c>
      <c r="I26" s="30">
        <v>3.55</v>
      </c>
      <c r="J26" s="31">
        <v>14.925957476646214</v>
      </c>
      <c r="K26" s="29" t="s">
        <v>479</v>
      </c>
      <c r="L26" s="16">
        <v>0</v>
      </c>
      <c r="M26" s="16">
        <v>2</v>
      </c>
      <c r="N26" s="27" t="s">
        <v>475</v>
      </c>
      <c r="O26" s="27">
        <v>0</v>
      </c>
      <c r="P26" s="27">
        <v>0</v>
      </c>
      <c r="Q26" s="27">
        <v>0</v>
      </c>
      <c r="R26" s="27">
        <v>0</v>
      </c>
      <c r="S26" s="27">
        <v>0</v>
      </c>
      <c r="T26" s="27">
        <v>25</v>
      </c>
      <c r="U26" s="27">
        <v>0</v>
      </c>
      <c r="V26" s="27">
        <v>25</v>
      </c>
      <c r="W26" s="27">
        <v>4</v>
      </c>
      <c r="X26" s="27" t="s">
        <v>475</v>
      </c>
      <c r="Y26" s="17">
        <v>668.336172433</v>
      </c>
      <c r="Z26" s="17">
        <v>650.32561243299995</v>
      </c>
      <c r="AA26" s="17">
        <v>676.39873243299996</v>
      </c>
      <c r="AB26" s="17">
        <v>658.38817243299991</v>
      </c>
      <c r="AC26" s="17">
        <v>1019.734992433</v>
      </c>
      <c r="AD26" s="17">
        <v>865.74139796819998</v>
      </c>
      <c r="AE26" s="17">
        <v>939.77817740060004</v>
      </c>
      <c r="AF26" s="17">
        <v>597.44952604820003</v>
      </c>
      <c r="AG26" s="17">
        <v>523.41274661579996</v>
      </c>
      <c r="AH26" s="17">
        <v>409.44093642279995</v>
      </c>
      <c r="AI26" s="17">
        <v>427.45150110679992</v>
      </c>
      <c r="AJ26" s="17">
        <v>579.43896136420005</v>
      </c>
      <c r="AK26" s="17">
        <v>0</v>
      </c>
      <c r="AL26" s="17">
        <v>693.72771796239999</v>
      </c>
      <c r="AM26" s="17">
        <v>0</v>
      </c>
      <c r="AN26" s="17">
        <v>0</v>
      </c>
      <c r="AO26" s="17">
        <v>0</v>
      </c>
      <c r="AP26" s="17">
        <v>252.97831503820004</v>
      </c>
      <c r="AQ26" s="17">
        <v>173.021500038</v>
      </c>
      <c r="AR26" s="17">
        <v>155.010935354</v>
      </c>
      <c r="AS26" s="32">
        <v>351.39907160999996</v>
      </c>
      <c r="AT26" s="32">
        <v>343.3364713524</v>
      </c>
      <c r="AU26" s="32">
        <v>55.0547752254</v>
      </c>
      <c r="AV26" s="32">
        <v>57.070425289800006</v>
      </c>
      <c r="AW26" s="32">
        <v>69.070425289799999</v>
      </c>
      <c r="AX26" s="32">
        <v>71.086075354200005</v>
      </c>
      <c r="AY26" s="32">
        <v>83.086075354200005</v>
      </c>
      <c r="AZ26" s="32">
        <v>85.101725418599997</v>
      </c>
      <c r="BA26" s="32">
        <v>97.101725418599997</v>
      </c>
      <c r="BB26" s="32">
        <v>99.117375483000004</v>
      </c>
      <c r="BC26" s="32">
        <v>111.117375483</v>
      </c>
      <c r="BD26" s="32">
        <v>113.13302554740001</v>
      </c>
      <c r="BE26" s="32">
        <v>125.13302554740001</v>
      </c>
      <c r="BF26" s="32">
        <v>127.1486756118</v>
      </c>
      <c r="BG26" s="32">
        <v>139.1486756118</v>
      </c>
      <c r="BH26" s="32">
        <v>141.16432567620001</v>
      </c>
      <c r="BI26" s="32">
        <v>153.16432567620001</v>
      </c>
      <c r="BJ26" s="32">
        <v>155.17997574060001</v>
      </c>
      <c r="BK26" s="32">
        <v>167.17997574060001</v>
      </c>
      <c r="BL26" s="32">
        <v>169.19562580499999</v>
      </c>
      <c r="BM26" s="32">
        <v>181.19562580499999</v>
      </c>
      <c r="BN26" s="32">
        <v>183.2112758694</v>
      </c>
      <c r="BO26" s="32">
        <v>195.2112758694</v>
      </c>
      <c r="BP26" s="32">
        <v>197.2269259338</v>
      </c>
      <c r="BQ26" s="32">
        <v>209.2269259338</v>
      </c>
      <c r="BR26" s="32">
        <v>211.24257599820001</v>
      </c>
      <c r="BS26" s="32">
        <v>223.24257599820001</v>
      </c>
      <c r="BT26" s="32">
        <v>225.25822606260002</v>
      </c>
      <c r="BU26" s="32">
        <v>237.25822606260002</v>
      </c>
      <c r="BV26" s="32">
        <v>239.27387612699999</v>
      </c>
      <c r="BW26" s="32">
        <v>251.27387612699999</v>
      </c>
      <c r="BX26" s="32">
        <v>253.2895261914</v>
      </c>
      <c r="BY26" s="32">
        <v>267.30517625580001</v>
      </c>
      <c r="BZ26" s="32">
        <v>281.32082632020001</v>
      </c>
      <c r="CA26" s="32">
        <v>295.33647638460002</v>
      </c>
      <c r="CB26" s="32">
        <v>0</v>
      </c>
      <c r="CC26" s="32">
        <v>0</v>
      </c>
      <c r="CD26" s="32">
        <v>0</v>
      </c>
      <c r="CE26" s="32">
        <v>0</v>
      </c>
      <c r="CF26" s="32">
        <v>0</v>
      </c>
      <c r="CG26" s="32">
        <v>0</v>
      </c>
      <c r="CH26" s="32">
        <v>0</v>
      </c>
      <c r="CI26" s="32">
        <v>0</v>
      </c>
      <c r="CJ26" s="32">
        <v>0</v>
      </c>
      <c r="CK26" s="32">
        <v>0</v>
      </c>
      <c r="CL26" s="32">
        <v>0</v>
      </c>
      <c r="CM26" s="32">
        <v>0</v>
      </c>
      <c r="CN26" s="32">
        <v>0</v>
      </c>
      <c r="CO26" s="32">
        <v>0</v>
      </c>
      <c r="CP26" s="32">
        <v>0</v>
      </c>
      <c r="CQ26" s="32">
        <v>0</v>
      </c>
      <c r="CR26" s="32">
        <v>0</v>
      </c>
      <c r="CS26" s="32">
        <v>0</v>
      </c>
      <c r="CT26" s="32">
        <v>0</v>
      </c>
      <c r="CU26" s="32">
        <v>0</v>
      </c>
      <c r="CV26" s="32">
        <v>0</v>
      </c>
      <c r="CW26" s="32">
        <v>0</v>
      </c>
      <c r="CX26" s="32">
        <v>0</v>
      </c>
      <c r="CY26" s="32">
        <v>0</v>
      </c>
      <c r="CZ26" s="32">
        <v>0</v>
      </c>
      <c r="DA26" s="32">
        <v>0</v>
      </c>
      <c r="DB26" s="32">
        <v>0</v>
      </c>
      <c r="DC26" s="32">
        <v>0</v>
      </c>
      <c r="DD26" s="32">
        <v>0</v>
      </c>
      <c r="DE26" s="32">
        <v>0</v>
      </c>
      <c r="DF26" s="32">
        <v>0</v>
      </c>
      <c r="DG26" s="32">
        <v>0</v>
      </c>
      <c r="DH26" s="32">
        <v>0</v>
      </c>
      <c r="DI26" s="32">
        <v>0</v>
      </c>
      <c r="DJ26" s="32">
        <v>0</v>
      </c>
      <c r="DK26" s="32">
        <v>55.0547752254</v>
      </c>
      <c r="DL26" s="32">
        <v>57.070425289800006</v>
      </c>
      <c r="DM26" s="32">
        <v>69.070425289799999</v>
      </c>
      <c r="DN26" s="32">
        <v>71.086075354200005</v>
      </c>
      <c r="DO26" s="32">
        <v>81.070425289799999</v>
      </c>
      <c r="DP26" s="32">
        <v>83.086075354200005</v>
      </c>
      <c r="DQ26" s="32">
        <v>85.101725418599997</v>
      </c>
      <c r="DR26" s="32">
        <v>95.086075354200005</v>
      </c>
      <c r="DS26" s="32">
        <v>97.101725418599997</v>
      </c>
      <c r="DT26" s="32">
        <v>99.117375483000004</v>
      </c>
      <c r="DU26" s="32">
        <v>109.1017254186</v>
      </c>
      <c r="DV26" s="32">
        <v>111.117375483</v>
      </c>
      <c r="DW26" s="32">
        <v>113.13302554740001</v>
      </c>
      <c r="DX26" s="32">
        <v>123.117375483</v>
      </c>
      <c r="DY26" s="32">
        <v>125.13302554740001</v>
      </c>
      <c r="DZ26" s="32">
        <v>137.1330255474</v>
      </c>
      <c r="EA26" s="32">
        <v>139.1486756118</v>
      </c>
      <c r="EB26" s="32">
        <v>149.1330255474</v>
      </c>
      <c r="EC26" s="32">
        <v>151.1486756118</v>
      </c>
      <c r="ED26" s="32">
        <v>153.16432567620001</v>
      </c>
      <c r="EE26" s="32">
        <v>163.1486756118</v>
      </c>
      <c r="EF26" s="32">
        <v>165.16432567620001</v>
      </c>
      <c r="EG26" s="32">
        <v>167.17997574060001</v>
      </c>
      <c r="EH26" s="32">
        <v>177.16432567620001</v>
      </c>
      <c r="EI26" s="32">
        <v>179.17997574060001</v>
      </c>
      <c r="EJ26" s="32">
        <v>181.19562580499999</v>
      </c>
      <c r="EK26" s="32">
        <v>191.17997574060001</v>
      </c>
      <c r="EL26" s="32">
        <v>193.19562580499999</v>
      </c>
      <c r="EM26" s="32">
        <v>205.19562580499999</v>
      </c>
      <c r="EN26" s="32">
        <v>207.2112758694</v>
      </c>
      <c r="EO26" s="32">
        <v>217.19562580499999</v>
      </c>
      <c r="EP26" s="32">
        <v>219.2112758694</v>
      </c>
      <c r="EQ26" s="32">
        <v>221.2269259338</v>
      </c>
      <c r="ER26" s="32">
        <v>231.2112758694</v>
      </c>
      <c r="ES26" s="32">
        <v>233.2269259338</v>
      </c>
      <c r="ET26" s="32">
        <v>235.24257599820001</v>
      </c>
      <c r="EU26" s="32">
        <v>245.2269259338</v>
      </c>
      <c r="EV26" s="32">
        <v>247.24257599820001</v>
      </c>
      <c r="EW26" s="32">
        <v>249.25822606260002</v>
      </c>
      <c r="EX26" s="32">
        <v>259.24257599819998</v>
      </c>
      <c r="EY26" s="32">
        <v>261.25822606259999</v>
      </c>
      <c r="EZ26" s="32">
        <v>273.25822606259999</v>
      </c>
      <c r="FA26" s="32">
        <v>275.27387612699999</v>
      </c>
      <c r="FB26" s="32">
        <v>287.27387612699999</v>
      </c>
      <c r="FC26" s="32">
        <v>289.2895261914</v>
      </c>
      <c r="FD26" s="32">
        <v>0</v>
      </c>
      <c r="FE26" s="32">
        <v>0</v>
      </c>
      <c r="FF26" s="32">
        <v>0</v>
      </c>
      <c r="FG26" s="32">
        <v>0</v>
      </c>
      <c r="FH26" s="32">
        <v>0</v>
      </c>
      <c r="FI26" s="32">
        <v>0</v>
      </c>
      <c r="FJ26" s="32">
        <v>0</v>
      </c>
      <c r="FK26" s="32">
        <v>0</v>
      </c>
      <c r="FL26" s="32">
        <v>0</v>
      </c>
      <c r="FM26" s="32">
        <v>0</v>
      </c>
      <c r="FN26" s="32">
        <v>0</v>
      </c>
      <c r="FO26" s="32">
        <v>0</v>
      </c>
      <c r="FP26" s="32">
        <v>0</v>
      </c>
      <c r="FQ26" s="32">
        <v>0</v>
      </c>
      <c r="FR26" s="32">
        <v>0</v>
      </c>
      <c r="FS26" s="32">
        <v>0</v>
      </c>
      <c r="FT26" s="32">
        <v>0</v>
      </c>
      <c r="FU26" s="32">
        <v>0</v>
      </c>
      <c r="FV26" s="32">
        <v>0</v>
      </c>
      <c r="FW26" s="32">
        <v>0</v>
      </c>
      <c r="FX26" s="32">
        <v>0</v>
      </c>
      <c r="FY26" s="32">
        <v>0</v>
      </c>
      <c r="FZ26" s="32">
        <v>0</v>
      </c>
      <c r="GA26" s="3">
        <v>19.683000000000003</v>
      </c>
      <c r="GB26" s="32">
        <v>13.122000000000002</v>
      </c>
      <c r="GC26" s="32">
        <v>98.41500000000002</v>
      </c>
      <c r="GD26" s="32">
        <v>62.207999999999998</v>
      </c>
      <c r="GE26" s="32">
        <v>62.207999999999998</v>
      </c>
      <c r="GF26" s="32">
        <v>82.943999999999988</v>
      </c>
      <c r="GG26" s="32">
        <v>41.471999999999994</v>
      </c>
      <c r="GH26" s="32">
        <v>31.103999999999999</v>
      </c>
      <c r="GI26" s="32">
        <v>0</v>
      </c>
      <c r="GJ26" s="32">
        <v>0</v>
      </c>
      <c r="GK26" s="32">
        <v>20.995200000000004</v>
      </c>
      <c r="GL26" s="32">
        <v>0</v>
      </c>
      <c r="GM26" s="32">
        <v>0</v>
      </c>
      <c r="GN26" s="32">
        <v>43.923000000000009</v>
      </c>
      <c r="GO26" s="32">
        <v>30</v>
      </c>
      <c r="GP26" s="32">
        <v>10</v>
      </c>
      <c r="GQ26" s="32">
        <v>2.2848800000000007</v>
      </c>
      <c r="GR26" s="32">
        <v>22.387279999999993</v>
      </c>
      <c r="GS26" s="32">
        <v>1</v>
      </c>
      <c r="GT26" s="32">
        <v>26</v>
      </c>
      <c r="GU26" s="32">
        <v>1.0268454372456677</v>
      </c>
      <c r="GV26" s="32">
        <v>51.049562682215743</v>
      </c>
      <c r="GW26" s="32">
        <v>1.429526995930682</v>
      </c>
      <c r="GX26" s="32">
        <v>91.396501457725947</v>
      </c>
      <c r="GY26" s="32">
        <v>3.1744804168990779</v>
      </c>
      <c r="GZ26" s="32">
        <v>2.3381924198250732</v>
      </c>
      <c r="HA26" s="32">
        <v>7.8724319348909129</v>
      </c>
      <c r="HB26" s="32">
        <v>4.1720116618075798</v>
      </c>
      <c r="HC26" s="32">
        <v>6.502453702972061</v>
      </c>
      <c r="HD26" s="32">
        <v>10.311044327573251</v>
      </c>
      <c r="HE26" s="32">
        <v>5.3278288569575425</v>
      </c>
      <c r="HF26" s="32">
        <v>13.772351615326819</v>
      </c>
      <c r="HG26" s="32">
        <v>4.333530213316255</v>
      </c>
      <c r="HH26" s="32">
        <v>18</v>
      </c>
      <c r="HI26" s="32">
        <v>3.5045305885170968</v>
      </c>
      <c r="HJ26" s="32">
        <v>13.772351615326819</v>
      </c>
      <c r="HK26" s="32">
        <v>2.8258027990289638</v>
      </c>
      <c r="HL26" s="32">
        <v>10.311044327573251</v>
      </c>
      <c r="HM26" s="32">
        <v>2.282319661320753</v>
      </c>
      <c r="HN26" s="32">
        <v>7.5394440270473329</v>
      </c>
      <c r="HO26" s="32">
        <v>1.859053991861364</v>
      </c>
      <c r="HP26" s="32">
        <v>5.3809166040570995</v>
      </c>
      <c r="HQ26" s="32">
        <v>1.5409786071196927</v>
      </c>
      <c r="HR26" s="32">
        <v>3.7588279489105929</v>
      </c>
      <c r="HS26" s="32">
        <v>1.3130663235646372</v>
      </c>
      <c r="HT26" s="32">
        <v>2.5965439519158533</v>
      </c>
      <c r="HU26" s="32">
        <v>1.1602899576650942</v>
      </c>
      <c r="HV26" s="32">
        <v>1.8174305033809166</v>
      </c>
      <c r="HW26" s="32">
        <v>1.3448534936138241</v>
      </c>
      <c r="HX26" s="32">
        <v>1.1021788129226144</v>
      </c>
      <c r="HY26" s="32">
        <v>1.0127723516153269</v>
      </c>
      <c r="HZ26" s="32">
        <v>0</v>
      </c>
      <c r="IA26" s="32">
        <v>0</v>
      </c>
      <c r="IB26" s="32">
        <v>0</v>
      </c>
      <c r="IC26" s="32">
        <v>0</v>
      </c>
      <c r="ID26" s="32">
        <v>0</v>
      </c>
      <c r="IE26" s="32">
        <v>0</v>
      </c>
      <c r="IF26" s="32">
        <v>0</v>
      </c>
      <c r="IG26" s="32">
        <v>0</v>
      </c>
      <c r="IH26" s="32">
        <v>0</v>
      </c>
      <c r="II26" s="32">
        <v>0</v>
      </c>
      <c r="IJ26" s="32">
        <v>0</v>
      </c>
      <c r="IK26" s="32">
        <v>0</v>
      </c>
      <c r="IL26" s="32">
        <v>0</v>
      </c>
      <c r="IM26" s="32">
        <v>0</v>
      </c>
      <c r="IN26" s="32">
        <v>0</v>
      </c>
      <c r="IO26" s="32">
        <v>0</v>
      </c>
      <c r="IP26" s="32">
        <v>0</v>
      </c>
      <c r="IQ26" s="32">
        <v>0</v>
      </c>
      <c r="IR26" s="32">
        <v>0</v>
      </c>
      <c r="IS26" s="32">
        <v>0</v>
      </c>
      <c r="IT26" s="32">
        <v>0</v>
      </c>
      <c r="IU26" s="32">
        <v>0</v>
      </c>
      <c r="IV26" s="32">
        <v>0</v>
      </c>
      <c r="IW26" s="32">
        <v>0</v>
      </c>
      <c r="IX26" s="32">
        <v>0</v>
      </c>
      <c r="IY26" s="32">
        <v>0</v>
      </c>
      <c r="IZ26" s="32">
        <v>0</v>
      </c>
      <c r="JA26" s="32">
        <v>0</v>
      </c>
      <c r="JB26" s="32">
        <v>0</v>
      </c>
      <c r="JC26" s="32">
        <v>0</v>
      </c>
      <c r="JD26" s="32">
        <v>0</v>
      </c>
      <c r="JE26" s="32">
        <v>0</v>
      </c>
      <c r="JF26" s="32">
        <v>0</v>
      </c>
      <c r="JG26" s="32">
        <v>0</v>
      </c>
      <c r="JH26" s="32">
        <v>0</v>
      </c>
      <c r="JI26" s="32">
        <v>1</v>
      </c>
      <c r="JJ26" s="32">
        <v>1.2</v>
      </c>
      <c r="JK26" s="32">
        <v>1.0759303628813179</v>
      </c>
      <c r="JL26" s="32">
        <v>1.4019825072886296</v>
      </c>
      <c r="JM26" s="32">
        <v>2.1425959183673466</v>
      </c>
      <c r="JN26" s="32">
        <v>2.2148858061010874</v>
      </c>
      <c r="JO26" s="32">
        <v>1.7358600583090378</v>
      </c>
      <c r="JP26" s="32">
        <v>5.8148897959183676</v>
      </c>
      <c r="JQ26" s="32">
        <v>12.004907405944122</v>
      </c>
      <c r="JR26" s="32">
        <v>1.053527696793003</v>
      </c>
      <c r="JS26" s="32">
        <v>27.122448979591834</v>
      </c>
      <c r="JT26" s="32">
        <v>14.744863869781826</v>
      </c>
      <c r="JU26" s="32">
        <v>1.2615777610818932</v>
      </c>
      <c r="JV26" s="32">
        <v>20.421159550867412</v>
      </c>
      <c r="JW26" s="32">
        <v>12.004907405944122</v>
      </c>
      <c r="JX26" s="32">
        <v>15.100247345918794</v>
      </c>
      <c r="JY26" s="32">
        <v>9.655657713915085</v>
      </c>
      <c r="JZ26" s="32">
        <v>8.6793221317257281</v>
      </c>
      <c r="KA26" s="32">
        <v>10.955715730690443</v>
      </c>
      <c r="KB26" s="32">
        <v>7.6670604266325109</v>
      </c>
      <c r="KC26" s="32">
        <v>6.2749865633253243</v>
      </c>
      <c r="KD26" s="32">
        <v>7.799887801851269</v>
      </c>
      <c r="KE26" s="32">
        <v>6.0090611770341935</v>
      </c>
      <c r="KF26" s="32">
        <v>4.5366971950474495</v>
      </c>
      <c r="KG26" s="32">
        <v>5.4614063867946152</v>
      </c>
      <c r="KH26" s="32">
        <v>4.6516055980579276</v>
      </c>
      <c r="KI26" s="32">
        <v>3.2799466950004925</v>
      </c>
      <c r="KJ26" s="32">
        <v>3.7852340436382792</v>
      </c>
      <c r="KK26" s="32">
        <v>3.3630233078926741</v>
      </c>
      <c r="KL26" s="32">
        <v>2.6326530612244898</v>
      </c>
      <c r="KM26" s="32">
        <v>2.7366529784681544</v>
      </c>
      <c r="KN26" s="32">
        <v>2.431402562193008</v>
      </c>
      <c r="KO26" s="32">
        <v>1.8812654591199247</v>
      </c>
      <c r="KP26" s="32">
        <v>1.9785486018085445</v>
      </c>
      <c r="KQ26" s="32">
        <v>1.757858295410716</v>
      </c>
      <c r="KR26" s="32">
        <v>1.4249929876157041</v>
      </c>
      <c r="KS26" s="32">
        <v>1.4304534044026951</v>
      </c>
      <c r="KT26" s="32">
        <v>1.2708984660924176</v>
      </c>
      <c r="KU26" s="32">
        <v>1.1740771277273925</v>
      </c>
      <c r="KV26" s="32">
        <v>1.0341908913922457</v>
      </c>
      <c r="KW26" s="32">
        <v>0.91883567369045505</v>
      </c>
      <c r="KX26" s="32">
        <v>0.8488356681528213</v>
      </c>
      <c r="KY26" s="32">
        <v>0.74770055182978368</v>
      </c>
      <c r="KZ26" s="32">
        <v>0.66430090032447897</v>
      </c>
      <c r="LA26" s="32">
        <v>0.61369221366498139</v>
      </c>
      <c r="LB26" s="32">
        <v>0</v>
      </c>
      <c r="LC26" s="32">
        <v>0</v>
      </c>
      <c r="LD26" s="32">
        <v>0</v>
      </c>
      <c r="LE26" s="32">
        <v>0</v>
      </c>
      <c r="LF26" s="32">
        <v>0</v>
      </c>
      <c r="LG26" s="32">
        <v>0</v>
      </c>
      <c r="LH26" s="32">
        <v>0</v>
      </c>
      <c r="LI26" s="32">
        <v>0</v>
      </c>
      <c r="LJ26" s="32">
        <v>0</v>
      </c>
      <c r="LK26" s="32">
        <v>0</v>
      </c>
      <c r="LL26" s="32">
        <v>0</v>
      </c>
      <c r="LM26" s="32">
        <v>0</v>
      </c>
      <c r="LN26" s="32">
        <v>0</v>
      </c>
      <c r="LO26" s="32">
        <v>0</v>
      </c>
      <c r="LP26" s="32">
        <v>0</v>
      </c>
      <c r="LQ26" s="32">
        <v>0</v>
      </c>
      <c r="LR26" s="32">
        <v>0</v>
      </c>
      <c r="LS26" s="32">
        <v>0</v>
      </c>
      <c r="LT26" s="32">
        <v>0</v>
      </c>
      <c r="LU26" s="32">
        <v>0</v>
      </c>
      <c r="LV26" s="32">
        <v>0</v>
      </c>
      <c r="LW26" s="32">
        <v>0</v>
      </c>
      <c r="LX26" s="32">
        <v>0</v>
      </c>
    </row>
  </sheetData>
  <phoneticPr fontId="9" type="noConversion"/>
  <conditionalFormatting sqref="E5">
    <cfRule type="containsText" dxfId="0" priority="1" operator="containsText" text="T">
      <formula>NOT(ISERROR(SEARCH("T",E5)))</formula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.75" right="0.75" top="1" bottom="1" header="0.5" footer="0.5"/>
  <pageSetup orientation="portrait" r:id="rId1"/>
  <headerFooter alignWithMargins="0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C877AFA-93EC-4A70-887D-BC9345ECC12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Statistics</vt:lpstr>
      <vt:lpstr>__JChemStructureSheet</vt:lpstr>
      <vt:lpstr>ExportControl</vt:lpstr>
      <vt:lpstr>Archaeol</vt:lpstr>
      <vt:lpstr>PG-Archaeol</vt:lpstr>
      <vt:lpstr>Sulfo-PG-Archaeol</vt:lpstr>
    </vt:vector>
  </TitlesOfParts>
  <Company>MSO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MSO</dc:creator>
  <cp:lastModifiedBy>文勇 姚</cp:lastModifiedBy>
  <dcterms:created xsi:type="dcterms:W3CDTF">2009-03-17T01:22:31Z</dcterms:created>
  <dcterms:modified xsi:type="dcterms:W3CDTF">2024-10-10T19:56:25Z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JChemExcelVersion">
    <vt:lpwstr>5.4.1</vt:lpwstr>
  </property>
  <property fmtid="{D5CDD505-2E9C-101B-9397-08002B2CF9AE}" pid="3" name="JChemExcelWorkbookGUID">
    <vt:lpwstr>6beb20c7-7069-43f5-b5eb-0a4bda075a56</vt:lpwstr>
  </property>
</Properties>
</file>