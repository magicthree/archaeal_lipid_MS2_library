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backupFile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eddbd1bea95931d/科研！/数据库/Rawfile/Template/Files_for_construction/"/>
    </mc:Choice>
  </mc:AlternateContent>
  <xr:revisionPtr revIDLastSave="0" documentId="13_ncr:20001_{EC3956C5-32C6-4FBA-B8CF-022458496DC2}" xr6:coauthVersionLast="47" xr6:coauthVersionMax="47" xr10:uidLastSave="{00000000-0000-0000-0000-000000000000}"/>
  <bookViews>
    <workbookView xWindow="-28920" yWindow="-120" windowWidth="29040" windowHeight="15720" tabRatio="908" xr2:uid="{00000000-000D-0000-FFFF-FFFF00000000}"/>
  </bookViews>
  <sheets>
    <sheet name="Statistics" sheetId="48" r:id="rId1"/>
    <sheet name="__JChemStructureSheet" sheetId="181" state="hidden" r:id="rId2"/>
    <sheet name="ExportControl" sheetId="59" r:id="rId3"/>
    <sheet name="GDGT" sheetId="173" r:id="rId4"/>
    <sheet name="2Gly-GDGT" sheetId="175" r:id="rId5"/>
    <sheet name="Calditol-GDGT" sheetId="174" r:id="rId6"/>
  </sheets>
  <definedNames>
    <definedName name="_xlnm._FilterDatabase" localSheetId="4" hidden="1">'2Gly-GDGT'!$B$6:$AT$8</definedName>
    <definedName name="_xlnm._FilterDatabase" localSheetId="5" hidden="1">'Calditol-GDGT'!$B$6:$BG$8</definedName>
    <definedName name="_xlnm._FilterDatabase" localSheetId="3" hidden="1">GDGT!$A$6:$AJ$8</definedName>
    <definedName name="_xlcn.WorksheetConnection_TetraetherbuiltnewlistTemplateOHv2.0.xlsm表1_51" hidden="1">表1_5[]</definedName>
    <definedName name="表1_" localSheetId="4" hidden="1">'2Gly-GDGT'!#REF!</definedName>
    <definedName name="表1_" localSheetId="5" hidden="1">'Calditol-GDGT'!#REF!</definedName>
    <definedName name="表1_5_" localSheetId="4" hidden="1">'2Gly-GDGT'!$A$6:$A$22</definedName>
    <definedName name="表1_5_" localSheetId="5" hidden="1">'Calditol-GDGT'!$A$6:$A$22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表1_5" name="表1_5" connection="WorksheetConnection_Tetraetherbuilt-newlist-Template-OH-v2.0.xlsm!表1_5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59" l="1"/>
  <c r="A2" i="59"/>
  <c r="C2" i="174" l="1"/>
  <c r="C2" i="175"/>
  <c r="B1" i="173" l="1"/>
  <c r="B1" i="175" l="1"/>
  <c r="B1" i="174"/>
  <c r="C2" i="173" l="1"/>
  <c r="P2" i="48" l="1" a="1"/>
  <c r="P5" i="48" a="1"/>
  <c r="P3" i="48" a="1"/>
  <c r="P4" i="48" a="1"/>
  <c r="P5" i="48" l="1"/>
  <c r="P4" i="48"/>
  <c r="P3" i="48"/>
  <c r="P2" i="48"/>
  <c r="D5" i="173" s="1"/>
  <c r="E5" i="175" l="1"/>
  <c r="E5" i="17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3B7519-A4D7-4254-ABAF-9B627CD1F7A5}" keepAlive="1" name="ModelConnection_表1" description="数据模型" type="5" refreshedVersion="8" minRefreshableVersion="5" saveData="1">
    <dbPr connection="Data Model Connection" command="表1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D36EB0C-0806-4F95-B51A-163E3F0ABAB5}" keepAlive="1" name="ModelConnection_表1_51" description="数据模型" type="5" refreshedVersion="8" minRefreshableVersion="5" saveData="1">
    <dbPr connection="Data Model Connection" command="表1_5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BFDE6A02-3223-4D00-AF0F-030587A7D068}" keepAlive="1" name="ModelConnection_表1_52" description="数据模型" type="5" refreshedVersion="8" minRefreshableVersion="5" saveData="1">
    <dbPr connection="Data Model Connection" command="表1_5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E96B53CA-C88F-4561-BDA9-D9A3C0B962BC}" keepAlive="1" name="ThisWorkbookDataModel" description="数据模型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2EA44E5E-CDEB-4A54-8EB7-5544441EE6C7}" name="WorksheetConnection_Tetraetherbuilt-newlist-Template-OH-v2.0.xlsm!表1_5" type="102" refreshedVersion="8" minRefreshableVersion="5">
    <extLst>
      <ext xmlns:x15="http://schemas.microsoft.com/office/spreadsheetml/2010/11/main" uri="{DE250136-89BD-433C-8126-D09CA5730AF9}">
        <x15:connection id="表1_5" autoDelete="1">
          <x15:rangePr sourceName="_xlcn.WorksheetConnection_TetraetherbuiltnewlistTemplateOHv2.0.xlsm表1_51"/>
        </x15:connection>
      </ext>
    </extLst>
  </connection>
  <connection id="6" xr16:uid="{CBE1C853-9CDC-415F-9E02-4F99D85FBFFF}" keepAlive="1" name="查询 - 表1" description="与工作簿中“表1”查询的连接。" type="5" refreshedVersion="0" background="1">
    <dbPr connection="Provider=Microsoft.Mashup.OleDb.1;Data Source=$Workbook$;Location=表1;Extended Properties=&quot;&quot;" command="SELECT * FROM [表1]"/>
  </connection>
  <connection id="7" xr16:uid="{228CCF98-8A57-43EC-AFC7-50BE36DD1EF7}" keepAlive="1" name="查询 - 表5" description="与工作簿中“表5”查询的连接。" type="5" refreshedVersion="8" background="1" saveData="1">
    <dbPr connection="Provider=Microsoft.Mashup.OleDb.1;Data Source=$Workbook$;Location=表5;Extended Properties=&quot;&quot;" command="SELECT * FROM [表5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<sst xmlns="http://schemas.openxmlformats.org/spreadsheetml/2006/main" count="1785" uniqueCount="688">
  <si>
    <t>Short Name</t>
  </si>
  <si>
    <t>[M+H]+ Precursor Mass</t>
  </si>
  <si>
    <t>SN1 acyl loss</t>
  </si>
  <si>
    <t>SN2 acyl loss</t>
  </si>
  <si>
    <t>SN1-H2O</t>
  </si>
  <si>
    <t>SN2-H2O</t>
  </si>
  <si>
    <t>CdId</t>
  </si>
  <si>
    <t>ExactMass</t>
  </si>
  <si>
    <t>Formula</t>
  </si>
  <si>
    <t>Rings</t>
  </si>
  <si>
    <t>Sn2 Chain Length</t>
    <phoneticPr fontId="11" type="noConversion"/>
  </si>
  <si>
    <t>Sn3 Chain Length</t>
    <phoneticPr fontId="11" type="noConversion"/>
  </si>
  <si>
    <t>Sn2 Double Bonds</t>
    <phoneticPr fontId="11" type="noConversion"/>
  </si>
  <si>
    <t>Sn3 Double Bonds</t>
    <phoneticPr fontId="11" type="noConversion"/>
  </si>
  <si>
    <t>Code</t>
    <phoneticPr fontId="11" type="noConversion"/>
  </si>
  <si>
    <t>Name</t>
    <phoneticPr fontId="11" type="noConversion"/>
  </si>
  <si>
    <t xml:space="preserve"> </t>
    <phoneticPr fontId="11" type="noConversion"/>
  </si>
  <si>
    <t>OH1</t>
    <phoneticPr fontId="11" type="noConversion"/>
  </si>
  <si>
    <t>OH2</t>
    <phoneticPr fontId="11" type="noConversion"/>
  </si>
  <si>
    <t>Branch1</t>
    <phoneticPr fontId="11" type="noConversion"/>
  </si>
  <si>
    <t>Branch2</t>
    <phoneticPr fontId="11" type="noConversion"/>
  </si>
  <si>
    <t>LogP</t>
    <phoneticPr fontId="12" type="noConversion"/>
  </si>
  <si>
    <t>Name2</t>
  </si>
  <si>
    <t>IUPAC</t>
    <phoneticPr fontId="11" type="noConversion"/>
  </si>
  <si>
    <t>Yoshinaga, M. Y., et al. (2011). "Systematic fragmentation patterns of archaeal intact polar lipids by high-performance liquid chromatography/electrospray ionization ion-trap mass spectrometry." Rapid Communications in Mass Spectrometry 25(23): 3563-3574.</t>
  </si>
  <si>
    <t>C12H22O11</t>
  </si>
  <si>
    <t>C6H12O6</t>
  </si>
  <si>
    <t>Head</t>
    <phoneticPr fontId="8" type="noConversion"/>
  </si>
  <si>
    <t>Reference</t>
    <phoneticPr fontId="8" type="noConversion"/>
  </si>
  <si>
    <t>Headmo</t>
    <phoneticPr fontId="8" type="noConversion"/>
  </si>
  <si>
    <t>contactmol</t>
    <phoneticPr fontId="8" type="noConversion"/>
  </si>
  <si>
    <t>H2O</t>
    <phoneticPr fontId="8" type="noConversion"/>
  </si>
  <si>
    <t>Formula</t>
    <phoneticPr fontId="11" type="noConversion"/>
  </si>
  <si>
    <t>LogP</t>
  </si>
  <si>
    <t>-H2O</t>
    <phoneticPr fontId="11" type="noConversion"/>
  </si>
  <si>
    <t>-2H2O</t>
    <phoneticPr fontId="11" type="noConversion"/>
  </si>
  <si>
    <t>GDGT</t>
    <phoneticPr fontId="12" type="noConversion"/>
  </si>
  <si>
    <t>GDGT</t>
    <phoneticPr fontId="11" type="noConversion"/>
  </si>
  <si>
    <t>GDGT-0</t>
  </si>
  <si>
    <t>GDGT-1</t>
  </si>
  <si>
    <t>GDGT-7</t>
  </si>
  <si>
    <t>GDGT-8</t>
  </si>
  <si>
    <t>GDGT-Cren</t>
  </si>
  <si>
    <t>Ring1</t>
    <phoneticPr fontId="11" type="noConversion"/>
  </si>
  <si>
    <t>Ring2</t>
    <phoneticPr fontId="11" type="noConversion"/>
  </si>
  <si>
    <t>-3H2O</t>
    <phoneticPr fontId="11" type="noConversion"/>
  </si>
  <si>
    <t>-Gly</t>
    <phoneticPr fontId="11" type="noConversion"/>
  </si>
  <si>
    <t>-Gly-H2O</t>
    <phoneticPr fontId="8" type="noConversion"/>
  </si>
  <si>
    <t>-Chain1</t>
    <phoneticPr fontId="8" type="noConversion"/>
  </si>
  <si>
    <t>-Chain1-H2O</t>
    <phoneticPr fontId="11" type="noConversion"/>
  </si>
  <si>
    <t>-Chain1-3H2O</t>
    <phoneticPr fontId="11" type="noConversion"/>
  </si>
  <si>
    <t>-Chain1-2H2O</t>
    <phoneticPr fontId="11" type="noConversion"/>
  </si>
  <si>
    <t>-Chain1-C3H6O2-H2O</t>
  </si>
  <si>
    <t>-Chain1-C3H6O2-2H2O</t>
  </si>
  <si>
    <t>-Chain1-C3H6O2-3H2O</t>
  </si>
  <si>
    <t>-Chain1-C3H6O2-4H2O</t>
    <phoneticPr fontId="11" type="noConversion"/>
  </si>
  <si>
    <t>Chain1</t>
  </si>
  <si>
    <t>-Chain1-C3H6O2-C3H4O</t>
    <phoneticPr fontId="11" type="noConversion"/>
  </si>
  <si>
    <t>-Chain1-C3H6O2-C3H6O2</t>
    <phoneticPr fontId="11" type="noConversion"/>
  </si>
  <si>
    <t>Chain1+H2O</t>
    <phoneticPr fontId="12" type="noConversion"/>
  </si>
  <si>
    <t>-Chain2</t>
  </si>
  <si>
    <t>-Chain2-H2O</t>
  </si>
  <si>
    <t>-Chain2-2H2O</t>
  </si>
  <si>
    <t>-Chain2-3H2O</t>
  </si>
  <si>
    <t>-Chain2-C3H6O2-H2O</t>
  </si>
  <si>
    <t>-Chain2-C3H6O2-2H2O</t>
  </si>
  <si>
    <t>-Chain2-C3H6O2-3H2O</t>
  </si>
  <si>
    <t>-Chain2-C3H6O2-4H2O</t>
  </si>
  <si>
    <t>-Chain2-C3H6O2-C3H4O</t>
  </si>
  <si>
    <t>-Chain2-C3H6O2-C3H6O2</t>
  </si>
  <si>
    <t>Chain2</t>
  </si>
  <si>
    <t>Chain2+H2O</t>
  </si>
  <si>
    <t>4Chain</t>
    <phoneticPr fontId="11" type="noConversion"/>
  </si>
  <si>
    <t>C86H172O6</t>
  </si>
  <si>
    <t>1S/C86H172O6/c1-69-29-17-33-73(5)41-25-49-81(13)57-61-89-67-85(65-87)91-63-59-83(15)52-28-44-76(8)36-20-32-72(4)40-24-48-80(12)56-54-78(10)46-22-38-70(2)30-18-34-74(6)42-26-50-82(14)58-62-90-68-86(66-88)92-64-60-84(16)51-27-43-75(7)35-19-31-71(3)39-23-47-79(11)55-53-77(9)45-21-37-69/h69-88H,17-68H2,1-16H3/t69?,70?,71?,72?,73?,74?,75?,76?,77?,78?,79?,80?,81?,82?,83?,84?,85-,86-/m0/s1</t>
  </si>
  <si>
    <t>CC1CCCC(C)CCCC(C)CCC(C)CCCC(C)CCCC(C)CCCC(C)CCO[C@@H](CO)COCCC(C)CCCC(C)CCCC(C)CCCC(C)CCC(C)CCCC(C)CCCC(C)CCCC(C)CCO[C@@H](CO)COCCC(C)CCC1</t>
  </si>
  <si>
    <t>VMHUDYKDOMRJOK-NYEYVJFSSA-N</t>
  </si>
  <si>
    <t>C86H170O6</t>
  </si>
  <si>
    <t>1S/C86H170O6/c1-68-27-16-30-71(4)36-22-42-78(11)55-59-89-66-85(64-87)91-61-57-80(13)43-23-37-73(6)32-18-29-70(3)35-21-41-76(9)51-52-77(10)45-25-47-82(15)84-54-53-83(63-84)48-26-46-79(12)56-60-90-67-86(65-88)92-62-58-81(14)44-24-38-72(5)31-17-28-69(2)34-20-40-75(8)50-49-74(7)39-19-33-68/h68-88H,16-67H2,1-15H3/t68?,69?,70?,71?,72?,73?,74?,75?,76?,77?,78?,79?,80?,81?,82?,83?,84?,85-,86-/m0/s1</t>
  </si>
  <si>
    <t>CC1CCCC(C)CCCC(C)CCC(C)CCCC(C)CCCC(C)CCCC(C)CCO[C@@H](CO)COCCC(C)CCCC2CCC(C2)C(C)CCCC(C)CCC(C)CCCC(C)CCCC(C)CCCC(C)CCO[C@@H](CO)COCCC(C)CCC1</t>
  </si>
  <si>
    <t>YDYPETACTKUARL-IJCSYGJJSA-N</t>
  </si>
  <si>
    <t>C86H168O6</t>
  </si>
  <si>
    <t>1S/C86H168O6/c1-67-25-15-27-69(3)31-19-35-77(11)55-59-91-85(63-87)65-89-57-53-75(9)40-24-44-82-50-52-84(62-82)80(14)42-22-38-74(8)48-46-72(6)34-18-30-68(2)26-16-28-70(4)32-20-36-78(12)56-60-92-86(64-88)66-90-58-54-76(10)39-23-43-81-49-51-83(61-81)79(13)41-21-37-73(7)47-45-71(5)33-17-29-67/h67-88H,15-66H2,1-14H3/t67?,68?,69?,70?,71?,72?,73?,74?,75?,76?,77?,78?,79?,80?,81?,82?,83?,84?,85-,86-/m0/s1</t>
  </si>
  <si>
    <t>JCOGZAAACXPQJL-RICZAJBFSA-N</t>
  </si>
  <si>
    <t>1S/C86H168O6/c1-67-25-15-27-69(3)31-19-35-75(9)53-57-89-65-86(64-88)92-60-56-78(12)40-24-44-82-50-52-84(62-82)80(14)42-22-38-74(8)48-47-73(7)37-21-41-79(13)83-51-49-81(61-83)43-23-39-76(10)54-58-90-66-85(63-87)91-59-55-77(11)36-20-32-70(4)28-16-26-68(2)30-18-34-72(6)46-45-71(5)33-17-29-67/h67-88H,15-66H2,1-14H3/t67?,68?,69?,70?,71?,72?,73?,74?,75?,76?,77?,78?,79?,80?,81?,82?,83?,84?,85-,86-/m0/s1</t>
  </si>
  <si>
    <t>IHDZSTGPXZZPMY-RICZAJBFSA-N</t>
  </si>
  <si>
    <t>C86H166O6</t>
  </si>
  <si>
    <t>1S/C86H166O6/c1-66-23-14-24-67(2)26-16-28-74(9)53-57-91-85(62-87)64-89-55-51-72(7)32-20-39-80-46-49-83(60-80)77(12)36-18-30-70(5)43-44-71(6)31-19-37-78(13)84-50-47-81(61-84)40-22-34-75(10)54-58-92-86(63-88)65-90-56-52-73(8)33-21-38-79-45-48-82(59-79)76(11)35-17-29-69(4)42-41-68(3)27-15-25-66/h66-88H,14-65H2,1-13H3/t66?,67?,68?,69?,70?,71?,72?,73?,74?,75?,76?,77?,78?,79?,80?,81?,82?,83?,84?,85-,86-/m0/s1</t>
  </si>
  <si>
    <t>QZAXLCNHFITADZ-KQFNPSNRSA-N</t>
  </si>
  <si>
    <t>1S/C86H166O6/c1-66-23-14-25-68(3)29-18-33-74(9)51-55-89-64-85(62-87)91-58-53-76(11)37-22-40-79-45-47-81(59-79)77(12)38-20-35-72(7)43-44-73(8)36-21-39-78(13)82-49-50-84(61-82)83-48-46-80(60-83)54-56-90-65-86(63-88)92-57-52-75(10)34-19-30-69(4)26-15-24-67(2)28-17-32-71(6)42-41-70(5)31-16-27-66/h66-88H,14-65H2,1-13H3/t66?,67?,68?,69?,70?,71?,72?,73?,74?,75?,76?,77?,78?,79?,80?,81?,82?,83?,84?,85-,86-/m0/s1</t>
  </si>
  <si>
    <t>CEFPRLKBLURMLG-KQFNPSNRSA-N</t>
  </si>
  <si>
    <t>C86H164O6</t>
  </si>
  <si>
    <t>1S/C86H164O6/c1-65-21-13-29-73(9)81-45-41-77(57-81)33-17-25-69(5)49-53-89-63-85(61-87)92-56-52-72(8)28-20-36-80-44-48-84(60-80)76(12)32-16-24-68(4)40-38-66(2)22-14-30-74(10)82-46-42-78(58-82)34-18-26-70(6)50-54-90-64-86(62-88)91-55-51-71(7)27-19-35-79-43-47-83(59-79)75(11)31-15-23-67(3)39-37-65/h65-88H,13-64H2,1-12H3/t65?,66?,67?,68?,69?,70?,71?,72?,73?,74?,75?,76?,77?,78?,79?,80?,81?,82?,83?,84?,85-,86-/m0/s1</t>
  </si>
  <si>
    <t>WYYONTFWKPEHQZ-UAOUQXOESA-N</t>
  </si>
  <si>
    <t>1S/C86H164O6/c1-65-21-13-22-66(2)24-15-26-72(8)50-55-92-86(62-88)64-90-54-52-79-43-46-83(59-79)84-48-47-82(60-84)76(12)34-18-29-70(6)40-39-69(5)28-17-33-75(11)81-45-42-78(58-81)36-20-31-73(9)51-56-91-85(61-87)63-89-53-49-71(7)30-19-35-77-41-44-80(57-77)74(10)32-16-27-68(4)38-37-67(3)25-14-23-65/h65-88H,13-64H2,1-12H3/t65?,66?,67?,68?,69?,70?,71?,72?,73?,74?,75?,76?,77?,78?,79?,80?,81?,82?,83?,84?,85-,86-/m0/s1</t>
  </si>
  <si>
    <t>JUNVVYIXOFVXMN-UAOUQXOESA-N</t>
  </si>
  <si>
    <t>1S/C86H164O6/c1-65-21-13-23-67(3)27-17-31-73(9)49-53-89-63-86(62-88)92-56-52-78-42-44-82(58-78)84-48-46-80(60-84)76(12)36-20-34-72(8)40-39-71(7)33-19-35-75(11)79-45-47-83(59-79)81-43-41-77(57-81)51-54-90-64-85(61-87)91-55-50-74(10)32-18-28-68(4)24-14-22-66(2)26-16-30-70(6)38-37-69(5)29-15-25-65/h65-88H,13-64H2,1-12H3/t65?,66?,67?,68?,69?,70?,71?,72?,73?,74?,75?,76?,77?,78?,79?,80?,81?,82?,83?,84?,85-,86-/m0/s1</t>
  </si>
  <si>
    <t>SGKIEUQQCBCZKH-UAOUQXOESA-N</t>
  </si>
  <si>
    <t>C86H162O6</t>
  </si>
  <si>
    <t>1S/C86H162O6/c1-64-19-12-26-71(8)79-41-37-75(55-79)30-16-23-68(5)47-51-89-62-85(60-87)91-53-48-69(6)24-17-31-76-38-42-80(56-76)73(10)28-14-21-66(3)35-36-67(4)22-15-29-74(11)82-45-46-84(59-82)83-44-40-78(58-83)50-52-90-63-86(61-88)92-54-49-70(7)25-18-32-77-39-43-81(57-77)72(9)27-13-20-65(2)34-33-64/h64-88H,12-63H2,1-11H3/t64?,65?,66?,67?,68?,69?,70?,71?,72?,73?,74?,75?,76?,77?,78?,79?,80?,81?,82?,83?,84?,85-,86-/m0/s1</t>
  </si>
  <si>
    <t>LHDKCLOQMSXODD-XOZNUWPFSA-N</t>
  </si>
  <si>
    <t>1S/C86H162O6/c1-64-19-12-20-65(2)22-14-24-71(8)48-53-91-85(60-87)63-90-52-49-76-38-41-81(56-76)83-45-43-79(58-83)73(10)30-16-26-68(5)35-36-69(6)27-17-31-74(11)80-44-46-84(59-80)82-42-39-77(57-82)50-54-92-86(61-88)62-89-51-47-70(7)28-18-32-75-37-40-78(55-75)72(9)29-15-25-67(4)34-33-66(3)23-13-21-64/h64-88H,12-63H2,1-11H3/t64?,65?,66?,67?,68?,69?,70?,71?,72?,73?,74?,75?,76?,77?,78?,79?,80?,81?,82?,83?,84?,85-,86-/m0/s1</t>
  </si>
  <si>
    <t>HLUQMLFGAVKEFN-XOZNUWPFSA-N</t>
  </si>
  <si>
    <t>C86H160O6</t>
  </si>
  <si>
    <t>1S/C86H160O6/c1-63-17-11-23-69(7)77-37-33-73(53-77)27-15-21-67(5)45-51-91-85(59-87)61-90-50-48-76-36-40-82(56-76)84-44-42-80(58-84)72(10)26-14-20-66(4)32-30-64(2)18-12-24-70(8)78-38-34-74(54-78)28-16-22-68(6)46-52-92-86(60-88)62-89-49-47-75-35-39-81(55-75)83-43-41-79(57-83)71(9)25-13-19-65(3)31-29-63/h63-88H,11-62H2,1-10H3/t63?,64?,65?,66?,67?,68?,69?,70?,71?,72?,73?,74?,75?,76?,77?,78?,79?,80?,81?,82?,83?,84?,85-,86-/m0/s1</t>
  </si>
  <si>
    <t>OENCNCUQBWMLKS-QTVGXDDESA-N</t>
  </si>
  <si>
    <t>1S/C86H160O6/c1-63-17-11-23-69(7)77-37-33-73(53-77)27-15-21-67(5)45-49-89-61-86(60-88)92-52-48-76-36-40-82(56-76)84-44-42-80(58-84)72(10)26-14-20-66(4)32-31-65(3)19-13-25-71(9)79-41-43-83(57-79)81-39-35-75(55-81)47-50-90-62-85(59-87)91-51-46-68(6)22-16-28-74-34-38-78(54-74)70(8)24-12-18-64(2)30-29-63/h63-88H,11-62H2,1-10H3/t63?,64?,65?,66?,67?,68?,69?,70?,71?,72?,73?,74?,75?,76?,77?,78?,79?,80?,81?,82?,83?,84?,85-,86-/m0/s1</t>
  </si>
  <si>
    <t>BKFRCOUEZAVAEN-QTVGXDDESA-N</t>
  </si>
  <si>
    <t>C86H158O6</t>
  </si>
  <si>
    <t>1S/C86H158O6/c1-62-15-10-20-67(6)75-33-29-71(51-75)24-14-19-66(5)43-49-91-85(58-87)60-89-47-44-72-30-34-79(52-72)82-40-37-76(55-82)69(8)22-12-17-64(3)27-28-65(4)18-13-23-70(9)78-39-42-84(57-78)81-36-32-74(54-81)46-50-92-86(59-88)61-90-48-45-73-31-35-80(53-73)83-41-38-77(56-83)68(7)21-11-16-63(2)26-25-62/h62-88H,10-61H2,1-9H3/t62?,63?,64?,65?,66?,67?,68?,69?,70?,71?,72?,73?,74?,75?,76?,77?,78?,79?,80?,81?,82?,83?,84?,85-,86-/m0/s1</t>
  </si>
  <si>
    <t>JBEFJAPIQMMFGC-FBLDDMSTSA-N</t>
  </si>
  <si>
    <t>C86H156O6</t>
  </si>
  <si>
    <t>1S/C86H156O6/c1-61-13-9-17-65(5)73-33-37-81(53-73)77-29-25-69(49-77)41-45-89-59-85(57-87)92-48-44-72-28-32-80(52-72)84-40-36-76(56-84)68(8)20-12-16-64(4)24-22-62(2)14-10-18-66(6)74-34-38-82(54-74)78-30-26-70(50-78)42-46-90-60-86(58-88)91-47-43-71-27-31-79(51-71)83-39-35-75(55-83)67(7)19-11-15-63(3)23-21-61/h61-88H,9-60H2,1-8H3/t61?,62?,63?,64?,65?,66?,67?,68?,69?,70?,71?,72?,73?,74?,75?,76?,77?,78?,79?,80?,81?,82?,83?,84?,85-,86-/m0/s1</t>
  </si>
  <si>
    <t>QFFWRGIZQCZNHF-HOHMEOGBSA-N</t>
  </si>
  <si>
    <t>1S/C86H162O6/c1-65-20-12-27-72(8)79-41-37-75(56-79)30-15-23-68(4)46-53-90-64-85(62-88)92-55-49-71(7)26-18-33-78-40-44-82(59-78)83-34-19-50-86(11,60-83)51-45-67(3)22-14-29-74(10)81-43-38-76(57-81)31-16-24-69(5)47-52-89-63-84(61-87)91-54-48-70(6)25-17-32-77-39-42-80(58-77)73(9)28-13-21-66(2)36-35-65/h65-85,87-88H,12-64H2,1-11H3/t65?,66?,67?,68?,69?,70?,71?,72?,73?,74?,75?,76?,77?,78?,79?,80?,81?,82?,83?,84-,85-,86?/m0/s1</t>
  </si>
  <si>
    <t>SJFIUCHUCYORQH-UVDNYMMHSA-N</t>
  </si>
  <si>
    <t>C92H182O11</t>
  </si>
  <si>
    <t>C92H180O11</t>
  </si>
  <si>
    <t>C92H178O11</t>
  </si>
  <si>
    <t>C92H176O11</t>
  </si>
  <si>
    <t>C92H174O11</t>
  </si>
  <si>
    <t>C92H172O11</t>
  </si>
  <si>
    <t>C92H170O11</t>
  </si>
  <si>
    <t>C92H168O11</t>
  </si>
  <si>
    <t>C92H166O11</t>
  </si>
  <si>
    <t>2Gly-GDGT-0</t>
  </si>
  <si>
    <t>C98H192O16</t>
  </si>
  <si>
    <t>1S/C98H192O16/c1-71-29-17-33-75(5)41-25-49-83(13)57-61-107-67-87(65-99)109-63-59-85(15)51-27-43-77(7)35-19-31-73(3)39-23-47-81(11)55-53-80(10)46-22-38-72(2)30-18-34-76(6)42-26-50-84(14)58-62-108-68-88(69-111-97-96(106)94(104)92(102)90(114-97)70-112-98-95(105)93(103)91(101)89(66-100)113-98)110-64-60-86(16)52-28-44-78(8)36-20-32-74(4)40-24-48-82(12)56-54-79(9)45-21-37-71/h71-106H,17-70H2,1-16H3/t71?,72?,73?,74?,75?,76?,77?,78?,79?,80?,81?,82?,83?,84?,85?,86?,87-,88+,89?,90?,91?,92?,93?,94?,95?,96?,97?,98?/m0/s1</t>
  </si>
  <si>
    <t>CC1CCCC(C)CCCC(C)CCC(C)CCCC(C)CCCC(C)CCCC(C)CCO[C@@H](CO)COCCC(C)CCCC(C)CCCC(C)CCCC(C)CCC(C)CCCC(C)CCCC(C)CCCC(C)CCO[C@@H](COC2OC(COC3OC(CO)C(O)C(O)C3O)C(O)C(O)C2O)COCCC(C)CCC1</t>
  </si>
  <si>
    <t>CRTNZTPGZOLYIO-GHYQSCGMSA-N</t>
  </si>
  <si>
    <t>2Gly-GDGT-1</t>
  </si>
  <si>
    <t>C98H190O16</t>
  </si>
  <si>
    <t>1S/C98H190O16/c1-70-27-16-30-73(4)36-22-42-80(11)55-59-107-66-87(64-99)109-61-57-82(13)43-23-37-74(5)31-17-28-72(3)35-21-41-78(9)51-52-79(10)45-25-47-84(15)86-54-53-85(63-86)48-26-46-81(12)56-60-108-67-88(68-111-97-96(106)94(104)92(102)90(114-97)69-112-98-95(105)93(103)91(101)89(65-100)113-98)110-62-58-83(14)44-24-38-75(6)32-18-29-71(2)34-20-40-77(8)50-49-76(7)39-19-33-70/h70-106H,16-69H2,1-15H3/t70?,71?,72?,73?,74?,75?,76?,77?,78?,79?,80?,81?,82?,83?,84?,85?,86?,87-,88+,89?,90?,91?,92?,93?,94?,95?,96?,97?,98?/m0/s1</t>
  </si>
  <si>
    <t>CC1CCCC(C)CCCC(C)CCC(C)CCCC(C)CCCC(C)CCCC(C)CCO[C@@H](COC2OC(COC3OC(CO)C(O)C(O)C3O)C(O)C(O)C2O)COCCC(C)CCCC2CCC(C2)C(C)CCCC(C)CCC(C)CCCC(C)CCCC(C)CCCC(C)CCO[C@@H](CO)COCCC(C)CCC1</t>
  </si>
  <si>
    <t>UHHHGHHGHWDCNI-KHSYNQGDSA-N</t>
  </si>
  <si>
    <t>C98H188O16</t>
  </si>
  <si>
    <t>1S/C98H188O16/c1-69-25-15-27-71(3)31-19-35-79(11)55-59-109-87(63-99)65-107-57-53-77(9)39-23-43-83-49-51-85(61-83)81(13)41-21-37-75(7)47-46-74(6)34-18-30-70(2)26-16-28-72(4)32-20-36-80(12)56-60-110-88(67-111-97-96(106)94(104)92(102)90(114-97)68-112-98-95(105)93(103)91(101)89(64-100)113-98)66-108-58-54-78(10)40-24-44-84-50-52-86(62-84)82(14)42-22-38-76(8)48-45-73(5)33-17-29-69/h69-106H,15-68H2,1-14H3/t69?,70?,71?,72?,73?,74?,75?,76?,77?,78?,79?,80?,81?,82?,83?,84?,85?,86?,87-,88+,89?,90?,91?,92?,93?,94?,95?,96?,97?,98?/m0/s1</t>
  </si>
  <si>
    <t>CC1CCCC(C)CCCC(C)CCC(C)CCCC(C)C2CCC(CCCC(C)CCOC[C@H](CO)OCCC(C)CCCC(C)CCCC(C)CCCC(C)CCC(C)CCCC(C)C3CCC(CCCC(C)CCOC[C@H](COC4OC(COC5OC(CO)C(O)C(O)C5O)C(O)C(O)C4O)OCCC(C)CCC1)C3)C2</t>
  </si>
  <si>
    <t>SZBQWHKEGBNUDF-QPNWVPINSA-N</t>
  </si>
  <si>
    <t>1S/C98H188O16/c1-69-25-15-27-71(3)31-19-35-77(9)53-57-107-65-87(63-99)109-59-55-80(12)40-24-44-84-50-52-86(62-84)82(14)42-22-38-76(8)48-47-75(7)37-21-41-81(13)85-51-49-83(61-85)43-23-39-78(10)54-58-108-66-88(67-111-97-96(106)94(104)92(102)90(114-97)68-112-98-95(105)93(103)91(101)89(64-100)113-98)110-60-56-79(11)36-20-32-72(4)28-16-26-70(2)30-18-34-74(6)46-45-73(5)33-17-29-69/h69-106H,15-68H2,1-14H3/t69?,70?,71?,72?,73?,74?,75?,76?,77?,78?,79?,80?,81?,82?,83?,84?,85?,86?,87-,88+,89?,90?,91?,92?,93?,94?,95?,96?,97?,98?/m0/s1</t>
  </si>
  <si>
    <t>CC1CCCC(C)CCCC(C)CCC(C)CCCC(C)CCCC(C)CCCC(C)CCO[C@@H](COC2OC(COC3OC(CO)C(O)C(O)C3O)C(O)C(O)C2O)COCCC(C)CCCC2CCC(C2)C(C)CCCC(C)CCC(C)CCCC(C)C2CCC(CCCC(C)CCO[C@@H](CO)COCCC(C)CCC1)C2</t>
  </si>
  <si>
    <t>ZGNGAZYBGBECNX-QPNWVPINSA-N</t>
  </si>
  <si>
    <t>C98H186O16</t>
  </si>
  <si>
    <t>1S/C98H186O16/c1-68-23-14-24-69(2)26-16-28-76(9)53-57-109-87(62-99)64-107-55-51-74(7)32-20-38-81-45-48-84(59-81)79(12)36-18-30-72(5)43-44-73(6)31-19-37-80(13)86-50-47-83(61-86)40-22-34-77(10)54-58-110-88(66-111-97-96(106)94(104)92(102)90(114-97)67-112-98-95(105)93(103)91(101)89(63-100)113-98)65-108-56-52-75(8)33-21-39-82-46-49-85(60-82)78(11)35-17-29-71(4)42-41-70(3)27-15-25-68/h68-106H,14-67H2,1-13H3/t68?,69?,70?,71?,72?,73?,74?,75?,76?,77?,78?,79?,80?,81?,82?,83?,84?,85?,86?,87-,88+,89?,90?,91?,92?,93?,94?,95?,96?,97?,98?/m0/s1</t>
  </si>
  <si>
    <t>CC1CCCC(C)CCCC(C)CCC(C)CCCC(C)C2CCC(CCCC(C)CCOC[C@H](COC3OC(COC4OC(CO)C(O)C(O)C4O)C(O)C(O)C3O)OCCC(C)CCCC3CCC(C3)C(C)CCCC(C)CCC(C)CCCC(C)C3CCC(CCCC(C)CCOC[C@H](CO)OCCC(C)CCC1)C3)C2</t>
  </si>
  <si>
    <t>SBPBCLLOHXYROS-YDABRBTLSA-N</t>
  </si>
  <si>
    <t>1S/C98H186O16/c1-68-23-14-25-70(3)29-18-33-76(9)51-55-107-64-87(62-99)109-57-52-78(11)37-22-40-81-45-47-83(59-81)79(12)38-20-35-74(7)43-44-75(8)36-21-39-80(13)84-49-50-86(61-84)85-48-46-82(60-85)54-56-108-65-88(66-111-97-96(106)94(104)92(102)90(114-97)67-112-98-95(105)93(103)91(101)89(63-100)113-98)110-58-53-77(10)34-19-30-71(4)26-15-24-69(2)28-17-32-73(6)42-41-72(5)31-16-27-68/h68-106H,14-67H2,1-13H3/t68?,69?,70?,71?,72?,73?,74?,75?,76?,77?,78?,79?,80?,81?,82?,83?,84?,85?,86?,87-,88+,89?,90?,91?,92?,93?,94?,95?,96?,97?,98?/m0/s1</t>
  </si>
  <si>
    <t>CC1CCCC(C)CCCC(C)CCC(C)CCCC(C)CCCC(C)CCCC(C)CCO[C@@H](COC2OC(COC3OC(CO)C(O)C(O)C3O)C(O)C(O)C2O)COCCC2CCC(C2)C2CCC(C2)C(C)CCCC(C)CCC(C)CCCC(C)C2CCC(CCCC(C)CCO[C@@H](CO)COCCC(C)CCC1)C2</t>
  </si>
  <si>
    <t>OPMFBJDCUXWKKM-YDABRBTLSA-N</t>
  </si>
  <si>
    <t>C98H184O16</t>
  </si>
  <si>
    <t>1S/C98H184O16/c1-67-21-13-29-75(9)83-45-41-79(57-83)33-17-25-71(5)49-53-107-63-87(61-99)109-55-51-73(7)27-19-35-81-43-47-85(59-81)77(11)31-15-23-69(3)39-37-68(2)22-14-30-76(10)84-46-42-80(58-84)34-18-26-72(6)50-54-108-64-88(110-56-52-74(8)28-20-36-82-44-48-86(60-82)78(12)32-16-24-70(4)40-38-67)65-111-97-96(106)94(104)92(102)90(114-97)66-112-98-95(105)93(103)91(101)89(62-100)113-98/h67-106H,13-66H2,1-12H3/t67?,68?,69?,70?,71?,72?,73?,74?,75?,76?,77?,78?,79?,80?,81?,82?,83?,84?,85?,86?,87-,88+,89?,90?,91?,92?,93?,94?,95?,96?,97?,98?/m0/s1</t>
  </si>
  <si>
    <t>CC1CCCC2CCC(C2)C(C)CCCC(C)CCC(C)CCCC(C)C2CCC(CCCC(C)CCO[C@@H](CO)COCCC(C)CCCC3CCC(C3)C(C)CCCC(C)CCC(C)CCCC(C)C3CCC(CCCC(C)CCO[C@@H](COC4OC(COC5OC(CO)C(O)C(O)C5O)C(O)C(O)C4O)COCC1)C3)C2</t>
  </si>
  <si>
    <t>LPBOQLGYVBYFGT-UVYJPLGBSA-N</t>
  </si>
  <si>
    <t>1S/C98H184O16/c1-67-21-13-22-68(2)24-15-26-74(8)50-55-109-87(61-99)63-108-54-52-81-43-46-85(59-81)86-48-47-84(60-86)78(12)34-18-29-72(6)40-39-71(5)28-17-33-77(11)83-45-42-80(58-83)36-20-31-75(9)51-56-110-88(65-111-97-96(106)94(104)92(102)90(114-97)66-112-98-95(105)93(103)91(101)89(62-100)113-98)64-107-53-49-73(7)30-19-35-79-41-44-82(57-79)76(10)32-16-27-70(4)38-37-69(3)25-14-23-67/h67-106H,13-66H2,1-12H3/t67?,68?,69?,70?,71?,72?,73?,74?,75?,76?,77?,78?,79?,80?,81?,82?,83?,84?,85?,86?,87-,88+,89?,90?,91?,92?,93?,94?,95?,96?,97?,98?/m0/s1</t>
  </si>
  <si>
    <t>CC1CCCC(C)CCCC(C)CCC(C)CCCC(C)C2CCC(CCCC(C)CCOC[C@H](COC3OC(COC4OC(CO)C(O)C(O)C4O)C(O)C(O)C3O)OCCC(C)CCCC3CCC(C3)C(C)CCCC(C)CCC(C)CCCC(C)C3CCC(C3)C3CCC(CCOC[C@H](CO)OCCC(C)CCC1)C3)C2</t>
  </si>
  <si>
    <t>KTUJFQQDEADJRX-UVYJPLGBSA-N</t>
  </si>
  <si>
    <t>1S/C98H184O16/c1-67-21-13-23-69(3)27-17-31-75(9)49-53-107-63-87(61-99)109-56-52-80-42-44-84(58-80)86-48-46-82(60-86)78(12)36-20-34-74(8)40-39-73(7)33-19-35-77(11)81-45-47-85(59-81)83-43-41-79(57-83)51-54-108-64-88(65-111-97-96(106)94(104)92(102)90(114-97)66-112-98-95(105)93(103)91(101)89(62-100)113-98)110-55-50-76(10)32-18-28-70(4)24-14-22-68(2)26-16-30-72(6)38-37-71(5)29-15-25-67/h67-106H,13-66H2,1-12H3/t67?,68?,69?,70?,71?,72?,73?,74?,75?,76?,77?,78?,79?,80?,81?,82?,83?,84?,85?,86?,87-,88+,89?,90?,91?,92?,93?,94?,95?,96?,97?,98?/m0/s1</t>
  </si>
  <si>
    <t>CC1CCCC(C)CCCC(C)CCC(C)CCCC(C)CCCC(C)CCCC(C)CCO[C@@H](COC2OC(COC3OC(CO)C(O)C(O)C3O)C(O)C(O)C2O)COCCC2CCC(C2)C2CCC(C2)C(C)CCCC(C)CCC(C)CCCC(C)C2CCC(C2)C2CCC(CCO[C@@H](CO)COCCC(C)CCC1)C2</t>
  </si>
  <si>
    <t>CZMSEDSYFABECA-UVYJPLGBSA-N</t>
  </si>
  <si>
    <t>C98H182O16</t>
  </si>
  <si>
    <t>1S/C98H182O16/c1-66-19-12-26-73(8)81-41-37-77(55-81)30-16-23-70(5)47-51-107-62-87(60-99)109-53-48-71(6)24-17-31-78-38-42-82(56-78)74(9)28-14-21-68(3)35-36-69(4)22-15-29-76(11)84-45-46-86(59-84)85-44-40-80(58-85)50-52-108-63-88(110-54-49-72(7)25-18-32-79-39-43-83(57-79)75(10)27-13-20-67(2)34-33-66)64-111-97-96(106)94(104)92(102)90(114-97)65-112-98-95(105)93(103)91(101)89(61-100)113-98/h66-106H,12-65H2,1-11H3/t66?,67?,68?,69?,70?,71?,72?,73?,74?,75?,76?,77?,78?,79?,80?,81?,82?,83?,84?,85?,86?,87-,88+,89?,90?,91?,92?,93?,94?,95?,96?,97?,98?/m0/s1</t>
  </si>
  <si>
    <t>CC1CCCC2CCC(C2)C(C)CCCC(C)CCC(C)CCCC(C)C2CCC(CCCC(C)CCO[C@@H](COC3OC(COC4OC(CO)C(O)C(O)C4O)C(O)C(O)C3O)COCCC3CCC(C3)C3CCC(C3)C(C)CCCC(C)CCC(C)CCCC(C)C3CCC(CCCC(C)CCO[C@@H](CO)COCC1)C3)C2</t>
  </si>
  <si>
    <t>ISCFXXVLHMLXDD-COVRFQEWSA-N</t>
  </si>
  <si>
    <t>1S/C98H182O16/c1-66-19-12-20-67(2)22-14-24-73(8)48-53-109-87(60-99)62-108-52-49-78-38-41-83(56-78)85-45-43-81(58-85)75(10)30-16-26-70(5)35-36-71(6)27-17-31-76(11)82-44-46-86(59-82)84-42-39-79(57-84)50-54-110-88(64-111-97-96(106)94(104)92(102)90(114-97)65-112-98-95(105)93(103)91(101)89(61-100)113-98)63-107-51-47-72(7)28-18-32-77-37-40-80(55-77)74(9)29-15-25-69(4)34-33-68(3)23-13-21-66/h66-106H,12-65H2,1-11H3/t66?,67?,68?,69?,70?,71?,72?,73?,74?,75?,76?,77?,78?,79?,80?,81?,82?,83?,84?,85?,86?,87-,88+,89?,90?,91?,92?,93?,94?,95?,96?,97?,98?/m0/s1</t>
  </si>
  <si>
    <t>CC1CCCC(C)CCCC(C)CCC(C)CCCC(C)C2CCC(CCCC(C)CCOC[C@H](COC3OC(COC4OC(CO)C(O)C(O)C4O)C(O)C(O)C3O)OCCC3CCC(C3)C3CCC(C3)C(C)CCCC(C)CCC(C)CCCC(C)C3CCC(C3)C3CCC(CCOC[C@H](CO)OCCC(C)CCC1)C3)C2</t>
  </si>
  <si>
    <t>RZILWAWPUWNBGG-COVRFQEWSA-N</t>
  </si>
  <si>
    <t>C98H180O16</t>
  </si>
  <si>
    <t>1S/C98H180O16/c1-65-17-11-23-71(7)79-37-33-75(53-79)27-15-21-69(5)45-51-109-87(59-99)61-107-49-47-77-35-39-83(55-77)85-43-41-81(57-85)73(9)25-13-19-67(3)31-30-66(2)18-12-24-72(8)80-38-34-76(54-80)28-16-22-70(6)46-52-110-88(62-108-50-48-78-36-40-84(56-78)86-44-42-82(58-86)74(10)26-14-20-68(4)32-29-65)63-111-97-96(106)94(104)92(102)90(114-97)64-112-98-95(105)93(103)91(101)89(60-100)113-98/h65-106H,11-64H2,1-10H3/t65?,66?,67?,68?,69?,70?,71?,72?,73?,74?,75?,76?,77?,78?,79?,80?,81?,82?,83?,84?,85?,86?,87-,88+,89?,90?,91?,92?,93?,94?,95?,96?,97?,98?/m0/s1</t>
  </si>
  <si>
    <t>CC1CCCC2CCC(C2)C(C)CCCC(C)CCC(C)CCCC(C)C2CCC(C2)C2CCC(CCOC[C@H](CO)OCCC(C)CCCC3CCC(C3)C(C)CCCC(C)CCC(C)CCCC(C)C3CCC(C3)C3CCC(CCOC[C@H](COC4OC(COC5OC(CO)C(O)C(O)C5O)C(O)C(O)C4O)OCC1)C3)C2</t>
  </si>
  <si>
    <t>CTRRAKGTJJAAGV-HHJCTYGDSA-N</t>
  </si>
  <si>
    <t>1S/C98H180O16/c1-65-17-11-23-71(7)79-37-33-75(53-79)27-15-21-69(5)45-49-107-61-87(59-99)109-52-48-78-36-40-84(56-78)86-44-42-82(58-86)74(10)26-14-20-68(4)32-31-67(3)19-13-25-73(9)81-41-43-85(57-81)83-39-35-77(55-83)47-50-108-62-88(110-51-46-70(6)22-16-28-76-34-38-80(54-76)72(8)24-12-18-66(2)30-29-65)63-111-97-96(106)94(104)92(102)90(114-97)64-112-98-95(105)93(103)91(101)89(60-100)113-98/h65-106H,11-64H2,1-10H3/t65?,66?,67?,68?,69?,70?,71?,72?,73?,74?,75?,76?,77?,78?,79?,80?,81?,82?,83?,84?,85?,86?,87-,88+,89?,90?,91?,92?,93?,94?,95?,96?,97?,98?/m0/s1</t>
  </si>
  <si>
    <t>CC1CCCC2CCC(C2)C(C)CCCC(C)CCC(C)CCCC(C)C2CCC(CCCC(C)CCO[C@@H](COC3OC(COC4OC(CO)C(O)C(O)C4O)C(O)C(O)C3O)COCCC3CCC(C3)C3CCC(C3)C(C)CCCC(C)CCC(C)CCCC(C)C3CCC(C3)C3CCC(CCO[C@@H](CO)COCC1)C3)C2</t>
  </si>
  <si>
    <t>AQVOWVNFXUKXEG-HHJCTYGDSA-N</t>
  </si>
  <si>
    <t>2Gly-GDGT-7</t>
  </si>
  <si>
    <t>C98H178O16</t>
  </si>
  <si>
    <t>1S/C98H178O16/c1-64-15-10-20-69(6)77-33-29-73(51-77)24-14-19-68(5)43-49-109-87(58-99)60-107-47-44-74-30-34-81(52-74)84-40-37-78(55-84)70(7)22-12-17-66(3)27-28-67(4)18-13-23-72(9)80-39-42-86(57-80)83-36-32-76(54-83)46-50-110-88(61-108-48-45-75-31-35-82(53-75)85-41-38-79(56-85)71(8)21-11-16-65(2)26-25-64)62-111-97-96(106)94(104)92(102)90(114-97)63-112-98-95(105)93(103)91(101)89(59-100)113-98/h64-106H,10-63H2,1-9H3/t64?,65?,66?,67?,68?,69?,70?,71?,72?,73?,74?,75?,76?,77?,78?,79?,80?,81?,82?,83?,84?,85?,86?,87-,88+,89?,90?,91?,92?,93?,94?,95?,96?,97?,98?/m0/s1</t>
  </si>
  <si>
    <t>CC1CCCC2CCC(C2)C(C)CCCC(C)CCC(C)CCCC(C)C2CCC(C2)C2CCC(CCOC[C@H](COC3OC(COC4OC(CO)C(O)C(O)C4O)C(O)C(O)C3O)OCCC3CCC(C3)C3CCC(C3)C(C)CCCC(C)CCC(C)CCCC(C)C3CCC(C3)C3CCC(CCOC[C@H](CO)OCC1)C3)C2</t>
  </si>
  <si>
    <t>UUTGSLFWTCARTA-SZHXRIFZSA-N</t>
  </si>
  <si>
    <t>2Gly-GDGT-8</t>
  </si>
  <si>
    <t>C98H176O16</t>
  </si>
  <si>
    <t>1S/C98H176O16/c1-63-13-9-17-67(5)75-33-37-83(53-75)79-29-25-71(49-79)41-45-107-59-87(57-99)109-47-43-73-27-31-81(51-73)85-39-35-77(55-85)69(7)19-11-15-65(3)23-21-64(2)14-10-18-68(6)76-34-38-84(54-76)80-30-26-72(50-80)42-46-108-60-88(110-48-44-74-28-32-82(52-74)86-40-36-78(56-86)70(8)20-12-16-66(4)24-22-63)61-111-97-96(106)94(104)92(102)90(114-97)62-112-98-95(105)93(103)91(101)89(58-100)113-98/h63-106H,9-62H2,1-8H3/t63?,64?,65?,66?,67?,68?,69?,70?,71?,72?,73?,74?,75?,76?,77?,78?,79?,80?,81?,82?,83?,84?,85?,86?,87-,88+,89?,90?,91?,92?,93?,94?,95?,96?,97?,98?/m0/s1</t>
  </si>
  <si>
    <t>CC1CCCC(C)C2CCC(C2)C2CCC(CCOC[C@H](COC3OC(COC4OC(CO)C(O)C(O)C4O)C(O)C(O)C3O)OCCC3CCC(C3)C3CCC(C3)C(C)CCCC(C)CCC(C)CCCC(C)C3CCC(C3)C3CCC(CCOC[C@H](CO)OCCC4CCC(C4)C4CCC(C4)C(C)CCCC(C)CC1)C3)C2</t>
  </si>
  <si>
    <t>DIPSPZWTQJFEBB-INCJYHLQSA-N</t>
  </si>
  <si>
    <t>2Gly-GDGT-Cren</t>
  </si>
  <si>
    <t>1S/C98H182O16/c1-67-20-12-27-74(8)81-41-37-77(56-81)30-15-23-70(4)46-52-107-63-86(61-99)109-54-48-72(6)26-18-33-80-40-44-84(59-80)85-34-19-50-98(11,60-85)51-45-69(3)22-14-29-76(10)83-43-38-78(57-83)31-16-24-71(5)47-53-108-64-87(110-55-49-73(7)25-17-32-79-39-42-82(58-79)75(9)28-13-21-68(2)36-35-67)65-111-96-95(106)93(104)91(102)89(114-96)66-112-97-94(105)92(103)90(101)88(62-100)113-97/h67-97,99-106H,12-66H2,1-11H3/t67?,68?,69?,70?,71?,72?,73?,74?,75?,76?,77?,78?,79?,80?,81?,82?,83?,84?,85?,86-,87+,88?,89?,90?,91?,92?,93?,94?,95?,96?,97?,98?/m0/s1</t>
  </si>
  <si>
    <t>CC1CCCC2CCC(C2)C(C)CCCC(C)CCC2(C)CCCC(C2)C2CCC(CCCC(C)CCO[C@@H](CO)COCCC(C)CCCC3CCC(C3)C(C)CCCC(C)CCC(C)CCCC(C)C3CCC(CCCC(C)CCO[C@@H](COC4OC(COC5OC(CO)C(O)C(O)C5O)C(O)C(O)C4O)COCC1)C3)C2</t>
  </si>
  <si>
    <t>UQWNBFODZDDNCR-IWOCTNCSSA-N</t>
  </si>
  <si>
    <t>Calditol-GDGT-0</t>
  </si>
  <si>
    <t>1S/C92H182O11/c1-70-29-17-33-74(5)41-25-49-82(13)57-61-99-66-86(65-93)101-63-59-84(15)51-27-43-76(7)35-19-31-72(3)39-23-47-80(11)55-53-79(10)46-22-38-71(2)30-18-34-75(6)42-26-50-83(14)58-62-100-67-87(68-103-91-89(96)88(95)90(97)92(91,98)69-94)102-64-60-85(16)52-28-44-77(8)36-20-32-73(4)40-24-48-81(12)56-54-78(9)45-21-37-70/h70-91,93-98H,17-69H2,1-16H3/t70?,71?,72?,73?,74?,75?,76?,77?,78?,79?,80?,81?,82?,83?,84?,85?,86-,87+,88?,89?,90?,91?,92?/m0/s1</t>
  </si>
  <si>
    <t>CC1CCCC(C)CCCC(C)CCC(C)CCCC(C)CCCC(C)CCCC(C)CCO[C@@H](CO)COCCC(C)CCCC(C)CCCC(C)CCCC(C)CCC(C)CCCC(C)CCCC(C)CCCC(C)CCO[C@@H](COC2C(O)C(O)C(O)C2(O)CO)COCCC(C)CCC1</t>
  </si>
  <si>
    <t>IJPWROQOANOMJA-YTHYDNLJSA-N</t>
  </si>
  <si>
    <t>Calditol-GDGT-1</t>
  </si>
  <si>
    <t>1S/C92H180O11/c1-69-27-16-30-72(4)36-22-42-79(11)55-59-99-65-86(64-93)101-61-57-81(13)43-23-37-73(5)31-17-28-71(3)35-21-41-77(9)51-52-78(10)45-25-47-83(15)85-54-53-84(63-85)48-26-46-80(12)56-60-100-66-87(67-103-91-89(96)88(95)90(97)92(91,98)68-94)102-62-58-82(14)44-24-38-74(6)32-18-29-70(2)34-20-40-76(8)50-49-75(7)39-19-33-69/h69-91,93-98H,16-68H2,1-15H3/t69?,70?,71?,72?,73?,74?,75?,76?,77?,78?,79?,80?,81?,82?,83?,84?,85?,86-,87+,88?,89?,90?,91?,92?/m0/s1</t>
  </si>
  <si>
    <t>CC1CCCC(C)CCCC(C)CCC(C)CCCC(C)CCCC(C)CCCC(C)CCO[C@@H](COC2C(O)C(O)C(O)C2(O)CO)COCCC(C)CCCC2CCC(C2)C(C)CCCC(C)CCC(C)CCCC(C)CCCC(C)CCCC(C)CCO[C@@H](CO)COCCC(C)CCC1</t>
  </si>
  <si>
    <t>FCYIBVDHURSHJF-RCYMWJERSA-N</t>
  </si>
  <si>
    <t>1S/C92H178O11/c1-68-25-15-27-70(3)31-19-35-78(11)55-59-101-86(63-93)64-99-57-53-76(9)39-23-43-82-49-51-84(61-82)80(13)41-21-37-74(7)47-46-73(6)34-18-30-69(2)26-16-28-71(4)32-20-36-79(12)56-60-102-87(66-103-91-89(96)88(95)90(97)92(91,98)67-94)65-100-58-54-77(10)40-24-44-83-50-52-85(62-83)81(14)42-22-38-75(8)48-45-72(5)33-17-29-68/h68-91,93-98H,15-67H2,1-14H3/t68?,69?,70?,71?,72?,73?,74?,75?,76?,77?,78?,79?,80?,81?,82?,83?,84?,85?,86-,87+,88?,89?,90?,91?,92?/m0/s1</t>
  </si>
  <si>
    <t>CC1CCCC(C)CCCC(C)CCC(C)CCCC(C)C2CCC(CCCC(C)CCOC[C@H](CO)OCCC(C)CCCC(C)CCCC(C)CCCC(C)CCC(C)CCCC(C)C3CCC(CCCC(C)CCOC[C@H](COC4C(O)C(O)C(O)C4(O)CO)OCCC(C)CCC1)C3)C2</t>
  </si>
  <si>
    <t>KDRLNLDIRVJKGX-UUDBXJKFSA-N</t>
  </si>
  <si>
    <t>1S/C92H178O11/c1-68-25-15-27-70(3)31-19-35-76(9)53-57-99-64-86(63-93)101-59-55-79(12)40-24-44-83-50-52-85(62-83)81(14)42-22-38-75(8)48-47-74(7)37-21-41-80(13)84-51-49-82(61-84)43-23-39-77(10)54-58-100-65-87(66-103-91-89(96)88(95)90(97)92(91,98)67-94)102-60-56-78(11)36-20-32-71(4)28-16-26-69(2)30-18-34-73(6)46-45-72(5)33-17-29-68/h68-91,93-98H,15-67H2,1-14H3/t68?,69?,70?,71?,72?,73?,74?,75?,76?,77?,78?,79?,80?,81?,82?,83?,84?,85?,86-,87+,88?,89?,90?,91?,92?/m0/s1</t>
  </si>
  <si>
    <t>CC1CCCC(C)CCCC(C)CCC(C)CCCC(C)CCCC(C)CCCC(C)CCO[C@@H](COC2C(O)C(O)C(O)C2(O)CO)COCCC(C)CCCC2CCC(C2)C(C)CCCC(C)CCC(C)CCCC(C)C2CCC(CCCC(C)CCO[C@@H](CO)COCCC(C)CCC1)C2</t>
  </si>
  <si>
    <t>DCTNMXATRQGXLB-UUDBXJKFSA-N</t>
  </si>
  <si>
    <t>1S/C92H176O11/c1-67-23-14-24-68(2)26-16-28-75(9)53-57-101-86(62-93)63-99-55-51-73(7)32-20-38-80-45-48-83(59-80)78(12)36-18-30-71(5)43-44-72(6)31-19-37-79(13)85-50-47-82(61-85)40-22-34-76(10)54-58-102-87(65-103-91-89(96)88(95)90(97)92(91,98)66-94)64-100-56-52-74(8)33-21-39-81-46-49-84(60-81)77(11)35-17-29-70(4)42-41-69(3)27-15-25-67/h67-91,93-98H,14-66H2,1-13H3/t67?,68?,69?,70?,71?,72?,73?,74?,75?,76?,77?,78?,79?,80?,81?,82?,83?,84?,85?,86-,87+,88?,89?,90?,91?,92?/m0/s1</t>
  </si>
  <si>
    <t>CC1CCCC(C)CCCC(C)CCC(C)CCCC(C)C2CCC(CCCC(C)CCOC[C@H](COC3C(O)C(O)C(O)C3(O)CO)OCCC(C)CCCC3CCC(C3)C(C)CCCC(C)CCC(C)CCCC(C)C3CCC(CCCC(C)CCOC[C@H](CO)OCCC(C)CCC1)C3)C2</t>
  </si>
  <si>
    <t>UYAOIYIKKHYPSA-KGLUFEICSA-N</t>
  </si>
  <si>
    <t>1S/C92H176O11/c1-67-23-14-25-69(3)29-18-33-75(9)51-55-99-63-86(62-93)101-57-52-77(11)37-22-40-80-45-47-82(59-80)78(12)38-20-35-73(7)43-44-74(8)36-21-39-79(13)83-49-50-85(61-83)84-48-46-81(60-84)54-56-100-64-87(65-103-91-89(96)88(95)90(97)92(91,98)66-94)102-58-53-76(10)34-19-30-70(4)26-15-24-68(2)28-17-32-72(6)42-41-71(5)31-16-27-67/h67-91,93-98H,14-66H2,1-13H3/t67?,68?,69?,70?,71?,72?,73?,74?,75?,76?,77?,78?,79?,80?,81?,82?,83?,84?,85?,86-,87+,88?,89?,90?,91?,92?/m0/s1</t>
  </si>
  <si>
    <t>CC1CCCC(C)CCCC(C)CCC(C)CCCC(C)CCCC(C)CCCC(C)CCO[C@@H](COC2C(O)C(O)C(O)C2(O)CO)COCCC2CCC(C2)C2CCC(C2)C(C)CCCC(C)CCC(C)CCCC(C)C2CCC(CCCC(C)CCO[C@@H](CO)COCCC(C)CCC1)C2</t>
  </si>
  <si>
    <t>WCWWDCGMFHDVJX-KGLUFEICSA-N</t>
  </si>
  <si>
    <t>1S/C92H174O11/c1-66-21-13-29-74(9)82-45-41-78(57-82)33-17-25-70(5)49-53-99-62-86(61-93)101-55-51-72(7)27-19-35-80-43-47-84(59-80)76(11)31-15-23-68(3)39-37-67(2)22-14-30-75(10)83-46-42-79(58-83)34-18-26-71(6)50-54-100-63-87(64-103-91-89(96)88(95)90(97)92(91,98)65-94)102-56-52-73(8)28-20-36-81-44-48-85(60-81)77(12)32-16-24-69(4)40-38-66/h66-91,93-98H,13-65H2,1-12H3/t66?,67?,68?,69?,70?,71?,72?,73?,74?,75?,76?,77?,78?,79?,80?,81?,82?,83?,84?,85?,86-,87+,88?,89?,90?,91?,92?/m0/s1</t>
  </si>
  <si>
    <t>CC1CCCC2CCC(C2)C(C)CCCC(C)CCC(C)CCCC(C)C2CCC(CCCC(C)CCO[C@@H](CO)COCCC(C)CCCC3CCC(C3)C(C)CCCC(C)CCC(C)CCCC(C)C3CCC(CCCC(C)CCO[C@@H](COC4C(O)C(O)C(O)C4(O)CO)COCC1)C3)C2</t>
  </si>
  <si>
    <t>OZGOKOLHFUZHBK-JRXUFOIKSA-N</t>
  </si>
  <si>
    <t>1S/C92H174O11/c1-66-21-13-22-67(2)24-15-26-73(8)50-55-101-86(61-93)62-100-54-52-80-43-46-84(59-80)85-48-47-83(60-85)77(12)34-18-29-71(6)40-39-70(5)28-17-33-76(11)82-45-42-79(58-82)36-20-31-74(9)51-56-102-87(64-103-91-89(96)88(95)90(97)92(91,98)65-94)63-99-53-49-72(7)30-19-35-78-41-44-81(57-78)75(10)32-16-27-69(4)38-37-68(3)25-14-23-66/h66-91,93-98H,13-65H2,1-12H3/t66?,67?,68?,69?,70?,71?,72?,73?,74?,75?,76?,77?,78?,79?,80?,81?,82?,83?,84?,85?,86-,87+,88?,89?,90?,91?,92?/m0/s1</t>
  </si>
  <si>
    <t>CC1CCCC(C)CCCC(C)CCC(C)CCCC(C)C2CCC(CCCC(C)CCOC[C@H](COC3C(O)C(O)C(O)C3(O)CO)OCCC(C)CCCC3CCC(C3)C(C)CCCC(C)CCC(C)CCCC(C)C3CCC(C3)C3CCC(CCOC[C@H](CO)OCCC(C)CCC1)C3)C2</t>
  </si>
  <si>
    <t>OZNAEEYONKVCSM-JRXUFOIKSA-N</t>
  </si>
  <si>
    <t>1S/C92H174O11/c1-66-21-13-23-68(3)27-17-31-74(9)49-53-99-62-86(61-93)101-56-52-79-42-44-83(58-79)85-48-46-81(60-85)77(12)36-20-34-73(8)40-39-72(7)33-19-35-76(11)80-45-47-84(59-80)82-43-41-78(57-82)51-54-100-63-87(64-103-91-89(96)88(95)90(97)92(91,98)65-94)102-55-50-75(10)32-18-28-69(4)24-14-22-67(2)26-16-30-71(6)38-37-70(5)29-15-25-66/h66-91,93-98H,13-65H2,1-12H3/t66?,67?,68?,69?,70?,71?,72?,73?,74?,75?,76?,77?,78?,79?,80?,81?,82?,83?,84?,85?,86-,87+,88?,89?,90?,91?,92?/m0/s1</t>
  </si>
  <si>
    <t>CC1CCCC(C)CCCC(C)CCC(C)CCCC(C)CCCC(C)CCCC(C)CCO[C@@H](COC2C(O)C(O)C(O)C2(O)CO)COCCC2CCC(C2)C2CCC(C2)C(C)CCCC(C)CCC(C)CCCC(C)C2CCC(C2)C2CCC(CCO[C@@H](CO)COCCC(C)CCC1)C2</t>
  </si>
  <si>
    <t>QQEXDEJUGPPMOD-JRXUFOIKSA-N</t>
  </si>
  <si>
    <t>1S/C92H172O11/c1-65-19-12-26-72(8)80-41-37-76(55-80)30-16-23-69(5)47-51-99-61-86(60-93)101-53-48-70(6)24-17-31-77-38-42-81(56-77)73(9)28-14-21-67(3)35-36-68(4)22-15-29-75(11)83-45-46-85(59-83)84-44-40-79(58-84)50-52-100-62-87(63-103-91-89(96)88(95)90(97)92(91,98)64-94)102-54-49-71(7)25-18-32-78-39-43-82(57-78)74(10)27-13-20-66(2)34-33-65/h65-91,93-98H,12-64H2,1-11H3/t65?,66?,67?,68?,69?,70?,71?,72?,73?,74?,75?,76?,77?,78?,79?,80?,81?,82?,83?,84?,85?,86-,87+,88?,89?,90?,91?,92?/m0/s1</t>
  </si>
  <si>
    <t>CC1CCCC2CCC(C2)C(C)CCCC(C)CCC(C)CCCC(C)C2CCC(CCCC(C)CCO[C@@H](COC3C(O)C(O)C(O)C3(O)CO)COCCC3CCC(C3)C3CCC(C3)C(C)CCCC(C)CCC(C)CCCC(C)C3CCC(CCCC(C)CCO[C@@H](CO)COCC1)C3)C2</t>
  </si>
  <si>
    <t>BLXOQZUOKHTDLB-RUITXCQESA-N</t>
  </si>
  <si>
    <t>1S/C92H172O11/c1-65-19-12-20-66(2)22-14-24-72(8)48-53-101-86(60-93)61-100-52-49-77-38-41-82(56-77)84-45-43-80(58-84)74(10)30-16-26-69(5)35-36-70(6)27-17-31-75(11)81-44-46-85(59-81)83-42-39-78(57-83)50-54-102-87(63-103-91-89(96)88(95)90(97)92(91,98)64-94)62-99-51-47-71(7)28-18-32-76-37-40-79(55-76)73(9)29-15-25-68(4)34-33-67(3)23-13-21-65/h65-91,93-98H,12-64H2,1-11H3/t65?,66?,67?,68?,69?,70?,71?,72?,73?,74?,75?,76?,77?,78?,79?,80?,81?,82?,83?,84?,85?,86-,87+,88?,89?,90?,91?,92?/m0/s1</t>
  </si>
  <si>
    <t>CC1CCCC(C)CCCC(C)CCC(C)CCCC(C)C2CCC(CCCC(C)CCOC[C@H](COC3C(O)C(O)C(O)C3(O)CO)OCCC3CCC(C3)C3CCC(C3)C(C)CCCC(C)CCC(C)CCCC(C)C3CCC(C3)C3CCC(CCOC[C@H](CO)OCCC(C)CCC1)C3)C2</t>
  </si>
  <si>
    <t>ZPROELLSCORIIK-RUITXCQESA-N</t>
  </si>
  <si>
    <t>1S/C92H170O11/c1-64-17-11-23-70(7)78-37-33-74(53-78)27-15-21-68(5)45-51-101-86(59-93)60-99-49-47-76-35-39-82(55-76)84-43-41-80(57-84)72(9)25-13-19-66(3)31-30-65(2)18-12-24-71(8)79-38-34-75(54-79)28-16-22-69(6)46-52-102-87(62-103-91-89(96)88(95)90(97)92(91,98)63-94)61-100-50-48-77-36-40-83(56-77)85-44-42-81(58-85)73(10)26-14-20-67(4)32-29-64/h64-91,93-98H,11-63H2,1-10H3/t64?,65?,66?,67?,68?,69?,70?,71?,72?,73?,74?,75?,76?,77?,78?,79?,80?,81?,82?,83?,84?,85?,86-,87+,88?,89?,90?,91?,92?/m0/s1</t>
  </si>
  <si>
    <t>CC1CCCC2CCC(C2)C(C)CCCC(C)CCC(C)CCCC(C)C2CCC(C2)C2CCC(CCOC[C@H](CO)OCCC(C)CCCC3CCC(C3)C(C)CCCC(C)CCC(C)CCCC(C)C3CCC(C3)C3CCC(CCOC[C@H](COC4C(O)C(O)C(O)C4(O)CO)OCC1)C3)C2</t>
  </si>
  <si>
    <t>GTCQSHJHQCIXEP-XXMJFBLXSA-N</t>
  </si>
  <si>
    <t>1S/C92H170O11/c1-64-17-11-23-70(7)78-37-33-74(53-78)27-15-21-68(5)45-49-99-60-86(59-93)101-52-48-77-36-40-83(56-77)85-44-42-81(58-85)73(10)26-14-20-67(4)32-31-66(3)19-13-25-72(9)80-41-43-84(57-80)82-39-35-76(55-82)47-50-100-61-87(62-103-91-89(96)88(95)90(97)92(91,98)63-94)102-51-46-69(6)22-16-28-75-34-38-79(54-75)71(8)24-12-18-65(2)30-29-64/h64-91,93-98H,11-63H2,1-10H3/t64?,65?,66?,67?,68?,69?,70?,71?,72?,73?,74?,75?,76?,77?,78?,79?,80?,81?,82?,83?,84?,85?,86-,87+,88?,89?,90?,91?,92?/m0/s1</t>
  </si>
  <si>
    <t>CC1CCCC2CCC(C2)C(C)CCCC(C)CCC(C)CCCC(C)C2CCC(CCCC(C)CCO[C@@H](COC3C(O)C(O)C(O)C3(O)CO)COCCC3CCC(C3)C3CCC(C3)C(C)CCCC(C)CCC(C)CCCC(C)C3CCC(C3)C3CCC(CCO[C@@H](CO)COCC1)C3)C2</t>
  </si>
  <si>
    <t>IYZKMXJKIWVUSR-XXMJFBLXSA-N</t>
  </si>
  <si>
    <t>Calditol-GDGT-7</t>
  </si>
  <si>
    <t>1S/C92H168O11/c1-63-15-10-20-68(6)76-33-29-72(51-76)24-14-19-67(5)43-49-101-86(58-93)59-99-47-44-73-30-34-80(52-73)83-40-37-77(55-83)69(7)22-12-17-65(3)27-28-66(4)18-13-23-71(9)79-39-42-85(57-79)82-36-32-75(54-82)46-50-102-87(61-103-91-89(96)88(95)90(97)92(91,98)62-94)60-100-48-45-74-31-35-81(53-74)84-41-38-78(56-84)70(8)21-11-16-64(2)26-25-63/h63-91,93-98H,10-62H2,1-9H3/t63?,64?,65?,66?,67?,68?,69?,70?,71?,72?,73?,74?,75?,76?,77?,78?,79?,80?,81?,82?,83?,84?,85?,86-,87+,88?,89?,90?,91?,92?/m0/s1</t>
  </si>
  <si>
    <t>CC1CCCC2CCC(C2)C(C)CCCC(C)CCC(C)CCCC(C)C2CCC(C2)C2CCC(CCOC[C@H](COC3C(O)C(O)C(O)C3(O)CO)OCCC3CCC(C3)C3CCC(C3)C(C)CCCC(C)CCC(C)CCCC(C)C3CCC(C3)C3CCC(CCOC[C@H](CO)OCC1)C3)C2</t>
  </si>
  <si>
    <t>PJSCJCRLQGYEOZ-PMVJOURUSA-N</t>
  </si>
  <si>
    <t>Calditol-GDGT-8</t>
  </si>
  <si>
    <t>1S/C92H166O11/c1-62-13-9-17-66(5)74-33-37-82(53-74)78-29-25-70(49-78)41-45-99-58-86(57-93)101-47-43-72-27-31-80(51-72)84-39-35-76(55-84)68(7)19-11-15-64(3)23-21-63(2)14-10-18-67(6)75-34-38-83(54-75)79-30-26-71(50-79)42-46-100-59-87(60-103-91-89(96)88(95)90(97)92(91,98)61-94)102-48-44-73-28-32-81(52-73)85-40-36-77(56-85)69(8)20-12-16-65(4)24-22-62/h62-91,93-98H,9-61H2,1-8H3/t62?,63?,64?,65?,66?,67?,68?,69?,70?,71?,72?,73?,74?,75?,76?,77?,78?,79?,80?,81?,82?,83?,84?,85?,86-,87+,88?,89?,90?,91?,92?/m0/s1</t>
  </si>
  <si>
    <t>CC1CCCC(C)C2CCC(C2)C2CCC(CCOC[C@H](COC3C(O)C(O)C(O)C3(O)CO)OCCC3CCC(C3)C3CCC(C3)C(C)CCCC(C)CCC(C)CCCC(C)C3CCC(C3)C3CCC(CCOC[C@H](CO)OCCC4CCC(C4)C4CCC(C4)C(C)CCCC(C)CC1)C3)C2</t>
  </si>
  <si>
    <t>CIPVZINWIKWZIT-XVKNDFQNSA-N</t>
  </si>
  <si>
    <t>Calditol-GDGT-Cren</t>
  </si>
  <si>
    <t>1S/C92H172O11/c1-66-20-12-27-73(8)80-41-37-76(56-80)30-15-23-69(4)46-52-99-62-85(61-93)101-54-48-71(6)26-18-33-79-40-44-83(59-79)84-34-19-50-91(11,60-84)51-45-68(3)22-14-29-75(10)82-43-38-77(57-82)31-16-24-70(5)47-53-100-63-86(64-103-90-88(96)87(95)89(97)92(90,98)65-94)102-55-49-72(7)25-17-32-78-39-42-81(58-78)74(9)28-13-21-67(2)36-35-66/h66-90,93-98H,12-65H2,1-11H3/t66?,67?,68?,69?,70?,71?,72?,73?,74?,75?,76?,77?,78?,79?,80?,81?,82?,83?,84?,85-,86+,87?,88?,89?,90?,91?,92?/m0/s1</t>
  </si>
  <si>
    <t>CC1CCCC2CCC(C2)C(C)CCCC(C)CCC2(C)CCCC(C2)C2CCC(CCCC(C)CCO[C@@H](CO)COCCC(C)CCCC3CCC(C3)C(C)CCCC(C)CCC(C)CCCC(C)C3CCC(CCCC(C)CCO[C@@H](COC4C(O)C(O)C(O)C4(O)CO)COCC1)C3)C2</t>
  </si>
  <si>
    <t>SCARVLCVHNAKAH-KFPFQTCUSA-N</t>
  </si>
  <si>
    <t>Glycerol-Meth</t>
  </si>
  <si>
    <t>Gly-GDGT</t>
  </si>
  <si>
    <t>2Gly-GDGT</t>
  </si>
  <si>
    <t>Calditol-GDGT</t>
  </si>
  <si>
    <t>C6H12O6</t>
    <phoneticPr fontId="8" type="noConversion"/>
  </si>
  <si>
    <t>-Chain1-C3H6O2-4H2O2</t>
  </si>
  <si>
    <t>-Chain2-C3H6O2-4H2O3</t>
  </si>
  <si>
    <t>Glycosyl</t>
    <phoneticPr fontId="11" type="noConversion"/>
  </si>
  <si>
    <t>undefined</t>
    <phoneticPr fontId="11" type="noConversion"/>
  </si>
  <si>
    <t>undefined2</t>
    <phoneticPr fontId="11" type="noConversion"/>
  </si>
  <si>
    <t>GDGT</t>
    <phoneticPr fontId="8" type="noConversion"/>
  </si>
  <si>
    <t>Chain1-1</t>
    <phoneticPr fontId="11" type="noConversion"/>
  </si>
  <si>
    <t>Chain2</t>
    <phoneticPr fontId="11" type="noConversion"/>
  </si>
  <si>
    <t>Chain1-2</t>
  </si>
  <si>
    <t>Chain1-3</t>
  </si>
  <si>
    <t>Chain1-4</t>
  </si>
  <si>
    <t>Chain1-5</t>
  </si>
  <si>
    <t>Chain1-6</t>
  </si>
  <si>
    <t>Chain1-7</t>
  </si>
  <si>
    <t>Chain1-8</t>
  </si>
  <si>
    <t>Chain1-9</t>
  </si>
  <si>
    <t>Chain1-10</t>
  </si>
  <si>
    <t>Chain1-11</t>
  </si>
  <si>
    <t>Chain1-12</t>
  </si>
  <si>
    <t>Chain1-13</t>
  </si>
  <si>
    <t>Chain1-14</t>
  </si>
  <si>
    <t>Chain1-15</t>
  </si>
  <si>
    <t>Chain1-16</t>
  </si>
  <si>
    <t>Chain1-17</t>
  </si>
  <si>
    <t>Chain1-18</t>
  </si>
  <si>
    <t>Chain1-19</t>
  </si>
  <si>
    <t>Chain1-20</t>
  </si>
  <si>
    <t>Chain1-21</t>
  </si>
  <si>
    <t>Chain1-22</t>
  </si>
  <si>
    <t>Chain1-23</t>
  </si>
  <si>
    <t>Chain1-24</t>
  </si>
  <si>
    <t>Chain1-25</t>
  </si>
  <si>
    <t>Chain1-26</t>
  </si>
  <si>
    <t>Chain1-27</t>
  </si>
  <si>
    <t>Chain1-28</t>
  </si>
  <si>
    <t>Chain1-29</t>
  </si>
  <si>
    <t>Chain1-30</t>
  </si>
  <si>
    <t>Chain1-31</t>
  </si>
  <si>
    <t>Chain1-32</t>
  </si>
  <si>
    <t>Chain1-33</t>
  </si>
  <si>
    <t>Chain1-34</t>
  </si>
  <si>
    <t>Chain1-35</t>
  </si>
  <si>
    <t>Chain1-36</t>
  </si>
  <si>
    <t>Chain1-37</t>
  </si>
  <si>
    <t>Chain1-38</t>
  </si>
  <si>
    <t>Chain1-39</t>
  </si>
  <si>
    <t>Chain1-40</t>
  </si>
  <si>
    <t>Chain1-41</t>
  </si>
  <si>
    <t>Chain1-42</t>
  </si>
  <si>
    <t>Chain1-43</t>
  </si>
  <si>
    <t>Chain1-44</t>
  </si>
  <si>
    <t>Chain1-45</t>
  </si>
  <si>
    <t>Chain1-46</t>
  </si>
  <si>
    <t>Chain1-47</t>
  </si>
  <si>
    <t>Chain1-48</t>
  </si>
  <si>
    <t>Chain1-49</t>
  </si>
  <si>
    <t>Chain1-50</t>
  </si>
  <si>
    <t>Chain1-51</t>
  </si>
  <si>
    <t>Chain2-1</t>
    <phoneticPr fontId="11" type="noConversion"/>
  </si>
  <si>
    <t>Chain2-2</t>
  </si>
  <si>
    <t>Chain2-3</t>
  </si>
  <si>
    <t>Chain2-4</t>
  </si>
  <si>
    <t>Chain2-5</t>
  </si>
  <si>
    <t>Chain2-6</t>
  </si>
  <si>
    <t>Chain2-7</t>
  </si>
  <si>
    <t>Chain2-8</t>
  </si>
  <si>
    <t>Chain2-9</t>
  </si>
  <si>
    <t>Chain2-10</t>
  </si>
  <si>
    <t>Chain2-11</t>
  </si>
  <si>
    <t>Chain2-12</t>
  </si>
  <si>
    <t>Chain2-13</t>
  </si>
  <si>
    <t>Chain2-14</t>
  </si>
  <si>
    <t>Chain2-15</t>
  </si>
  <si>
    <t>Chain2-16</t>
  </si>
  <si>
    <t>Chain2-17</t>
  </si>
  <si>
    <t>Chain2-18</t>
  </si>
  <si>
    <t>Chain2-19</t>
  </si>
  <si>
    <t>Chain2-20</t>
  </si>
  <si>
    <t>Chain2-21</t>
  </si>
  <si>
    <t>Chain2-22</t>
  </si>
  <si>
    <t>Chain2-23</t>
  </si>
  <si>
    <t>Chain2-24</t>
  </si>
  <si>
    <t>Chain2-25</t>
  </si>
  <si>
    <t>Chain2-26</t>
  </si>
  <si>
    <t>Chain2-27</t>
  </si>
  <si>
    <t>Chain2-28</t>
  </si>
  <si>
    <t>Chain2-29</t>
  </si>
  <si>
    <t>Chain2-30</t>
  </si>
  <si>
    <t>Chain2-31</t>
  </si>
  <si>
    <t>Chain2-32</t>
  </si>
  <si>
    <t>Chain2-33</t>
  </si>
  <si>
    <t>Chain2-34</t>
  </si>
  <si>
    <t>Chain2-35</t>
  </si>
  <si>
    <t>Chain2-36</t>
  </si>
  <si>
    <t>Chain2-37</t>
  </si>
  <si>
    <t>Chain2-38</t>
  </si>
  <si>
    <t>Chain2-39</t>
  </si>
  <si>
    <t>Chain2-40</t>
  </si>
  <si>
    <t>Chain2-41</t>
  </si>
  <si>
    <t>Chain2-42</t>
  </si>
  <si>
    <t>Chain2-43</t>
  </si>
  <si>
    <t>Chain2-44</t>
  </si>
  <si>
    <t>Chain2-45</t>
  </si>
  <si>
    <t>Chain2-46</t>
  </si>
  <si>
    <t>Chain2-47</t>
  </si>
  <si>
    <t>Chain2-48</t>
  </si>
  <si>
    <t>Chain2-49</t>
  </si>
  <si>
    <t>Chain2-50</t>
  </si>
  <si>
    <t>Chain2-51</t>
  </si>
  <si>
    <t>Chain1-52</t>
  </si>
  <si>
    <t>Chain1-53</t>
  </si>
  <si>
    <t>Chain1-54</t>
  </si>
  <si>
    <t>Chain1-55</t>
  </si>
  <si>
    <t>Chain1-56</t>
  </si>
  <si>
    <t>Chain1-57</t>
  </si>
  <si>
    <t>Chain1-58</t>
  </si>
  <si>
    <t>Chain1-59</t>
  </si>
  <si>
    <t>Chain1-60</t>
  </si>
  <si>
    <t>Chain2-52</t>
  </si>
  <si>
    <t>Chain2-53</t>
  </si>
  <si>
    <t>Chain2-54</t>
  </si>
  <si>
    <t>Chain2-55</t>
  </si>
  <si>
    <t>Chain2-56</t>
  </si>
  <si>
    <t>Chain2-57</t>
  </si>
  <si>
    <t>Chain2-58</t>
  </si>
  <si>
    <t>Chain2-59</t>
  </si>
  <si>
    <t>Chain2-60</t>
  </si>
  <si>
    <t>Headloss</t>
    <phoneticPr fontId="11" type="noConversion"/>
  </si>
  <si>
    <t>[M+H]+ Precursor Mass</t>
    <phoneticPr fontId="11" type="noConversion"/>
  </si>
  <si>
    <t>Calditol</t>
    <phoneticPr fontId="11" type="noConversion"/>
  </si>
  <si>
    <t>-Gly-H2O</t>
    <phoneticPr fontId="11" type="noConversion"/>
  </si>
  <si>
    <t>-Gly-H2O2</t>
    <phoneticPr fontId="11" type="noConversion"/>
  </si>
  <si>
    <t>Gly-2H2O</t>
    <phoneticPr fontId="11" type="noConversion"/>
  </si>
  <si>
    <t>-Gly-3H2O</t>
    <phoneticPr fontId="11" type="noConversion"/>
  </si>
  <si>
    <t>-4H2O</t>
    <phoneticPr fontId="11" type="noConversion"/>
  </si>
  <si>
    <t>Gly--Chain1</t>
  </si>
  <si>
    <t>Gly--Chain1-H2O</t>
  </si>
  <si>
    <t>Gly--Chain1-2H2O</t>
  </si>
  <si>
    <t>Gly--Chain1-3H2O</t>
  </si>
  <si>
    <t>Gly--Chain1-C3H6O2-H2O</t>
  </si>
  <si>
    <t>Gly--Chain1-C3H6O2-2H2O</t>
  </si>
  <si>
    <t>Gly--Chain1-C3H6O2-3H2O</t>
  </si>
  <si>
    <t>Gly--Chain1-C3H6O2-4H2O</t>
  </si>
  <si>
    <t>Gly--Chain1-C3H6O2-4H2O2</t>
  </si>
  <si>
    <t>Gly--Chain2</t>
  </si>
  <si>
    <t>Gly--Chain2-H2O</t>
  </si>
  <si>
    <t>Gly--Chain2-2H2O</t>
  </si>
  <si>
    <t>Gly--Chain2-3H2O</t>
  </si>
  <si>
    <t>Gly--Chain2-C3H6O2-H2O</t>
  </si>
  <si>
    <t>Gly--Chain2-C3H6O2-2H2O</t>
  </si>
  <si>
    <t>Gly--Chain2-C3H6O2-3H2O</t>
  </si>
  <si>
    <t>Gly--Chain2-C3H6O2-4H2O</t>
  </si>
  <si>
    <t>Gly--Chain2-C3H6O2-4H2O3</t>
  </si>
  <si>
    <t>2Gly</t>
    <phoneticPr fontId="11" type="noConversion"/>
  </si>
  <si>
    <t>G-Calditol</t>
    <phoneticPr fontId="11" type="noConversion"/>
  </si>
  <si>
    <t>2Gly-</t>
  </si>
  <si>
    <t>Calditol-</t>
  </si>
  <si>
    <t>Calditol-H2O</t>
    <phoneticPr fontId="11" type="noConversion"/>
  </si>
  <si>
    <t>Calditol-2H2O</t>
    <phoneticPr fontId="11" type="noConversion"/>
  </si>
  <si>
    <t>Calditol-3H2O</t>
    <phoneticPr fontId="11" type="noConversion"/>
  </si>
  <si>
    <t>Confidence</t>
    <phoneticPr fontId="11" type="noConversion"/>
  </si>
  <si>
    <t>Zeng, Z., et al. (2018). "Calditol-linked membrane lipids are required for acid tolerance in &lt;i&gt;Sulfolobus acidocaldarius&lt;/i&gt;." Proceedings of the National Academy of Sciences 115(51): 12932-12937.</t>
    <phoneticPr fontId="12" type="noConversion"/>
  </si>
  <si>
    <t>GDGT-2a</t>
  </si>
  <si>
    <t>CC1CCCC(C)CCCC(C)CCC(C)CCCC(C)C2CCC(C2)CCCC(C)CCOC[C@H](CO)OCCC(C)CCCC(C)CCCC(C)CCCC(C)CCC(C)CCCC(C)C2CCC(C2)CCCC(C)CCOC[C@H](CO)OCCC(C)CCC1</t>
  </si>
  <si>
    <t>GDGT-2b</t>
  </si>
  <si>
    <t>CC1CCCC(C)CCCC(C)CCC(C)CCCC(C)CCCC(C)CCCC(C)CCO[C@@H](CO)COCCC(C)CCCC2CCC(C2)C(C)CCCC(C)CCC(C)CCCC(C)C2CCC(C2)CCCC(C)CCO[C@@H](CO)COCCC(C)CCC1</t>
  </si>
  <si>
    <t>GDGT-3a</t>
  </si>
  <si>
    <t>CC1CCCC(C)CCCC(C)CCC(C)CCCC(C)C2CCC(C2)CCCC(C)CCOC[C@H](CO)OCCC(C)CCCC2CCC(C2)C(C)CCCC(C)CCC(C)CCCC(C)C2CCC(C2)CCCC(C)CCOC[C@H](CO)OCCC(C)CCC1</t>
  </si>
  <si>
    <t>GDGT-3b</t>
  </si>
  <si>
    <t>CC1CCCC(C)CCCC(C)CCC(C)CCCC(C)CCCC(C)CCCC(C)CCO[C@@H](CO)COCCC2CCC(C2)C2CCC(C2)C(C)CCCC(C)CCC(C)CCCC(C)C2CCC(C2)CCCC(C)CCO[C@@H](CO)COCCC(C)CCC1</t>
  </si>
  <si>
    <t>GDGT-4a</t>
  </si>
  <si>
    <t>CC1CCCC2CCC(C2)C(C)CCCC(C)CCC(C)CCCC(C)C2CCC(C2)CCCC(C)CCO[C@@H](CO)COCCC(C)CCCC2CCC(C2)C(C)CCCC(C)CCC(C)CCCC(C)C2CCC(C2)CCCC(C)CCO[C@@H](CO)COCC1</t>
  </si>
  <si>
    <t>GDGT-4b</t>
  </si>
  <si>
    <t>CC1CCCC(C)CCCC(C)CCC(C)CCCC(C)C2CCC(C2)CCCC(C)CCOC[C@H](CO)OCCC(C)CCCC2CCC(C2)C(C)CCCC(C)CCC(C)CCCC(C)C2CCC(C2)C2CCC(C2)CCOC[C@H](CO)OCCC(C)CCC1</t>
  </si>
  <si>
    <t>GDGT-4c</t>
  </si>
  <si>
    <t>CC1CCCC(C)CCCC(C)CCC(C)CCCC(C)CCCC(C)CCCC(C)CCO[C@@H](CO)COCCC2CCC(C2)C2CCC(C2)C(C)CCCC(C)CCC(C)CCCC(C)C2CCC(C2)C2CCC(C2)CCO[C@@H](CO)COCCC(C)CCC1</t>
  </si>
  <si>
    <t>GDGT-5a</t>
  </si>
  <si>
    <t>CC1CCCC2CCC(C2)C(C)CCCC(C)CCC(C)CCCC(C)C2CCC(C2)CCCC(C)CCO[C@@H](CO)COCCC2CCC(C2)C2CCC(C2)C(C)CCCC(C)CCC(C)CCCC(C)C2CCC(C2)CCCC(C)CCO[C@@H](CO)COCC1</t>
  </si>
  <si>
    <t>GDGT-5b</t>
  </si>
  <si>
    <t>CC1CCCC(C)CCCC(C)CCC(C)CCCC(C)C2CCC(C2)CCCC(C)CCOC[C@H](CO)OCCC2CCC(C2)C2CCC(C2)C(C)CCCC(C)CCC(C)CCCC(C)C2CCC(C2)C2CCC(C2)CCOC[C@H](CO)OCCC(C)CCC1</t>
  </si>
  <si>
    <t>GDGT-6a</t>
  </si>
  <si>
    <t>CC1CCCC2CCC(C2)C(C)CCCC(C)CCC(C)CCCC(C)C2CCC(C2)C2CCC(C2)CCOC[C@H](CO)OCCC(C)CCCC2CCC(C2)C(C)CCCC(C)CCC(C)CCCC(C)C2CCC(C2)C2CCC(C2)CCOC[C@H](CO)OCC1</t>
  </si>
  <si>
    <t>GDGT-6b</t>
  </si>
  <si>
    <t>CC1CCCC2CCC(C2)C(C)CCCC(C)CCC(C)CCCC(C)C2CCC(C2)CCCC(C)CCO[C@@H](CO)COCCC2CCC(C2)C2CCC(C2)C(C)CCCC(C)CCC(C)CCCC(C)C2CCC(C2)C2CCC(C2)CCO[C@@H](CO)COCC1</t>
  </si>
  <si>
    <t>CC1CCCC2CCC(C2)C(C)CCCC(C)CCC(C)CCCC(C)C2CCC(C2)C2CCC(C2)CCOC[C@H](CO)OCCC2CCC(C2)C2CCC(C2)C(C)CCCC(C)CCC(C)CCCC(C)C2CCC(C2)C2CCC(C2)CCOC[C@H](CO)OCC1</t>
  </si>
  <si>
    <t>CC1CCCC(C)C2CCC(C2)C2CCC(C2)CCOC[C@H](CO)OCCC2CCC(C2)C2CCC(C2)C(C)CCCC(C)CCC(C)CCCC(C)C2CCC(C2)C2CCC(C2)CCOC[C@H](CO)OCCC2CCC(C2)C2CCC(C2)C(C)CCCC(C)CC1</t>
  </si>
  <si>
    <t>CC1CCCC2CCC(C2)C(C)CCCC(C)CCC(C)CCCC(C)C2CCC(C2)CCCC(C)CCO[C@@H](CO)COCCC(C)CCCC2CCC(C2)C(C)CCCC(C)CCC2(C)CCCC(C2)C2CCC(C2)CCCC(C)CCO[C@@H](CO)COCC1</t>
  </si>
  <si>
    <t>2Gly-GDGT-2a</t>
  </si>
  <si>
    <t>2Gly-GDGT-2b</t>
  </si>
  <si>
    <t>2Gly-GDGT-3a</t>
  </si>
  <si>
    <t>2Gly-GDGT-3b</t>
  </si>
  <si>
    <t>2Gly-GDGT-4a</t>
  </si>
  <si>
    <t>2Gly-GDGT-4b</t>
  </si>
  <si>
    <t>2Gly-GDGT-4c</t>
  </si>
  <si>
    <t>2Gly-GDGT-5a</t>
  </si>
  <si>
    <t>2Gly-GDGT-5b</t>
  </si>
  <si>
    <t>2Gly-GDGT-6a</t>
  </si>
  <si>
    <t>2Gly-GDGT-6b</t>
  </si>
  <si>
    <t>Calditol-GDGT-2a</t>
  </si>
  <si>
    <t>Calditol-GDGT-2b</t>
  </si>
  <si>
    <t>Calditol-GDGT-3a</t>
  </si>
  <si>
    <t>Calditol-GDGT-3b</t>
  </si>
  <si>
    <t>Calditol-GDGT-4a</t>
  </si>
  <si>
    <t>Calditol-GDGT-4b</t>
  </si>
  <si>
    <t>Calditol-GDGT-4c</t>
  </si>
  <si>
    <t>Calditol-GDGT-5a</t>
  </si>
  <si>
    <t>Calditol-GDGT-5b</t>
  </si>
  <si>
    <t>Calditol-GDGT-6a</t>
  </si>
  <si>
    <t>Calditol-GDGT-6b</t>
  </si>
  <si>
    <t>Name</t>
    <phoneticPr fontId="8" type="noConversion"/>
  </si>
  <si>
    <t>Formula</t>
    <phoneticPr fontId="8" type="noConversion"/>
  </si>
  <si>
    <t>InChI</t>
    <phoneticPr fontId="8" type="noConversion"/>
  </si>
  <si>
    <t>SMILES</t>
    <phoneticPr fontId="8" type="noConversion"/>
  </si>
  <si>
    <t>CCS</t>
    <phoneticPr fontId="8" type="noConversion"/>
  </si>
  <si>
    <t>RT</t>
    <phoneticPr fontId="8" type="noConversion"/>
  </si>
  <si>
    <t>InChIKey</t>
    <phoneticPr fontId="8" type="noConversion"/>
  </si>
  <si>
    <t>InChI</t>
    <phoneticPr fontId="11" type="noConversion"/>
  </si>
  <si>
    <t>SMILES</t>
    <phoneticPr fontId="12" type="noConversion"/>
  </si>
  <si>
    <t>CCS</t>
    <phoneticPr fontId="11" type="noConversion"/>
  </si>
  <si>
    <t>RT</t>
    <phoneticPr fontId="11" type="noConversion"/>
  </si>
  <si>
    <t>InChIKey</t>
    <phoneticPr fontId="11" type="noConversion"/>
  </si>
  <si>
    <t>-Chain1-C3H6O2-4H2O3</t>
  </si>
  <si>
    <t>-Chain2-C3H6O2-4H2O4</t>
  </si>
  <si>
    <t>SMILES</t>
    <phoneticPr fontId="11" type="noConversion"/>
  </si>
  <si>
    <t>IUPAC</t>
    <phoneticPr fontId="8" type="noConversion"/>
  </si>
  <si>
    <t>ExactMass</t>
    <phoneticPr fontId="11" type="noConversion"/>
  </si>
  <si>
    <t>Positive</t>
    <phoneticPr fontId="11" type="noConversion"/>
  </si>
  <si>
    <t>Compound class</t>
    <phoneticPr fontId="11" type="noConversion"/>
  </si>
  <si>
    <t>IonMode</t>
    <phoneticPr fontId="11" type="noConversion"/>
  </si>
  <si>
    <t>P-[M+H]+ Precursor Mass</t>
  </si>
  <si>
    <t>P--H2O</t>
  </si>
  <si>
    <t>P--2H2O</t>
  </si>
  <si>
    <t>P--3H2O</t>
  </si>
  <si>
    <t>P--4H2O</t>
  </si>
  <si>
    <t>P-Headloss</t>
  </si>
  <si>
    <t>P--Gly-H2O</t>
  </si>
  <si>
    <t>P-Gly-2H2O</t>
  </si>
  <si>
    <t>P--Gly-3H2O</t>
  </si>
  <si>
    <t>P--Gly</t>
  </si>
  <si>
    <t>P--Gly-H2O2</t>
  </si>
  <si>
    <t>P-4Chain</t>
  </si>
  <si>
    <t>P-Gly--Chain1</t>
  </si>
  <si>
    <t>P-Gly--Chain1-H2O</t>
  </si>
  <si>
    <t>P-Gly--Chain1-2H2O</t>
  </si>
  <si>
    <t>P-Gly--Chain1-3H2O</t>
  </si>
  <si>
    <t>P-Gly--Chain1-C3H6O2-H2O</t>
  </si>
  <si>
    <t>P-Gly--Chain1-C3H6O2-2H2O</t>
  </si>
  <si>
    <t>P-Gly--Chain1-C3H6O2-3H2O</t>
  </si>
  <si>
    <t>P-Gly--Chain1-C3H6O2-4H2O</t>
  </si>
  <si>
    <t>P-Gly--Chain1-C3H6O2-4H2O2</t>
  </si>
  <si>
    <t>P--Chain1</t>
  </si>
  <si>
    <t>P--Chain1-H2O</t>
  </si>
  <si>
    <t>P--Chain1-2H2O</t>
  </si>
  <si>
    <t>P--Chain1-3H2O</t>
  </si>
  <si>
    <t>P--Chain1-C3H6O2-H2O</t>
  </si>
  <si>
    <t>P--Chain1-C3H6O2-2H2O</t>
  </si>
  <si>
    <t>P--Chain1-C3H6O2-3H2O</t>
  </si>
  <si>
    <t>P--Chain1-C3H6O2-4H2O</t>
  </si>
  <si>
    <t>P--Chain1-C3H6O2-4H2O2</t>
  </si>
  <si>
    <t>P--Chain1-C3H6O2-C3H4O</t>
  </si>
  <si>
    <t>P--Chain1-C3H6O2-C3H6O2</t>
  </si>
  <si>
    <t>P-Chain1</t>
  </si>
  <si>
    <t>P-Chain1+H2O</t>
  </si>
  <si>
    <t>P-Gly--Chain2</t>
  </si>
  <si>
    <t>P-Gly--Chain2-H2O</t>
  </si>
  <si>
    <t>P-Gly--Chain2-2H2O</t>
  </si>
  <si>
    <t>P-Gly--Chain2-3H2O</t>
  </si>
  <si>
    <t>P-Gly--Chain2-C3H6O2-H2O</t>
  </si>
  <si>
    <t>P-Gly--Chain2-C3H6O2-2H2O</t>
  </si>
  <si>
    <t>P-Gly--Chain2-C3H6O2-3H2O</t>
  </si>
  <si>
    <t>P-Gly--Chain2-C3H6O2-4H2O</t>
  </si>
  <si>
    <t>P-Gly--Chain2-C3H6O2-4H2O3</t>
  </si>
  <si>
    <t>P--Chain2</t>
  </si>
  <si>
    <t>P--Chain2-H2O</t>
  </si>
  <si>
    <t>P--Chain2-2H2O</t>
  </si>
  <si>
    <t>P--Chain2-3H2O</t>
  </si>
  <si>
    <t>P--Chain2-C3H6O2-H2O</t>
  </si>
  <si>
    <t>P--Chain2-C3H6O2-2H2O</t>
  </si>
  <si>
    <t>P--Chain2-C3H6O2-3H2O</t>
  </si>
  <si>
    <t>P--Chain2-C3H6O2-4H2O</t>
  </si>
  <si>
    <t>P--Chain2-C3H6O2-4H2O3</t>
  </si>
  <si>
    <t>P--Chain2-C3H6O2-C3H4O</t>
  </si>
  <si>
    <t>P--Chain2-C3H6O2-C3H6O2</t>
  </si>
  <si>
    <t>P-Chain2</t>
  </si>
  <si>
    <t>P-Chain2+H2O</t>
  </si>
  <si>
    <t>P-Glycosyl</t>
  </si>
  <si>
    <t>P-G-Calditol</t>
  </si>
  <si>
    <t>P-Calditol-H2O</t>
  </si>
  <si>
    <t>P-Calditol-2H2O</t>
  </si>
  <si>
    <t>P-Calditol-3H2O</t>
  </si>
  <si>
    <t>P-Chain1-1</t>
  </si>
  <si>
    <t>P-Chain1-2</t>
  </si>
  <si>
    <t>P-Chain1-3</t>
  </si>
  <si>
    <t>P-Chain1-4</t>
  </si>
  <si>
    <t>P-Chain1-5</t>
  </si>
  <si>
    <t>P-Chain1-6</t>
  </si>
  <si>
    <t>P-Chain1-7</t>
  </si>
  <si>
    <t>P-Chain1-8</t>
  </si>
  <si>
    <t>P-Chain1-9</t>
  </si>
  <si>
    <t>P-Chain1-10</t>
  </si>
  <si>
    <t>P-Chain1-11</t>
  </si>
  <si>
    <t>P-Chain1-12</t>
  </si>
  <si>
    <t>P-Chain1-13</t>
  </si>
  <si>
    <t>P-Chain1-14</t>
  </si>
  <si>
    <t>P-Chain1-15</t>
  </si>
  <si>
    <t>P-Chain1-16</t>
  </si>
  <si>
    <t>P-Chain1-17</t>
  </si>
  <si>
    <t>P-Chain1-18</t>
  </si>
  <si>
    <t>P-Chain1-19</t>
  </si>
  <si>
    <t>P-Chain1-20</t>
  </si>
  <si>
    <t>P-Chain1-21</t>
  </si>
  <si>
    <t>P-Chain1-22</t>
  </si>
  <si>
    <t>P-Chain1-23</t>
  </si>
  <si>
    <t>P-Chain1-24</t>
  </si>
  <si>
    <t>P-Chain1-25</t>
  </si>
  <si>
    <t>P-Chain1-26</t>
  </si>
  <si>
    <t>P-Chain1-27</t>
  </si>
  <si>
    <t>P-Chain1-28</t>
  </si>
  <si>
    <t>P-Chain1-29</t>
  </si>
  <si>
    <t>P-Chain1-30</t>
  </si>
  <si>
    <t>P-Chain1-31</t>
  </si>
  <si>
    <t>P-Chain1-32</t>
  </si>
  <si>
    <t>P-Chain1-33</t>
  </si>
  <si>
    <t>P-Chain1-34</t>
  </si>
  <si>
    <t>P-Chain1-35</t>
  </si>
  <si>
    <t>P-Chain1-36</t>
  </si>
  <si>
    <t>P-Chain1-37</t>
  </si>
  <si>
    <t>P-Chain1-38</t>
  </si>
  <si>
    <t>P-Chain1-39</t>
  </si>
  <si>
    <t>P-Chain1-40</t>
  </si>
  <si>
    <t>P-Chain1-41</t>
  </si>
  <si>
    <t>P-Chain1-42</t>
  </si>
  <si>
    <t>P-Chain1-43</t>
  </si>
  <si>
    <t>P-Chain1-44</t>
  </si>
  <si>
    <t>P-Chain1-45</t>
  </si>
  <si>
    <t>P-Chain1-46</t>
  </si>
  <si>
    <t>P-Chain1-47</t>
  </si>
  <si>
    <t>P-Chain1-48</t>
  </si>
  <si>
    <t>P-Chain1-49</t>
  </si>
  <si>
    <t>P-Chain1-50</t>
  </si>
  <si>
    <t>P-Chain1-51</t>
  </si>
  <si>
    <t>P-Chain1-52</t>
  </si>
  <si>
    <t>P-Chain1-53</t>
  </si>
  <si>
    <t>P-Chain1-54</t>
  </si>
  <si>
    <t>P-Chain1-55</t>
  </si>
  <si>
    <t>P-Chain1-56</t>
  </si>
  <si>
    <t>P-Chain1-57</t>
  </si>
  <si>
    <t>P-Chain1-58</t>
  </si>
  <si>
    <t>P-Chain1-59</t>
  </si>
  <si>
    <t>P-Chain1-60</t>
  </si>
  <si>
    <t>P-Chain2-1</t>
  </si>
  <si>
    <t>P-Chain2-2</t>
  </si>
  <si>
    <t>P-Chain2-3</t>
  </si>
  <si>
    <t>P-Chain2-4</t>
  </si>
  <si>
    <t>P-Chain2-5</t>
  </si>
  <si>
    <t>P-Chain2-6</t>
  </si>
  <si>
    <t>P-Chain2-7</t>
  </si>
  <si>
    <t>P-Chain2-8</t>
  </si>
  <si>
    <t>P-Chain2-9</t>
  </si>
  <si>
    <t>P-Chain2-10</t>
  </si>
  <si>
    <t>P-Chain2-11</t>
  </si>
  <si>
    <t>P-Chain2-12</t>
  </si>
  <si>
    <t>P-Chain2-13</t>
  </si>
  <si>
    <t>P-Chain2-14</t>
  </si>
  <si>
    <t>P-Chain2-15</t>
  </si>
  <si>
    <t>P-Chain2-16</t>
  </si>
  <si>
    <t>P-Chain2-17</t>
  </si>
  <si>
    <t>P-Chain2-18</t>
  </si>
  <si>
    <t>P-Chain2-19</t>
  </si>
  <si>
    <t>P-Chain2-20</t>
  </si>
  <si>
    <t>P-Chain2-21</t>
  </si>
  <si>
    <t>P-Chain2-22</t>
  </si>
  <si>
    <t>P-Chain2-23</t>
  </si>
  <si>
    <t>P-Chain2-24</t>
  </si>
  <si>
    <t>P-Chain2-25</t>
  </si>
  <si>
    <t>P-Chain2-26</t>
  </si>
  <si>
    <t>P-Chain2-27</t>
  </si>
  <si>
    <t>P-Chain2-28</t>
  </si>
  <si>
    <t>P-Chain2-29</t>
  </si>
  <si>
    <t>P-Chain2-30</t>
  </si>
  <si>
    <t>P-Chain2-31</t>
  </si>
  <si>
    <t>P-Chain2-32</t>
  </si>
  <si>
    <t>P-Chain2-33</t>
  </si>
  <si>
    <t>P-Chain2-34</t>
  </si>
  <si>
    <t>P-Chain2-35</t>
  </si>
  <si>
    <t>P-Chain2-36</t>
  </si>
  <si>
    <t>P-Chain2-37</t>
  </si>
  <si>
    <t>P-Chain2-38</t>
  </si>
  <si>
    <t>P-Chain2-39</t>
  </si>
  <si>
    <t>P-Chain2-40</t>
  </si>
  <si>
    <t>P-Chain2-41</t>
  </si>
  <si>
    <t>P-Chain2-42</t>
  </si>
  <si>
    <t>P-Chain2-43</t>
  </si>
  <si>
    <t>P-Chain2-44</t>
  </si>
  <si>
    <t>P-Chain2-45</t>
  </si>
  <si>
    <t>P-Chain2-46</t>
  </si>
  <si>
    <t>P-Chain2-47</t>
  </si>
  <si>
    <t>P-Chain2-48</t>
  </si>
  <si>
    <t>P-Chain2-49</t>
  </si>
  <si>
    <t>P-Chain2-50</t>
  </si>
  <si>
    <t>P-Chain2-51</t>
  </si>
  <si>
    <t>P-Chain2-52</t>
  </si>
  <si>
    <t>P-Chain2-53</t>
  </si>
  <si>
    <t>P-Chain2-54</t>
  </si>
  <si>
    <t>P-Chain2-55</t>
  </si>
  <si>
    <t>P-Chain2-56</t>
  </si>
  <si>
    <t>P-Chain2-57</t>
  </si>
  <si>
    <t>P-Chain2-58</t>
  </si>
  <si>
    <t>P-Calditol-2H2O2</t>
  </si>
  <si>
    <t>P-Calditol-3H2O3</t>
  </si>
  <si>
    <t>P-undefined</t>
  </si>
  <si>
    <t>P-undefined2</t>
  </si>
  <si>
    <t>P-Chain2-59</t>
  </si>
  <si>
    <t>P-Chain2-60</t>
  </si>
  <si>
    <t>P--Chain1-C3H6O2-4H2O3</t>
  </si>
  <si>
    <t>P--Chain2-C3H6O2-4H2O4</t>
  </si>
  <si>
    <t>1463.368216676</t>
  </si>
  <si>
    <t>1461.3525666116</t>
  </si>
  <si>
    <t>1459.3369165472</t>
  </si>
  <si>
    <t>1457.3212664828</t>
  </si>
  <si>
    <t>1455.3056164184</t>
  </si>
  <si>
    <t>1453.289966354</t>
  </si>
  <si>
    <t>1451.2743162896</t>
  </si>
  <si>
    <t>1449.2586662252</t>
  </si>
  <si>
    <t>1447.2430161608</t>
  </si>
  <si>
    <t>1625.421040096</t>
  </si>
  <si>
    <t>1623.4053900316</t>
  </si>
  <si>
    <t>1621.3897399672</t>
  </si>
  <si>
    <t>1619.3740899028</t>
  </si>
  <si>
    <t>1617.3584398384</t>
  </si>
  <si>
    <t>1615.342789774</t>
  </si>
  <si>
    <t>1613.3271397096</t>
  </si>
  <si>
    <t>1611.3114896452</t>
  </si>
  <si>
    <t>1609.2958395808</t>
  </si>
  <si>
    <t>1301.315393256</t>
  </si>
  <si>
    <t>1299.2997431916</t>
  </si>
  <si>
    <t>1297.2840931272</t>
  </si>
  <si>
    <t>1295.2684430628</t>
  </si>
  <si>
    <t>1293.2527929984</t>
  </si>
  <si>
    <t>1291.237142934</t>
  </si>
  <si>
    <t>1289.2214928696</t>
  </si>
  <si>
    <t>1287.2058428052</t>
  </si>
  <si>
    <t>1285.1901927408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</si>
</sst>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0.00000"/>
    <numFmt numFmtId="178" formatCode="0.0000"/>
    <numFmt numFmtId="179" formatCode="0_);[Red]\(0\)"/>
    <numFmt numFmtId="180" formatCode="0.000_);[Red]\(0.000\)"/>
    <numFmt numFmtId="181" formatCode="0.00_);[Red]\(0.00\)"/>
    <numFmt numFmtId="182" formatCode="0.0000_);[Red]\(0.0000\)"/>
  </numFmts>
  <fonts count="21" x14ac:knownFonts="1">
    <font>
      <sz val="10"/>
      <name val="Arial"/>
      <family val="2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0"/>
      <color indexed="8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Arial"/>
      <family val="2"/>
    </font>
    <font>
      <sz val="11"/>
      <color rgb="FFFF0000"/>
      <name val="Arial"/>
      <family val="2"/>
    </font>
    <font>
      <sz val="11"/>
      <color theme="1"/>
      <name val="等线"/>
      <family val="3"/>
      <charset val="134"/>
      <scheme val="minor"/>
    </font>
    <font>
      <sz val="11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b/>
      <sz val="11"/>
      <name val="Arial"/>
      <family val="2"/>
    </font>
    <font>
      <sz val="11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30">
    <xf numFmtId="0" fontId="0" fillId="0" borderId="0"/>
    <xf numFmtId="0" fontId="6" fillId="0" borderId="0"/>
    <xf numFmtId="44" fontId="6" fillId="0" borderId="0" applyFont="0" applyFill="0" applyBorder="0" applyAlignment="0" applyProtection="0">
      <alignment vertical="center"/>
    </xf>
    <xf numFmtId="0" fontId="5" fillId="0" borderId="0"/>
    <xf numFmtId="0" fontId="4" fillId="0" borderId="0"/>
    <xf numFmtId="0" fontId="3" fillId="0" borderId="0"/>
    <xf numFmtId="0" fontId="10" fillId="0" borderId="0"/>
    <xf numFmtId="0" fontId="3" fillId="0" borderId="0"/>
    <xf numFmtId="44" fontId="3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2" fillId="0" borderId="0"/>
    <xf numFmtId="0" fontId="10" fillId="0" borderId="0"/>
    <xf numFmtId="0" fontId="2" fillId="0" borderId="0"/>
    <xf numFmtId="44" fontId="2" fillId="0" borderId="0" applyFont="0" applyFill="0" applyBorder="0" applyAlignment="0" applyProtection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44" fontId="2" fillId="0" borderId="0" applyFont="0" applyFill="0" applyBorder="0" applyAlignment="0" applyProtection="0">
      <alignment vertical="center"/>
    </xf>
    <xf numFmtId="0" fontId="2" fillId="0" borderId="0"/>
    <xf numFmtId="0" fontId="2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1" fillId="0" borderId="0"/>
    <xf numFmtId="0" fontId="15" fillId="0" borderId="0"/>
    <xf numFmtId="0" fontId="15" fillId="0" borderId="0"/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</cellStyleXfs>
  <cellXfs count="42">
    <xf numFmtId="0" fontId="0" fillId="0" borderId="0" xfId="0"/>
    <xf numFmtId="0" fontId="7" fillId="0" borderId="0" xfId="0" applyFont="1"/>
    <xf numFmtId="180" fontId="0" fillId="0" borderId="0" xfId="0" applyNumberFormat="1"/>
    <xf numFmtId="0" fontId="16" fillId="0" borderId="0" xfId="0" applyFont="1"/>
    <xf numFmtId="0" fontId="16" fillId="0" borderId="0" xfId="0" applyFont="1" applyAlignment="1">
      <alignment vertical="top"/>
    </xf>
    <xf numFmtId="179" fontId="16" fillId="0" borderId="0" xfId="0" applyNumberFormat="1" applyFont="1" applyAlignment="1">
      <alignment vertical="top"/>
    </xf>
    <xf numFmtId="178" fontId="16" fillId="0" borderId="0" xfId="0" applyNumberFormat="1" applyFont="1" applyAlignment="1">
      <alignment vertical="top"/>
    </xf>
    <xf numFmtId="0" fontId="17" fillId="0" borderId="0" xfId="0" applyFont="1" applyAlignment="1">
      <alignment vertical="top"/>
    </xf>
    <xf numFmtId="177" fontId="17" fillId="0" borderId="0" xfId="0" applyNumberFormat="1" applyFont="1" applyAlignment="1">
      <alignment vertical="top"/>
    </xf>
    <xf numFmtId="0" fontId="17" fillId="0" borderId="0" xfId="18" applyFont="1" applyAlignment="1">
      <alignment vertical="top"/>
    </xf>
    <xf numFmtId="0" fontId="17" fillId="0" borderId="0" xfId="0" applyFont="1" applyAlignment="1">
      <alignment horizontal="left" vertical="top"/>
    </xf>
    <xf numFmtId="0" fontId="17" fillId="4" borderId="1" xfId="0" applyFont="1" applyFill="1" applyBorder="1" applyAlignment="1">
      <alignment vertical="top"/>
    </xf>
    <xf numFmtId="0" fontId="17" fillId="2" borderId="0" xfId="0" applyFont="1" applyFill="1" applyAlignment="1">
      <alignment vertical="top"/>
    </xf>
    <xf numFmtId="0" fontId="17" fillId="3" borderId="0" xfId="0" applyFont="1" applyFill="1" applyAlignment="1">
      <alignment vertical="top"/>
    </xf>
    <xf numFmtId="0" fontId="17" fillId="3" borderId="0" xfId="0" quotePrefix="1" applyFont="1" applyFill="1" applyAlignment="1">
      <alignment vertical="top"/>
    </xf>
    <xf numFmtId="0" fontId="19" fillId="0" borderId="0" xfId="0" applyFont="1" applyAlignment="1">
      <alignment vertical="top"/>
    </xf>
    <xf numFmtId="0" fontId="18" fillId="0" borderId="0" xfId="0" applyFont="1" applyAlignment="1">
      <alignment vertical="top"/>
    </xf>
    <xf numFmtId="182" fontId="20" fillId="0" borderId="0" xfId="0" applyNumberFormat="1" applyFont="1" applyAlignment="1">
      <alignment vertical="top"/>
    </xf>
    <xf numFmtId="0" fontId="20" fillId="0" borderId="0" xfId="0" applyFont="1" applyAlignment="1">
      <alignment vertical="top"/>
    </xf>
    <xf numFmtId="0" fontId="20" fillId="0" borderId="0" xfId="0" applyFont="1" applyAlignment="1">
      <alignment horizontal="left" vertical="top"/>
    </xf>
    <xf numFmtId="0" fontId="20" fillId="0" borderId="0" xfId="18" applyFont="1" applyAlignment="1">
      <alignment vertical="top"/>
    </xf>
    <xf numFmtId="181" fontId="20" fillId="0" borderId="0" xfId="18" applyNumberFormat="1" applyFont="1" applyAlignment="1">
      <alignment vertical="top"/>
    </xf>
    <xf numFmtId="181" fontId="20" fillId="0" borderId="0" xfId="0" applyNumberFormat="1" applyFont="1" applyAlignment="1">
      <alignment horizontal="left" vertical="top"/>
    </xf>
    <xf numFmtId="0" fontId="20" fillId="0" borderId="0" xfId="0" applyFont="1" applyAlignment="1">
      <alignment horizontal="center" vertical="top"/>
    </xf>
    <xf numFmtId="180" fontId="16" fillId="0" borderId="0" xfId="0" applyNumberFormat="1" applyFont="1" applyAlignment="1">
      <alignment vertical="top"/>
    </xf>
    <xf numFmtId="181" fontId="16" fillId="0" borderId="0" xfId="0" applyNumberFormat="1" applyFont="1" applyAlignment="1">
      <alignment vertical="top"/>
    </xf>
    <xf numFmtId="0" fontId="13" fillId="0" borderId="0" xfId="0" applyFont="1" applyAlignment="1">
      <alignment vertical="top"/>
    </xf>
    <xf numFmtId="177" fontId="13" fillId="0" borderId="0" xfId="0" applyNumberFormat="1" applyFont="1" applyAlignment="1">
      <alignment vertical="top"/>
    </xf>
    <xf numFmtId="0" fontId="13" fillId="2" borderId="0" xfId="0" applyFont="1" applyFill="1" applyAlignment="1">
      <alignment vertical="top"/>
    </xf>
    <xf numFmtId="0" fontId="13" fillId="3" borderId="0" xfId="0" applyFont="1" applyFill="1" applyAlignment="1">
      <alignment vertical="top"/>
    </xf>
    <xf numFmtId="0" fontId="13" fillId="3" borderId="0" xfId="0" quotePrefix="1" applyFont="1" applyFill="1" applyAlignment="1">
      <alignment vertical="top"/>
    </xf>
    <xf numFmtId="0" fontId="13" fillId="0" borderId="0" xfId="0" applyFont="1" applyAlignment="1">
      <alignment horizontal="left" vertical="top"/>
    </xf>
    <xf numFmtId="0" fontId="13" fillId="0" borderId="0" xfId="18" applyFont="1" applyAlignment="1">
      <alignment vertical="top"/>
    </xf>
    <xf numFmtId="181" fontId="13" fillId="0" borderId="0" xfId="18" applyNumberFormat="1" applyFont="1" applyAlignment="1">
      <alignment vertical="top"/>
    </xf>
    <xf numFmtId="181" fontId="13" fillId="0" borderId="0" xfId="0" applyNumberFormat="1" applyFont="1" applyAlignment="1">
      <alignment horizontal="left" vertical="top"/>
    </xf>
    <xf numFmtId="182" fontId="18" fillId="0" borderId="0" xfId="0" applyNumberFormat="1" applyFont="1" applyAlignment="1">
      <alignment vertical="top"/>
    </xf>
    <xf numFmtId="182" fontId="16" fillId="0" borderId="0" xfId="0" applyNumberFormat="1" applyFont="1" applyAlignment="1">
      <alignment vertical="top"/>
    </xf>
    <xf numFmtId="182" fontId="13" fillId="0" borderId="0" xfId="0" applyNumberFormat="1" applyFont="1" applyAlignment="1">
      <alignment vertical="top"/>
    </xf>
    <xf numFmtId="0" fontId="14" fillId="0" borderId="0" xfId="0" applyFont="1" applyAlignment="1">
      <alignment vertical="top"/>
    </xf>
    <xf numFmtId="0" fontId="13" fillId="5" borderId="0" xfId="0" quotePrefix="1" applyFont="1" applyFill="1" applyAlignment="1">
      <alignment vertical="top"/>
    </xf>
    <xf numFmtId="0" fontId="17" fillId="5" borderId="0" xfId="0" applyFont="1" applyFill="1" applyAlignment="1">
      <alignment vertical="top"/>
    </xf>
    <xf numFmtId="0" fontId="17" fillId="5" borderId="0" xfId="0" quotePrefix="1" applyFont="1" applyFill="1" applyAlignment="1">
      <alignment vertical="top"/>
    </xf>
  </cellXfs>
  <cellStyles count="30">
    <cellStyle name="千位分隔 2" xfId="28" xr:uid="{58B192A9-13B3-4FE5-8049-C348BC767110}"/>
    <cellStyle name="千位分隔 3" xfId="29" xr:uid="{5F334183-7C37-43B1-9236-5A17DE8BD0F9}"/>
    <cellStyle name="千位分隔 4" xfId="27" xr:uid="{9582A0C0-86BD-4CBD-831D-056254D4DFC9}"/>
    <cellStyle name="常规" xfId="0" builtinId="0"/>
    <cellStyle name="常规 10" xfId="24" xr:uid="{A54531BB-07A3-4F40-8E8C-09CAFE89BA13}"/>
    <cellStyle name="常规 2" xfId="1" xr:uid="{F5943C16-8E68-4D23-B424-17968F357BBA}"/>
    <cellStyle name="常规 2 2" xfId="7" xr:uid="{4CF18635-8920-4065-BF12-38B816334F14}"/>
    <cellStyle name="常规 2 2 2" xfId="18" xr:uid="{E576B5B3-4FDE-4200-8F15-A1B1B5EBF5F8}"/>
    <cellStyle name="常规 2 2 3" xfId="26" xr:uid="{984D3409-2517-4926-9D20-40EE16AC5A8F}"/>
    <cellStyle name="常规 2 3" xfId="13" xr:uid="{D7A2AEB3-E991-49EB-A902-23A58650F649}"/>
    <cellStyle name="常规 2 4" xfId="25" xr:uid="{FCC28069-9FA3-48E2-90B1-B1739706D0B1}"/>
    <cellStyle name="常规 3" xfId="3" xr:uid="{40F837F9-B94D-40F3-8700-25FA8345BF43}"/>
    <cellStyle name="常规 3 2" xfId="9" xr:uid="{2AA7A535-58C9-4FE3-8B79-E19785260709}"/>
    <cellStyle name="常规 3 2 2" xfId="20" xr:uid="{B7108264-DB16-422A-94C7-20DAC75B5BD7}"/>
    <cellStyle name="常规 3 3" xfId="15" xr:uid="{74A697AF-C497-42A5-9AF2-2C273F89ABA5}"/>
    <cellStyle name="常规 4" xfId="4" xr:uid="{6B27087E-8AD8-47C4-94F8-5ED8DC5F4B8B}"/>
    <cellStyle name="常规 4 2" xfId="10" xr:uid="{B23E6279-0C8C-47CC-BBAB-F0C1876C2D3E}"/>
    <cellStyle name="常规 4 2 2" xfId="21" xr:uid="{825E127A-29DE-412D-AD31-6798FC7614EE}"/>
    <cellStyle name="常规 4 3" xfId="16" xr:uid="{20CE02CC-42DB-4400-90AB-362FCB9609DE}"/>
    <cellStyle name="常规 5" xfId="6" xr:uid="{C7AEC7DA-99FD-490C-9051-DA1D4DDA11EE}"/>
    <cellStyle name="常规 6" xfId="5" xr:uid="{93D66E36-864F-441E-9DBC-42934B213250}"/>
    <cellStyle name="常规 6 2" xfId="17" xr:uid="{4F5F51AD-0F97-40DA-A63D-55647D89C292}"/>
    <cellStyle name="常规 7" xfId="12" xr:uid="{FAAFCB12-8B51-4C8A-91CB-2805F06D614F}"/>
    <cellStyle name="常规 8" xfId="11" xr:uid="{C66F6DD7-E28E-4C2D-9114-AA402CAFFE34}"/>
    <cellStyle name="常规 9" xfId="23" xr:uid="{FBC29DCF-23DD-4721-963F-9FFD61E21582}"/>
    <cellStyle name="货币 2" xfId="2" xr:uid="{FB1DD25D-AFDB-47B6-8E18-61849E442A65}"/>
    <cellStyle name="货币 2 2" xfId="8" xr:uid="{A25358AE-1F56-422F-BE39-258D76570CDA}"/>
    <cellStyle name="货币 2 2 2" xfId="19" xr:uid="{FCBC76A2-61DE-40CD-8B39-18F19827EC35}"/>
    <cellStyle name="货币 2 3" xfId="14" xr:uid="{1F109AA9-86A2-421F-A727-EA2721C6919A}"/>
    <cellStyle name="超链接 2" xfId="22" xr:uid="{1EA7F154-4D75-4CC0-9ACB-3E8863F498C9}"/>
  </cellStyles>
  <dxfs count="108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81" formatCode="0.00_);[Red]\(0.00\)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81" formatCode="0.00_);[Red]\(0.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182" formatCode="0.0000_);[Red]\(0.0000\)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81" formatCode="0.00_);[Red]\(0.00\)"/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81" formatCode="0.00_);[Red]\(0.00\)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1" formatCode="0.00_);[Red]\(0.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1" formatCode="0.00_);[Red]\(0.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82" formatCode="0.0000_);[Red]\(0.0000\)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top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7A3268F4-EC3C-4EE2-9DB5-ABCC0BB3FC42}"/>
  </tableStyles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2</xdr:col>
      <xdr:colOff>28575</xdr:colOff>
      <xdr:row>3</xdr:row>
      <xdr:rowOff>9525</xdr:rowOff>
    </xdr:to>
    <xdr:sp macro="" textlink="">
      <xdr:nvSpPr>
        <xdr:cNvPr id="67585" name="CommandButton1" hidden="1">
          <a:extLst>
            <a:ext uri="{63B3BB69-23CF-44E3-9099-C40C66FF867C}">
              <a14:compatExt xmlns:a14="http://schemas.microsoft.com/office/drawing/2010/main" spid="_x0000_s67585"/>
            </a:ext>
            <a:ext uri="{FF2B5EF4-FFF2-40B4-BE49-F238E27FC236}">
              <a16:creationId xmlns:a16="http://schemas.microsoft.com/office/drawing/2014/main" id="{00000000-0008-0000-0200-00000108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28575</xdr:colOff>
      <xdr:row>3</xdr:row>
      <xdr:rowOff>9525</xdr:rowOff>
    </xdr:to>
    <xdr:pic>
      <xdr:nvPicPr>
        <xdr:cNvPr id="3" name="CommandButton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0175" y="1457325"/>
          <a:ext cx="285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表1_5" backgroundRefresh="0" connectionId="3" xr16:uid="{EC7C1880-31F6-4690-AF85-0D6A9DB64BEF}" autoFormatId="16" applyNumberFormats="0" applyBorderFormats="0" applyFontFormats="0" applyPatternFormats="0" applyAlignmentFormats="0" applyWidthHeightFormats="0">
  <queryTableRefresh nextId="423" unboundColumnsRight="341">
    <queryTableFields count="342">
      <queryTableField id="1" name="CdId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42" dataBound="0" tableColumnId="42"/>
      <queryTableField id="43" dataBound="0" tableColumnId="43"/>
      <queryTableField id="44" dataBound="0" tableColumnId="44"/>
      <queryTableField id="45" dataBound="0" tableColumnId="45"/>
      <queryTableField id="46" dataBound="0" tableColumnId="46"/>
      <queryTableField id="47" dataBound="0" tableColumnId="47"/>
      <queryTableField id="48" dataBound="0" tableColumnId="48"/>
      <queryTableField id="49" dataBound="0" tableColumnId="49"/>
      <queryTableField id="50" dataBound="0" tableColumnId="50"/>
      <queryTableField id="51" dataBound="0" tableColumnId="51"/>
      <queryTableField id="52" dataBound="0" tableColumnId="52"/>
      <queryTableField id="53" dataBound="0" tableColumnId="53"/>
      <queryTableField id="54" dataBound="0" tableColumnId="54"/>
      <queryTableField id="55" dataBound="0" tableColumnId="55"/>
      <queryTableField id="56" dataBound="0" tableColumnId="56"/>
      <queryTableField id="57" dataBound="0" tableColumnId="57"/>
      <queryTableField id="58" dataBound="0" tableColumnId="58"/>
      <queryTableField id="59" dataBound="0" tableColumnId="59"/>
      <queryTableField id="60" dataBound="0" tableColumnId="60"/>
      <queryTableField id="61" dataBound="0" tableColumnId="61"/>
      <queryTableField id="62" dataBound="0" tableColumnId="62"/>
      <queryTableField id="63" dataBound="0" tableColumnId="63"/>
      <queryTableField id="64" dataBound="0" tableColumnId="64"/>
      <queryTableField id="65" dataBound="0" tableColumnId="65"/>
      <queryTableField id="66" dataBound="0" tableColumnId="66"/>
      <queryTableField id="67" dataBound="0" tableColumnId="67"/>
      <queryTableField id="68" dataBound="0" tableColumnId="68"/>
      <queryTableField id="69" dataBound="0" tableColumnId="69"/>
      <queryTableField id="70" dataBound="0" tableColumnId="70"/>
      <queryTableField id="71" dataBound="0" tableColumnId="71"/>
      <queryTableField id="72" dataBound="0" tableColumnId="72"/>
      <queryTableField id="73" dataBound="0" tableColumnId="73"/>
      <queryTableField id="74" dataBound="0" tableColumnId="74"/>
      <queryTableField id="75" dataBound="0" tableColumnId="75"/>
      <queryTableField id="76" dataBound="0" tableColumnId="76"/>
      <queryTableField id="77" dataBound="0" tableColumnId="77"/>
      <queryTableField id="78" dataBound="0" tableColumnId="78"/>
      <queryTableField id="79" dataBound="0" tableColumnId="79"/>
      <queryTableField id="80" dataBound="0" tableColumnId="80"/>
      <queryTableField id="81" dataBound="0" tableColumnId="81"/>
      <queryTableField id="82" dataBound="0" tableColumnId="82"/>
      <queryTableField id="83" dataBound="0" tableColumnId="83"/>
      <queryTableField id="84" dataBound="0" tableColumnId="84"/>
      <queryTableField id="85" dataBound="0" tableColumnId="85"/>
      <queryTableField id="86" dataBound="0" tableColumnId="86"/>
      <queryTableField id="87" dataBound="0" tableColumnId="87"/>
      <queryTableField id="88" dataBound="0" tableColumnId="88"/>
      <queryTableField id="89" dataBound="0" tableColumnId="89"/>
      <queryTableField id="90" dataBound="0" tableColumnId="90"/>
      <queryTableField id="91" dataBound="0" tableColumnId="91"/>
      <queryTableField id="92" dataBound="0" tableColumnId="92"/>
      <queryTableField id="93" dataBound="0" tableColumnId="93"/>
      <queryTableField id="94" dataBound="0" tableColumnId="94"/>
      <queryTableField id="95" dataBound="0" tableColumnId="95"/>
      <queryTableField id="96" dataBound="0" tableColumnId="96"/>
      <queryTableField id="97" dataBound="0" tableColumnId="97"/>
      <queryTableField id="98" dataBound="0" tableColumnId="98"/>
      <queryTableField id="99" dataBound="0" tableColumnId="99"/>
      <queryTableField id="100" dataBound="0" tableColumnId="100"/>
      <queryTableField id="101" dataBound="0" tableColumnId="101"/>
      <queryTableField id="102" dataBound="0" tableColumnId="102"/>
      <queryTableField id="103" dataBound="0" tableColumnId="103"/>
      <queryTableField id="104" dataBound="0" tableColumnId="104"/>
      <queryTableField id="105" dataBound="0" tableColumnId="105"/>
      <queryTableField id="106" dataBound="0" tableColumnId="106"/>
      <queryTableField id="107" dataBound="0" tableColumnId="107"/>
      <queryTableField id="108" dataBound="0" tableColumnId="108"/>
      <queryTableField id="109" dataBound="0" tableColumnId="109"/>
      <queryTableField id="110" dataBound="0" tableColumnId="110"/>
      <queryTableField id="111" dataBound="0" tableColumnId="111"/>
      <queryTableField id="112" dataBound="0" tableColumnId="112"/>
      <queryTableField id="113" dataBound="0" tableColumnId="113"/>
      <queryTableField id="114" dataBound="0" tableColumnId="114"/>
      <queryTableField id="115" dataBound="0" tableColumnId="115"/>
      <queryTableField id="116" dataBound="0" tableColumnId="116"/>
      <queryTableField id="117" dataBound="0" tableColumnId="117"/>
      <queryTableField id="118" dataBound="0" tableColumnId="118"/>
      <queryTableField id="119" dataBound="0" tableColumnId="119"/>
      <queryTableField id="120" dataBound="0" tableColumnId="120"/>
      <queryTableField id="121" dataBound="0" tableColumnId="121"/>
      <queryTableField id="122" dataBound="0" tableColumnId="122"/>
      <queryTableField id="123" dataBound="0" tableColumnId="123"/>
      <queryTableField id="124" dataBound="0" tableColumnId="124"/>
      <queryTableField id="125" dataBound="0" tableColumnId="125"/>
      <queryTableField id="146" dataBound="0" tableColumnId="146"/>
      <queryTableField id="147" dataBound="0" tableColumnId="147"/>
      <queryTableField id="148" dataBound="0" tableColumnId="148"/>
      <queryTableField id="149" dataBound="0" tableColumnId="149"/>
      <queryTableField id="150" dataBound="0" tableColumnId="150"/>
      <queryTableField id="151" dataBound="0" tableColumnId="151"/>
      <queryTableField id="152" dataBound="0" tableColumnId="152"/>
      <queryTableField id="153" dataBound="0" tableColumnId="153"/>
      <queryTableField id="154" dataBound="0" tableColumnId="154"/>
      <queryTableField id="155" dataBound="0" tableColumnId="155"/>
      <queryTableField id="156" dataBound="0" tableColumnId="156"/>
      <queryTableField id="157" dataBound="0" tableColumnId="157"/>
      <queryTableField id="158" dataBound="0" tableColumnId="158"/>
      <queryTableField id="159" dataBound="0" tableColumnId="159"/>
      <queryTableField id="160" dataBound="0" tableColumnId="160"/>
      <queryTableField id="161" dataBound="0" tableColumnId="161"/>
      <queryTableField id="162" dataBound="0" tableColumnId="162"/>
      <queryTableField id="163" dataBound="0" tableColumnId="163"/>
      <queryTableField id="164" dataBound="0" tableColumnId="164"/>
      <queryTableField id="165" dataBound="0" tableColumnId="165"/>
      <queryTableField id="166" dataBound="0" tableColumnId="166"/>
      <queryTableField id="167" dataBound="0" tableColumnId="167"/>
      <queryTableField id="168" dataBound="0" tableColumnId="168"/>
      <queryTableField id="169" dataBound="0" tableColumnId="169"/>
      <queryTableField id="170" dataBound="0" tableColumnId="170"/>
      <queryTableField id="171" dataBound="0" tableColumnId="171"/>
      <queryTableField id="172" dataBound="0" tableColumnId="172"/>
      <queryTableField id="173" dataBound="0" tableColumnId="173"/>
      <queryTableField id="174" dataBound="0" tableColumnId="174"/>
      <queryTableField id="175" dataBound="0" tableColumnId="175"/>
      <queryTableField id="176" dataBound="0" tableColumnId="176"/>
      <queryTableField id="177" dataBound="0" tableColumnId="177"/>
      <queryTableField id="178" dataBound="0" tableColumnId="178"/>
      <queryTableField id="179" dataBound="0" tableColumnId="179"/>
      <queryTableField id="180" dataBound="0" tableColumnId="180"/>
      <queryTableField id="181" dataBound="0" tableColumnId="181"/>
      <queryTableField id="182" dataBound="0" tableColumnId="182"/>
      <queryTableField id="183" dataBound="0" tableColumnId="183"/>
      <queryTableField id="184" dataBound="0" tableColumnId="184"/>
      <queryTableField id="185" dataBound="0" tableColumnId="185"/>
      <queryTableField id="186" dataBound="0" tableColumnId="186"/>
      <queryTableField id="187" dataBound="0" tableColumnId="187"/>
      <queryTableField id="188" dataBound="0" tableColumnId="188"/>
      <queryTableField id="189" dataBound="0" tableColumnId="189"/>
      <queryTableField id="190" dataBound="0" tableColumnId="190"/>
      <queryTableField id="191" dataBound="0" tableColumnId="191"/>
      <queryTableField id="192" dataBound="0" tableColumnId="192"/>
      <queryTableField id="193" dataBound="0" tableColumnId="193"/>
      <queryTableField id="194" dataBound="0" tableColumnId="194"/>
      <queryTableField id="195" dataBound="0" tableColumnId="195"/>
      <queryTableField id="196" dataBound="0" tableColumnId="196"/>
      <queryTableField id="197" dataBound="0" tableColumnId="197"/>
      <queryTableField id="198" dataBound="0" tableColumnId="198"/>
      <queryTableField id="199" dataBound="0" tableColumnId="199"/>
      <queryTableField id="200" dataBound="0" tableColumnId="200"/>
      <queryTableField id="201" dataBound="0" tableColumnId="201"/>
      <queryTableField id="202" dataBound="0" tableColumnId="202"/>
      <queryTableField id="203" dataBound="0" tableColumnId="203"/>
      <queryTableField id="204" dataBound="0" tableColumnId="204"/>
      <queryTableField id="205" dataBound="0" tableColumnId="205"/>
      <queryTableField id="226" dataBound="0" tableColumnId="226"/>
      <queryTableField id="227" dataBound="0" tableColumnId="227"/>
      <queryTableField id="228" dataBound="0" tableColumnId="228"/>
      <queryTableField id="229" dataBound="0" tableColumnId="229"/>
      <queryTableField id="230" dataBound="0" tableColumnId="230"/>
      <queryTableField id="231" dataBound="0" tableColumnId="231"/>
      <queryTableField id="232" dataBound="0" tableColumnId="232"/>
      <queryTableField id="233" dataBound="0" tableColumnId="233"/>
      <queryTableField id="234" dataBound="0" tableColumnId="234"/>
      <queryTableField id="235" dataBound="0" tableColumnId="235"/>
      <queryTableField id="236" dataBound="0" tableColumnId="236"/>
      <queryTableField id="237" dataBound="0" tableColumnId="237"/>
      <queryTableField id="238" dataBound="0" tableColumnId="238"/>
      <queryTableField id="239" dataBound="0" tableColumnId="239"/>
      <queryTableField id="240" dataBound="0" tableColumnId="240"/>
      <queryTableField id="241" dataBound="0" tableColumnId="241"/>
      <queryTableField id="242" dataBound="0" tableColumnId="242"/>
      <queryTableField id="243" dataBound="0" tableColumnId="243"/>
      <queryTableField id="244" dataBound="0" tableColumnId="244"/>
      <queryTableField id="245" dataBound="0" tableColumnId="245"/>
      <queryTableField id="246" dataBound="0" tableColumnId="246"/>
      <queryTableField id="247" dataBound="0" tableColumnId="247"/>
      <queryTableField id="248" dataBound="0" tableColumnId="248"/>
      <queryTableField id="249" dataBound="0" tableColumnId="249"/>
      <queryTableField id="250" dataBound="0" tableColumnId="250"/>
      <queryTableField id="251" dataBound="0" tableColumnId="251"/>
      <queryTableField id="252" dataBound="0" tableColumnId="252"/>
      <queryTableField id="253" dataBound="0" tableColumnId="253"/>
      <queryTableField id="254" dataBound="0" tableColumnId="254"/>
      <queryTableField id="255" dataBound="0" tableColumnId="255"/>
      <queryTableField id="256" dataBound="0" tableColumnId="256"/>
      <queryTableField id="257" dataBound="0" tableColumnId="257"/>
      <queryTableField id="258" dataBound="0" tableColumnId="258"/>
      <queryTableField id="259" dataBound="0" tableColumnId="259"/>
      <queryTableField id="260" dataBound="0" tableColumnId="260"/>
      <queryTableField id="261" dataBound="0" tableColumnId="261"/>
      <queryTableField id="262" dataBound="0" tableColumnId="262"/>
      <queryTableField id="263" dataBound="0" tableColumnId="263"/>
      <queryTableField id="264" dataBound="0" tableColumnId="264"/>
      <queryTableField id="265" dataBound="0" tableColumnId="265"/>
      <queryTableField id="266" dataBound="0" tableColumnId="266"/>
      <queryTableField id="267" dataBound="0" tableColumnId="267"/>
      <queryTableField id="268" dataBound="0" tableColumnId="268"/>
      <queryTableField id="269" dataBound="0" tableColumnId="269"/>
      <queryTableField id="270" dataBound="0" tableColumnId="270"/>
      <queryTableField id="271" dataBound="0" tableColumnId="271"/>
      <queryTableField id="272" dataBound="0" tableColumnId="272"/>
      <queryTableField id="273" dataBound="0" tableColumnId="273"/>
      <queryTableField id="274" dataBound="0" tableColumnId="274"/>
      <queryTableField id="275" dataBound="0" tableColumnId="275"/>
      <queryTableField id="276" dataBound="0" tableColumnId="276"/>
      <queryTableField id="277" dataBound="0" tableColumnId="277"/>
      <queryTableField id="278" dataBound="0" tableColumnId="278"/>
      <queryTableField id="279" dataBound="0" tableColumnId="279"/>
      <queryTableField id="280" dataBound="0" tableColumnId="280"/>
      <queryTableField id="281" dataBound="0" tableColumnId="281"/>
      <queryTableField id="282" dataBound="0" tableColumnId="282"/>
      <queryTableField id="283" dataBound="0" tableColumnId="283"/>
      <queryTableField id="284" dataBound="0" tableColumnId="284"/>
      <queryTableField id="285" dataBound="0" tableColumnId="285"/>
      <queryTableField id="286" dataBound="0" tableColumnId="286"/>
      <queryTableField id="287" dataBound="0" tableColumnId="287"/>
      <queryTableField id="288" dataBound="0" tableColumnId="288"/>
      <queryTableField id="289" dataBound="0" tableColumnId="289"/>
      <queryTableField id="290" dataBound="0" tableColumnId="290"/>
      <queryTableField id="291" dataBound="0" tableColumnId="291"/>
      <queryTableField id="292" dataBound="0" tableColumnId="292"/>
      <queryTableField id="293" dataBound="0" tableColumnId="293"/>
      <queryTableField id="294" dataBound="0" tableColumnId="294"/>
      <queryTableField id="295" dataBound="0" tableColumnId="295"/>
      <queryTableField id="296" dataBound="0" tableColumnId="296"/>
      <queryTableField id="297" dataBound="0" tableColumnId="297"/>
      <queryTableField id="298" dataBound="0" tableColumnId="298"/>
      <queryTableField id="299" dataBound="0" tableColumnId="299"/>
      <queryTableField id="300" dataBound="0" tableColumnId="300"/>
      <queryTableField id="301" dataBound="0" tableColumnId="301"/>
      <queryTableField id="302" dataBound="0" tableColumnId="302"/>
      <queryTableField id="303" dataBound="0" tableColumnId="303"/>
      <queryTableField id="304" dataBound="0" tableColumnId="304"/>
      <queryTableField id="305" dataBound="0" tableColumnId="305"/>
      <queryTableField id="306" dataBound="0" tableColumnId="306"/>
      <queryTableField id="307" dataBound="0" tableColumnId="307"/>
      <queryTableField id="308" dataBound="0" tableColumnId="308"/>
      <queryTableField id="309" dataBound="0" tableColumnId="309"/>
      <queryTableField id="310" dataBound="0" tableColumnId="310"/>
      <queryTableField id="311" dataBound="0" tableColumnId="311"/>
      <queryTableField id="312" dataBound="0" tableColumnId="312"/>
      <queryTableField id="313" dataBound="0" tableColumnId="313"/>
      <queryTableField id="314" dataBound="0" tableColumnId="314"/>
      <queryTableField id="315" dataBound="0" tableColumnId="315"/>
      <queryTableField id="316" dataBound="0" tableColumnId="316"/>
      <queryTableField id="317" dataBound="0" tableColumnId="317"/>
      <queryTableField id="318" dataBound="0" tableColumnId="318"/>
      <queryTableField id="319" dataBound="0" tableColumnId="319"/>
      <queryTableField id="320" dataBound="0" tableColumnId="320"/>
      <queryTableField id="321" dataBound="0" tableColumnId="321"/>
      <queryTableField id="322" dataBound="0" tableColumnId="322"/>
      <queryTableField id="343" dataBound="0" tableColumnId="343"/>
      <queryTableField id="344" dataBound="0" tableColumnId="344"/>
      <queryTableField id="345" dataBound="0" tableColumnId="345"/>
      <queryTableField id="346" dataBound="0" tableColumnId="346"/>
      <queryTableField id="347" dataBound="0" tableColumnId="347"/>
      <queryTableField id="348" dataBound="0" tableColumnId="348"/>
      <queryTableField id="349" dataBound="0" tableColumnId="349"/>
      <queryTableField id="350" dataBound="0" tableColumnId="350"/>
      <queryTableField id="351" dataBound="0" tableColumnId="351"/>
      <queryTableField id="352" dataBound="0" tableColumnId="352"/>
      <queryTableField id="353" dataBound="0" tableColumnId="353"/>
      <queryTableField id="354" dataBound="0" tableColumnId="354"/>
      <queryTableField id="355" dataBound="0" tableColumnId="355"/>
      <queryTableField id="356" dataBound="0" tableColumnId="356"/>
      <queryTableField id="357" dataBound="0" tableColumnId="357"/>
      <queryTableField id="358" dataBound="0" tableColumnId="358"/>
      <queryTableField id="359" dataBound="0" tableColumnId="359"/>
      <queryTableField id="360" dataBound="0" tableColumnId="360"/>
      <queryTableField id="361" dataBound="0" tableColumnId="361"/>
      <queryTableField id="362" dataBound="0" tableColumnId="362"/>
      <queryTableField id="363" dataBound="0" tableColumnId="363"/>
      <queryTableField id="364" dataBound="0" tableColumnId="364"/>
      <queryTableField id="365" dataBound="0" tableColumnId="365"/>
      <queryTableField id="366" dataBound="0" tableColumnId="366"/>
      <queryTableField id="367" dataBound="0" tableColumnId="367"/>
      <queryTableField id="368" dataBound="0" tableColumnId="368"/>
      <queryTableField id="369" dataBound="0" tableColumnId="369"/>
      <queryTableField id="370" dataBound="0" tableColumnId="370"/>
      <queryTableField id="371" dataBound="0" tableColumnId="371"/>
      <queryTableField id="372" dataBound="0" tableColumnId="372"/>
      <queryTableField id="373" dataBound="0" tableColumnId="373"/>
      <queryTableField id="374" dataBound="0" tableColumnId="374"/>
      <queryTableField id="375" dataBound="0" tableColumnId="375"/>
      <queryTableField id="376" dataBound="0" tableColumnId="376"/>
      <queryTableField id="377" dataBound="0" tableColumnId="377"/>
      <queryTableField id="378" dataBound="0" tableColumnId="378"/>
      <queryTableField id="379" dataBound="0" tableColumnId="379"/>
      <queryTableField id="380" dataBound="0" tableColumnId="380"/>
      <queryTableField id="381" dataBound="0" tableColumnId="381"/>
      <queryTableField id="382" dataBound="0" tableColumnId="382"/>
      <queryTableField id="383" dataBound="0" tableColumnId="383"/>
      <queryTableField id="384" dataBound="0" tableColumnId="384"/>
      <queryTableField id="385" dataBound="0" tableColumnId="385"/>
      <queryTableField id="386" dataBound="0" tableColumnId="386"/>
      <queryTableField id="387" dataBound="0" tableColumnId="387"/>
      <queryTableField id="388" dataBound="0" tableColumnId="388"/>
      <queryTableField id="389" dataBound="0" tableColumnId="389"/>
      <queryTableField id="390" dataBound="0" tableColumnId="390"/>
      <queryTableField id="391" dataBound="0" tableColumnId="391"/>
      <queryTableField id="392" dataBound="0" tableColumnId="392"/>
      <queryTableField id="393" dataBound="0" tableColumnId="393"/>
      <queryTableField id="394" dataBound="0" tableColumnId="394"/>
      <queryTableField id="395" dataBound="0" tableColumnId="395"/>
      <queryTableField id="396" dataBound="0" tableColumnId="396"/>
      <queryTableField id="397" dataBound="0" tableColumnId="397"/>
      <queryTableField id="398" dataBound="0" tableColumnId="398"/>
      <queryTableField id="399" dataBound="0" tableColumnId="399"/>
      <queryTableField id="400" dataBound="0" tableColumnId="400"/>
      <queryTableField id="401" dataBound="0" tableColumnId="401"/>
      <queryTableField id="402" dataBound="0" tableColumnId="402"/>
    </queryTableFields>
  </queryTableRefresh>
  <extLst>
    <ext xmlns:x15="http://schemas.microsoft.com/office/spreadsheetml/2010/11/main" uri="{883FBD77-0823-4a55-B5E3-86C4891E6966}">
      <x15:queryTable sourceDataName="WorksheetConnection_Tetraetherbuilt-newlist-Template-OH-v2.0.xlsm!表1_5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表1_5" backgroundRefresh="0" connectionId="2" xr16:uid="{B4EDE02F-05A6-4596-ADBA-687A1556782D}" autoFormatId="16" applyNumberFormats="0" applyBorderFormats="0" applyFontFormats="0" applyPatternFormats="0" applyAlignmentFormats="0" applyWidthHeightFormats="0">
  <queryTableRefresh nextId="473" unboundColumnsRight="389">
    <queryTableFields count="390">
      <queryTableField id="1" name="CdId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426" dataBound="0" tableColumnId="423"/>
      <queryTableField id="425" dataBound="0" tableColumnId="424"/>
      <queryTableField id="424" dataBound="0" tableColumnId="425"/>
      <queryTableField id="423" dataBound="0" tableColumnId="426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  <queryTableField id="435" dataBound="0" tableColumnId="427"/>
      <queryTableField id="434" dataBound="0" tableColumnId="428"/>
      <queryTableField id="433" dataBound="0" tableColumnId="429"/>
      <queryTableField id="432" dataBound="0" tableColumnId="430"/>
      <queryTableField id="431" dataBound="0" tableColumnId="431"/>
      <queryTableField id="430" dataBound="0" tableColumnId="432"/>
      <queryTableField id="429" dataBound="0" tableColumnId="433"/>
      <queryTableField id="428" dataBound="0" tableColumnId="434"/>
      <queryTableField id="427" dataBound="0" tableColumnId="435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42" dataBound="0" tableColumnId="42"/>
      <queryTableField id="43" dataBound="0" tableColumnId="43"/>
      <queryTableField id="44" dataBound="0" tableColumnId="44"/>
      <queryTableField id="45" dataBound="0" tableColumnId="45"/>
      <queryTableField id="46" dataBound="0" tableColumnId="46"/>
      <queryTableField id="47" dataBound="0" tableColumnId="47"/>
      <queryTableField id="48" dataBound="0" tableColumnId="48"/>
      <queryTableField id="49" dataBound="0" tableColumnId="49"/>
      <queryTableField id="444" dataBound="0" tableColumnId="436"/>
      <queryTableField id="443" dataBound="0" tableColumnId="437"/>
      <queryTableField id="442" dataBound="0" tableColumnId="438"/>
      <queryTableField id="441" dataBound="0" tableColumnId="439"/>
      <queryTableField id="440" dataBound="0" tableColumnId="440"/>
      <queryTableField id="439" dataBound="0" tableColumnId="441"/>
      <queryTableField id="438" dataBound="0" tableColumnId="442"/>
      <queryTableField id="437" dataBound="0" tableColumnId="443"/>
      <queryTableField id="436" dataBound="0" tableColumnId="444"/>
      <queryTableField id="50" dataBound="0" tableColumnId="50"/>
      <queryTableField id="51" dataBound="0" tableColumnId="51"/>
      <queryTableField id="52" dataBound="0" tableColumnId="52"/>
      <queryTableField id="53" dataBound="0" tableColumnId="53"/>
      <queryTableField id="54" dataBound="0" tableColumnId="54"/>
      <queryTableField id="55" dataBound="0" tableColumnId="55"/>
      <queryTableField id="56" dataBound="0" tableColumnId="56"/>
      <queryTableField id="57" dataBound="0" tableColumnId="57"/>
      <queryTableField id="58" dataBound="0" tableColumnId="58"/>
      <queryTableField id="59" dataBound="0" tableColumnId="59"/>
      <queryTableField id="60" dataBound="0" tableColumnId="60"/>
      <queryTableField id="61" dataBound="0" tableColumnId="61"/>
      <queryTableField id="62" dataBound="0" tableColumnId="62"/>
      <queryTableField id="63" dataBound="0" tableColumnId="63"/>
      <queryTableField id="64" dataBound="0" tableColumnId="64"/>
      <queryTableField id="467" dataBound="0" tableColumnId="509"/>
      <queryTableField id="468" dataBound="0" tableColumnId="510"/>
      <queryTableField id="65" dataBound="0" tableColumnId="65"/>
      <queryTableField id="66" dataBound="0" tableColumnId="66"/>
      <queryTableField id="67" dataBound="0" tableColumnId="67"/>
      <queryTableField id="68" dataBound="0" tableColumnId="68"/>
      <queryTableField id="69" dataBound="0" tableColumnId="69"/>
      <queryTableField id="70" dataBound="0" tableColumnId="70"/>
      <queryTableField id="71" dataBound="0" tableColumnId="71"/>
      <queryTableField id="72" dataBound="0" tableColumnId="72"/>
      <queryTableField id="73" dataBound="0" tableColumnId="73"/>
      <queryTableField id="74" dataBound="0" tableColumnId="74"/>
      <queryTableField id="75" dataBound="0" tableColumnId="75"/>
      <queryTableField id="76" dataBound="0" tableColumnId="76"/>
      <queryTableField id="77" dataBound="0" tableColumnId="77"/>
      <queryTableField id="78" dataBound="0" tableColumnId="78"/>
      <queryTableField id="79" dataBound="0" tableColumnId="79"/>
      <queryTableField id="80" dataBound="0" tableColumnId="80"/>
      <queryTableField id="81" dataBound="0" tableColumnId="81"/>
      <queryTableField id="82" dataBound="0" tableColumnId="82"/>
      <queryTableField id="83" dataBound="0" tableColumnId="83"/>
      <queryTableField id="84" dataBound="0" tableColumnId="84"/>
      <queryTableField id="85" dataBound="0" tableColumnId="85"/>
      <queryTableField id="86" dataBound="0" tableColumnId="86"/>
      <queryTableField id="87" dataBound="0" tableColumnId="87"/>
      <queryTableField id="88" dataBound="0" tableColumnId="88"/>
      <queryTableField id="89" dataBound="0" tableColumnId="89"/>
      <queryTableField id="90" dataBound="0" tableColumnId="90"/>
      <queryTableField id="91" dataBound="0" tableColumnId="91"/>
      <queryTableField id="92" dataBound="0" tableColumnId="92"/>
      <queryTableField id="93" dataBound="0" tableColumnId="93"/>
      <queryTableField id="94" dataBound="0" tableColumnId="94"/>
      <queryTableField id="95" dataBound="0" tableColumnId="95"/>
      <queryTableField id="96" dataBound="0" tableColumnId="96"/>
      <queryTableField id="97" dataBound="0" tableColumnId="97"/>
      <queryTableField id="98" dataBound="0" tableColumnId="98"/>
      <queryTableField id="99" dataBound="0" tableColumnId="99"/>
      <queryTableField id="100" dataBound="0" tableColumnId="100"/>
      <queryTableField id="101" dataBound="0" tableColumnId="101"/>
      <queryTableField id="102" dataBound="0" tableColumnId="102"/>
      <queryTableField id="103" dataBound="0" tableColumnId="103"/>
      <queryTableField id="104" dataBound="0" tableColumnId="104"/>
      <queryTableField id="105" dataBound="0" tableColumnId="105"/>
      <queryTableField id="106" dataBound="0" tableColumnId="106"/>
      <queryTableField id="107" dataBound="0" tableColumnId="107"/>
      <queryTableField id="108" dataBound="0" tableColumnId="108"/>
      <queryTableField id="109" dataBound="0" tableColumnId="109"/>
      <queryTableField id="110" dataBound="0" tableColumnId="110"/>
      <queryTableField id="111" dataBound="0" tableColumnId="111"/>
      <queryTableField id="112" dataBound="0" tableColumnId="112"/>
      <queryTableField id="113" dataBound="0" tableColumnId="113"/>
      <queryTableField id="114" dataBound="0" tableColumnId="114"/>
      <queryTableField id="115" dataBound="0" tableColumnId="115"/>
      <queryTableField id="116" dataBound="0" tableColumnId="116"/>
      <queryTableField id="117" dataBound="0" tableColumnId="117"/>
      <queryTableField id="118" dataBound="0" tableColumnId="118"/>
      <queryTableField id="119" dataBound="0" tableColumnId="119"/>
      <queryTableField id="120" dataBound="0" tableColumnId="120"/>
      <queryTableField id="121" dataBound="0" tableColumnId="121"/>
      <queryTableField id="122" dataBound="0" tableColumnId="122"/>
      <queryTableField id="123" dataBound="0" tableColumnId="123"/>
      <queryTableField id="124" dataBound="0" tableColumnId="124"/>
      <queryTableField id="125" dataBound="0" tableColumnId="125"/>
      <queryTableField id="146" dataBound="0" tableColumnId="146"/>
      <queryTableField id="147" dataBound="0" tableColumnId="147"/>
      <queryTableField id="148" dataBound="0" tableColumnId="148"/>
      <queryTableField id="149" dataBound="0" tableColumnId="149"/>
      <queryTableField id="150" dataBound="0" tableColumnId="150"/>
      <queryTableField id="151" dataBound="0" tableColumnId="151"/>
      <queryTableField id="152" dataBound="0" tableColumnId="152"/>
      <queryTableField id="153" dataBound="0" tableColumnId="153"/>
      <queryTableField id="154" dataBound="0" tableColumnId="154"/>
      <queryTableField id="155" dataBound="0" tableColumnId="155"/>
      <queryTableField id="156" dataBound="0" tableColumnId="156"/>
      <queryTableField id="157" dataBound="0" tableColumnId="157"/>
      <queryTableField id="158" dataBound="0" tableColumnId="158"/>
      <queryTableField id="159" dataBound="0" tableColumnId="159"/>
      <queryTableField id="160" dataBound="0" tableColumnId="160"/>
      <queryTableField id="161" dataBound="0" tableColumnId="161"/>
      <queryTableField id="162" dataBound="0" tableColumnId="162"/>
      <queryTableField id="163" dataBound="0" tableColumnId="163"/>
      <queryTableField id="164" dataBound="0" tableColumnId="164"/>
      <queryTableField id="165" dataBound="0" tableColumnId="165"/>
      <queryTableField id="166" dataBound="0" tableColumnId="166"/>
      <queryTableField id="167" dataBound="0" tableColumnId="167"/>
      <queryTableField id="168" dataBound="0" tableColumnId="168"/>
      <queryTableField id="169" dataBound="0" tableColumnId="169"/>
      <queryTableField id="170" dataBound="0" tableColumnId="170"/>
      <queryTableField id="171" dataBound="0" tableColumnId="171"/>
      <queryTableField id="172" dataBound="0" tableColumnId="172"/>
      <queryTableField id="173" dataBound="0" tableColumnId="173"/>
      <queryTableField id="174" dataBound="0" tableColumnId="174"/>
      <queryTableField id="175" dataBound="0" tableColumnId="175"/>
      <queryTableField id="176" dataBound="0" tableColumnId="176"/>
      <queryTableField id="177" dataBound="0" tableColumnId="177"/>
      <queryTableField id="178" dataBound="0" tableColumnId="178"/>
      <queryTableField id="179" dataBound="0" tableColumnId="179"/>
      <queryTableField id="180" dataBound="0" tableColumnId="180"/>
      <queryTableField id="181" dataBound="0" tableColumnId="181"/>
      <queryTableField id="182" dataBound="0" tableColumnId="182"/>
      <queryTableField id="183" dataBound="0" tableColumnId="183"/>
      <queryTableField id="184" dataBound="0" tableColumnId="184"/>
      <queryTableField id="185" dataBound="0" tableColumnId="185"/>
      <queryTableField id="186" dataBound="0" tableColumnId="186"/>
      <queryTableField id="187" dataBound="0" tableColumnId="187"/>
      <queryTableField id="188" dataBound="0" tableColumnId="188"/>
      <queryTableField id="189" dataBound="0" tableColumnId="189"/>
      <queryTableField id="190" dataBound="0" tableColumnId="190"/>
      <queryTableField id="191" dataBound="0" tableColumnId="191"/>
      <queryTableField id="192" dataBound="0" tableColumnId="192"/>
      <queryTableField id="193" dataBound="0" tableColumnId="193"/>
      <queryTableField id="194" dataBound="0" tableColumnId="194"/>
      <queryTableField id="195" dataBound="0" tableColumnId="195"/>
      <queryTableField id="196" dataBound="0" tableColumnId="196"/>
      <queryTableField id="197" dataBound="0" tableColumnId="197"/>
      <queryTableField id="198" dataBound="0" tableColumnId="198"/>
      <queryTableField id="199" dataBound="0" tableColumnId="199"/>
      <queryTableField id="200" dataBound="0" tableColumnId="200"/>
      <queryTableField id="201" dataBound="0" tableColumnId="201"/>
      <queryTableField id="202" dataBound="0" tableColumnId="202"/>
      <queryTableField id="203" dataBound="0" tableColumnId="203"/>
      <queryTableField id="204" dataBound="0" tableColumnId="204"/>
      <queryTableField id="205" dataBound="0" tableColumnId="205"/>
      <queryTableField id="226" dataBound="0" tableColumnId="226"/>
      <queryTableField id="466" dataBound="0" tableColumnId="463"/>
      <queryTableField id="465" dataBound="0" tableColumnId="464"/>
      <queryTableField id="464" dataBound="0" tableColumnId="465"/>
      <queryTableField id="463" dataBound="0" tableColumnId="466"/>
      <queryTableField id="227" dataBound="0" tableColumnId="227"/>
      <queryTableField id="228" dataBound="0" tableColumnId="228"/>
      <queryTableField id="229" dataBound="0" tableColumnId="229"/>
      <queryTableField id="230" dataBound="0" tableColumnId="230"/>
      <queryTableField id="231" dataBound="0" tableColumnId="231"/>
      <queryTableField id="232" dataBound="0" tableColumnId="232"/>
      <queryTableField id="233" dataBound="0" tableColumnId="233"/>
      <queryTableField id="453" dataBound="0" tableColumnId="445"/>
      <queryTableField id="452" dataBound="0" tableColumnId="446"/>
      <queryTableField id="451" dataBound="0" tableColumnId="447"/>
      <queryTableField id="450" dataBound="0" tableColumnId="448"/>
      <queryTableField id="449" dataBound="0" tableColumnId="449"/>
      <queryTableField id="448" dataBound="0" tableColumnId="450"/>
      <queryTableField id="447" dataBound="0" tableColumnId="451"/>
      <queryTableField id="446" dataBound="0" tableColumnId="452"/>
      <queryTableField id="445" dataBound="0" tableColumnId="453"/>
      <queryTableField id="234" dataBound="0" tableColumnId="234"/>
      <queryTableField id="235" dataBound="0" tableColumnId="235"/>
      <queryTableField id="236" dataBound="0" tableColumnId="236"/>
      <queryTableField id="237" dataBound="0" tableColumnId="237"/>
      <queryTableField id="238" dataBound="0" tableColumnId="238"/>
      <queryTableField id="239" dataBound="0" tableColumnId="239"/>
      <queryTableField id="240" dataBound="0" tableColumnId="240"/>
      <queryTableField id="241" dataBound="0" tableColumnId="241"/>
      <queryTableField id="242" dataBound="0" tableColumnId="242"/>
      <queryTableField id="243" dataBound="0" tableColumnId="243"/>
      <queryTableField id="244" dataBound="0" tableColumnId="244"/>
      <queryTableField id="245" dataBound="0" tableColumnId="245"/>
      <queryTableField id="246" dataBound="0" tableColumnId="246"/>
      <queryTableField id="462" dataBound="0" tableColumnId="454"/>
      <queryTableField id="461" dataBound="0" tableColumnId="455"/>
      <queryTableField id="460" dataBound="0" tableColumnId="456"/>
      <queryTableField id="459" dataBound="0" tableColumnId="457"/>
      <queryTableField id="458" dataBound="0" tableColumnId="458"/>
      <queryTableField id="457" dataBound="0" tableColumnId="459"/>
      <queryTableField id="456" dataBound="0" tableColumnId="460"/>
      <queryTableField id="455" dataBound="0" tableColumnId="461"/>
      <queryTableField id="454" dataBound="0" tableColumnId="462"/>
      <queryTableField id="247" dataBound="0" tableColumnId="247"/>
      <queryTableField id="248" dataBound="0" tableColumnId="248"/>
      <queryTableField id="249" dataBound="0" tableColumnId="249"/>
      <queryTableField id="250" dataBound="0" tableColumnId="250"/>
      <queryTableField id="251" dataBound="0" tableColumnId="251"/>
      <queryTableField id="252" dataBound="0" tableColumnId="252"/>
      <queryTableField id="253" dataBound="0" tableColumnId="253"/>
      <queryTableField id="254" dataBound="0" tableColumnId="254"/>
      <queryTableField id="255" dataBound="0" tableColumnId="255"/>
      <queryTableField id="256" dataBound="0" tableColumnId="256"/>
      <queryTableField id="257" dataBound="0" tableColumnId="257"/>
      <queryTableField id="258" dataBound="0" tableColumnId="258"/>
      <queryTableField id="259" dataBound="0" tableColumnId="259"/>
      <queryTableField id="260" dataBound="0" tableColumnId="260"/>
      <queryTableField id="261" dataBound="0" tableColumnId="261"/>
      <queryTableField id="471" dataBound="0" tableColumnId="513"/>
      <queryTableField id="472" dataBound="0" tableColumnId="514"/>
      <queryTableField id="262" dataBound="0" tableColumnId="262"/>
      <queryTableField id="263" dataBound="0" tableColumnId="263"/>
      <queryTableField id="264" dataBound="0" tableColumnId="264"/>
      <queryTableField id="265" dataBound="0" tableColumnId="265"/>
      <queryTableField id="266" dataBound="0" tableColumnId="266"/>
      <queryTableField id="267" dataBound="0" tableColumnId="267"/>
      <queryTableField id="268" dataBound="0" tableColumnId="268"/>
      <queryTableField id="269" dataBound="0" tableColumnId="269"/>
      <queryTableField id="270" dataBound="0" tableColumnId="270"/>
      <queryTableField id="271" dataBound="0" tableColumnId="271"/>
      <queryTableField id="272" dataBound="0" tableColumnId="272"/>
      <queryTableField id="273" dataBound="0" tableColumnId="273"/>
      <queryTableField id="274" dataBound="0" tableColumnId="274"/>
      <queryTableField id="275" dataBound="0" tableColumnId="275"/>
      <queryTableField id="276" dataBound="0" tableColumnId="276"/>
      <queryTableField id="277" dataBound="0" tableColumnId="277"/>
      <queryTableField id="278" dataBound="0" tableColumnId="278"/>
      <queryTableField id="279" dataBound="0" tableColumnId="279"/>
      <queryTableField id="280" dataBound="0" tableColumnId="280"/>
      <queryTableField id="281" dataBound="0" tableColumnId="281"/>
      <queryTableField id="282" dataBound="0" tableColumnId="282"/>
      <queryTableField id="283" dataBound="0" tableColumnId="283"/>
      <queryTableField id="284" dataBound="0" tableColumnId="284"/>
      <queryTableField id="285" dataBound="0" tableColumnId="285"/>
      <queryTableField id="286" dataBound="0" tableColumnId="286"/>
      <queryTableField id="287" dataBound="0" tableColumnId="287"/>
      <queryTableField id="288" dataBound="0" tableColumnId="288"/>
      <queryTableField id="289" dataBound="0" tableColumnId="289"/>
      <queryTableField id="290" dataBound="0" tableColumnId="290"/>
      <queryTableField id="291" dataBound="0" tableColumnId="291"/>
      <queryTableField id="292" dataBound="0" tableColumnId="292"/>
      <queryTableField id="293" dataBound="0" tableColumnId="293"/>
      <queryTableField id="294" dataBound="0" tableColumnId="294"/>
      <queryTableField id="295" dataBound="0" tableColumnId="295"/>
      <queryTableField id="296" dataBound="0" tableColumnId="296"/>
      <queryTableField id="297" dataBound="0" tableColumnId="297"/>
      <queryTableField id="298" dataBound="0" tableColumnId="298"/>
      <queryTableField id="299" dataBound="0" tableColumnId="299"/>
      <queryTableField id="300" dataBound="0" tableColumnId="300"/>
      <queryTableField id="301" dataBound="0" tableColumnId="301"/>
      <queryTableField id="302" dataBound="0" tableColumnId="302"/>
      <queryTableField id="303" dataBound="0" tableColumnId="303"/>
      <queryTableField id="304" dataBound="0" tableColumnId="304"/>
      <queryTableField id="305" dataBound="0" tableColumnId="305"/>
      <queryTableField id="306" dataBound="0" tableColumnId="306"/>
      <queryTableField id="307" dataBound="0" tableColumnId="307"/>
      <queryTableField id="308" dataBound="0" tableColumnId="308"/>
      <queryTableField id="309" dataBound="0" tableColumnId="309"/>
      <queryTableField id="310" dataBound="0" tableColumnId="310"/>
      <queryTableField id="311" dataBound="0" tableColumnId="311"/>
      <queryTableField id="312" dataBound="0" tableColumnId="312"/>
      <queryTableField id="313" dataBound="0" tableColumnId="313"/>
      <queryTableField id="314" dataBound="0" tableColumnId="314"/>
      <queryTableField id="315" dataBound="0" tableColumnId="315"/>
      <queryTableField id="316" dataBound="0" tableColumnId="316"/>
      <queryTableField id="317" dataBound="0" tableColumnId="317"/>
      <queryTableField id="318" dataBound="0" tableColumnId="318"/>
      <queryTableField id="319" dataBound="0" tableColumnId="319"/>
      <queryTableField id="320" dataBound="0" tableColumnId="320"/>
      <queryTableField id="321" dataBound="0" tableColumnId="321"/>
      <queryTableField id="322" dataBound="0" tableColumnId="322"/>
      <queryTableField id="343" dataBound="0" tableColumnId="343"/>
      <queryTableField id="344" dataBound="0" tableColumnId="344"/>
      <queryTableField id="345" dataBound="0" tableColumnId="345"/>
      <queryTableField id="346" dataBound="0" tableColumnId="346"/>
      <queryTableField id="347" dataBound="0" tableColumnId="347"/>
      <queryTableField id="348" dataBound="0" tableColumnId="348"/>
      <queryTableField id="349" dataBound="0" tableColumnId="349"/>
      <queryTableField id="350" dataBound="0" tableColumnId="350"/>
      <queryTableField id="351" dataBound="0" tableColumnId="351"/>
      <queryTableField id="352" dataBound="0" tableColumnId="352"/>
      <queryTableField id="353" dataBound="0" tableColumnId="353"/>
      <queryTableField id="354" dataBound="0" tableColumnId="354"/>
      <queryTableField id="355" dataBound="0" tableColumnId="355"/>
      <queryTableField id="356" dataBound="0" tableColumnId="356"/>
      <queryTableField id="357" dataBound="0" tableColumnId="357"/>
      <queryTableField id="358" dataBound="0" tableColumnId="358"/>
      <queryTableField id="359" dataBound="0" tableColumnId="359"/>
      <queryTableField id="360" dataBound="0" tableColumnId="360"/>
      <queryTableField id="361" dataBound="0" tableColumnId="361"/>
      <queryTableField id="362" dataBound="0" tableColumnId="362"/>
      <queryTableField id="363" dataBound="0" tableColumnId="363"/>
      <queryTableField id="364" dataBound="0" tableColumnId="364"/>
      <queryTableField id="365" dataBound="0" tableColumnId="365"/>
      <queryTableField id="366" dataBound="0" tableColumnId="366"/>
      <queryTableField id="367" dataBound="0" tableColumnId="367"/>
      <queryTableField id="368" dataBound="0" tableColumnId="368"/>
      <queryTableField id="369" dataBound="0" tableColumnId="369"/>
      <queryTableField id="370" dataBound="0" tableColumnId="370"/>
      <queryTableField id="371" dataBound="0" tableColumnId="371"/>
      <queryTableField id="372" dataBound="0" tableColumnId="372"/>
      <queryTableField id="373" dataBound="0" tableColumnId="373"/>
      <queryTableField id="374" dataBound="0" tableColumnId="374"/>
      <queryTableField id="375" dataBound="0" tableColumnId="375"/>
      <queryTableField id="376" dataBound="0" tableColumnId="376"/>
      <queryTableField id="377" dataBound="0" tableColumnId="377"/>
      <queryTableField id="378" dataBound="0" tableColumnId="378"/>
      <queryTableField id="379" dataBound="0" tableColumnId="379"/>
      <queryTableField id="380" dataBound="0" tableColumnId="380"/>
      <queryTableField id="381" dataBound="0" tableColumnId="381"/>
      <queryTableField id="382" dataBound="0" tableColumnId="382"/>
      <queryTableField id="383" dataBound="0" tableColumnId="383"/>
      <queryTableField id="384" dataBound="0" tableColumnId="384"/>
      <queryTableField id="385" dataBound="0" tableColumnId="385"/>
      <queryTableField id="386" dataBound="0" tableColumnId="386"/>
      <queryTableField id="387" dataBound="0" tableColumnId="387"/>
      <queryTableField id="388" dataBound="0" tableColumnId="388"/>
      <queryTableField id="389" dataBound="0" tableColumnId="389"/>
      <queryTableField id="390" dataBound="0" tableColumnId="390"/>
      <queryTableField id="391" dataBound="0" tableColumnId="391"/>
      <queryTableField id="392" dataBound="0" tableColumnId="392"/>
      <queryTableField id="393" dataBound="0" tableColumnId="393"/>
      <queryTableField id="394" dataBound="0" tableColumnId="394"/>
      <queryTableField id="395" dataBound="0" tableColumnId="395"/>
      <queryTableField id="396" dataBound="0" tableColumnId="396"/>
      <queryTableField id="397" dataBound="0" tableColumnId="397"/>
      <queryTableField id="398" dataBound="0" tableColumnId="398"/>
      <queryTableField id="399" dataBound="0" tableColumnId="399"/>
      <queryTableField id="400" dataBound="0" tableColumnId="400"/>
      <queryTableField id="401" dataBound="0" tableColumnId="401"/>
      <queryTableField id="402" dataBound="0" tableColumnId="402"/>
    </queryTableFields>
  </queryTableRefresh>
  <extLst>
    <ext xmlns:x15="http://schemas.microsoft.com/office/spreadsheetml/2010/11/main" uri="{883FBD77-0823-4a55-B5E3-86C4891E6966}">
      <x15:queryTable sourceDataName="WorksheetConnection_Tetraetherbuilt-newlist-Template-OH-v2.0.xlsm!表1_5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A10D068-CD31-46D1-A2DD-A1239082C342}" name="表5" displayName="表5" ref="A1:I49" totalsRowShown="0" headerRowDxfId="1085" dataDxfId="1084">
  <autoFilter ref="A1:I49" xr:uid="{2A10D068-CD31-46D1-A2DD-A1239082C342}"/>
  <tableColumns count="9">
    <tableColumn id="2" xr3:uid="{7782EF8E-3C73-453F-BAD3-78BCBDB69C31}" name="Name" dataDxfId="1083"/>
    <tableColumn id="3" xr3:uid="{F04D7423-D7AD-41E9-9C17-9500CEBECE0C}" name="Formula" dataDxfId="1082"/>
    <tableColumn id="5" xr3:uid="{50CCABAD-5CC7-49AA-A8F4-DDA1A8279690}" name="InChI" dataDxfId="1081"/>
    <tableColumn id="6" xr3:uid="{B66A8556-322E-42BC-92B6-CF1B89115997}" name="SMILES" dataDxfId="1080"/>
    <tableColumn id="7" xr3:uid="{7B1F3EDB-0BFC-451E-B80D-C6BFF2B668C2}" name="CCS" dataDxfId="1079"/>
    <tableColumn id="8" xr3:uid="{11FE6156-3C20-4E8E-9786-EEE119F6095B}" name="RT" dataDxfId="1078"/>
    <tableColumn id="9" xr3:uid="{70B3F49C-0311-4B10-AEFE-717E757B27DA}" name="LogP" dataDxfId="1077"/>
    <tableColumn id="10" xr3:uid="{2A674C73-8831-48BB-B32C-3E6CE6E4B70D}" name="InChIKey" dataDxfId="1076"/>
    <tableColumn id="11" xr3:uid="{4FC31008-DF28-41DE-84AC-12763F853EEE}" name="IUPAC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33FCC92-F943-4864-8332-08E78ADB3D08}" name="表1_5" displayName="表1_5" ref="A6:LV22" totalsRowShown="0" headerRowDxfId="1074" dataDxfId="1073">
  <tableColumns count="334">
    <tableColumn id="1" xr3:uid="{C50BCABD-12D0-412D-A683-864E47ECA03D}" name="CdId" dataDxfId="1072"/>
    <tableColumn id="2" xr3:uid="{5A93D0CC-6966-4567-B5C5-FD5ADF3B2FBB}" name="ExactMass" dataDxfId="1071"/>
    <tableColumn id="3" xr3:uid="{0D2E49BF-12A0-4569-8EAD-37239D037442}" name="Name" dataDxfId="1070"/>
    <tableColumn id="4" xr3:uid="{097ECDB5-0CA2-4505-AD80-636EF2B78004}" name="Formula" dataDxfId="1069"/>
    <tableColumn id="5" xr3:uid="{C4E55FCE-656A-42C5-9104-87CD17E9ADE3}" name="Code" dataDxfId="1068"/>
    <tableColumn id="6" xr3:uid="{6AA6654B-31F1-41A5-96BC-8862357F03D1}" name="InChI" dataDxfId="1067"/>
    <tableColumn id="7" xr3:uid="{6EEF35A1-57A1-4CC9-AA4C-E50508427C35}" name="SMILES" dataDxfId="1066"/>
    <tableColumn id="8" xr3:uid="{BCFB05F2-394F-49C5-8764-996025253987}" name="CCS" dataDxfId="1065"/>
    <tableColumn id="9" xr3:uid="{FA47DBD0-6D5A-4035-A954-4A4707482F9B}" name="RT" dataDxfId="1064"/>
    <tableColumn id="10" xr3:uid="{7B58FDE7-18DE-4BAF-A666-FB80D2402836}" name="LogP" dataDxfId="1063"/>
    <tableColumn id="11" xr3:uid="{1B28DD71-04C3-4252-8C69-43E21AA12736}" name="InChIKey" dataDxfId="1062"/>
    <tableColumn id="12" xr3:uid="{E0266D00-C756-4C3F-87AD-6B94730D50BF}" name="IUPAC" dataDxfId="1061"/>
    <tableColumn id="13" xr3:uid="{A13AE877-42CD-4A51-8563-D4D999CDD45D}" name="Confidence" dataDxfId="1060"/>
    <tableColumn id="14" xr3:uid="{A88CBA61-616A-403C-82D9-4115F6B735F9}" name="Name2" dataDxfId="1059"/>
    <tableColumn id="15" xr3:uid="{D9B496C4-B4EE-4B10-B2E0-E66E7AEA8828}" name="OH1" dataDxfId="1058"/>
    <tableColumn id="16" xr3:uid="{A8E6A55F-4665-4735-A8BC-E53748FD680F}" name="OH2" dataDxfId="1057"/>
    <tableColumn id="17" xr3:uid="{3E3E0A4F-1323-403B-BC01-38AC9C566697}" name="Ring1" dataDxfId="1056"/>
    <tableColumn id="18" xr3:uid="{3310CFDF-4FF2-4075-B9C4-5C63F2BCEE2B}" name="Ring2" dataDxfId="1055"/>
    <tableColumn id="19" xr3:uid="{38F54681-C840-46EA-82D2-FCB7FB00171A}" name="Glycerol-Meth" dataDxfId="1054"/>
    <tableColumn id="20" xr3:uid="{F39EE9EE-6707-4A73-9539-24664D68356D}" name="Sn2 Chain Length" dataDxfId="1053"/>
    <tableColumn id="21" xr3:uid="{1B8B5164-75B3-4F1F-B630-5A579E1132F1}" name="Sn2 Double Bonds" dataDxfId="1052"/>
    <tableColumn id="22" xr3:uid="{02B5765D-F288-4A77-BC48-10B834DD0DFF}" name="Sn3 Chain Length" dataDxfId="1051"/>
    <tableColumn id="23" xr3:uid="{EDFB0705-5ABC-45DB-893A-C4F65945BAB0}" name="Sn3 Double Bonds" dataDxfId="1050"/>
    <tableColumn id="24" xr3:uid="{3320A1E3-CC86-4A3A-8331-3448933051AD}" name="Short Name" dataDxfId="1049"/>
    <tableColumn id="25" xr3:uid="{60B33A26-AB2E-4F00-95F2-2474401BADA4}" name="SN1 acyl loss" dataDxfId="1048"/>
    <tableColumn id="26" xr3:uid="{59FF0424-E90B-43AF-9B4F-1F6FFA51C83E}" name="SN1-H2O" dataDxfId="1047"/>
    <tableColumn id="27" xr3:uid="{6F61BE13-44D3-41EC-881F-FFFEDF5F789A}" name="SN2 acyl loss" dataDxfId="1046"/>
    <tableColumn id="28" xr3:uid="{94807061-5612-48C4-8F7B-A97C7CD23B40}" name="SN2-H2O" dataDxfId="1045"/>
    <tableColumn id="29" xr3:uid="{D59C4024-9C0F-40B4-A3CD-269C5956DCBB}" name="[M+H]+ Precursor Mass" dataDxfId="1044"/>
    <tableColumn id="30" xr3:uid="{68711B65-B833-4C1D-BD28-6EF03E12D25F}" name="-H2O" dataDxfId="1043"/>
    <tableColumn id="31" xr3:uid="{7119AD75-586B-43C8-AC14-2D9521B6ACAB}" name="-2H2O" dataDxfId="1042"/>
    <tableColumn id="32" xr3:uid="{CE560C82-472C-472D-A632-A255B84B7B79}" name="-3H2O" dataDxfId="1041"/>
    <tableColumn id="33" xr3:uid="{B430D7E8-A6F0-408C-847E-93CFFD57AA49}" name="-Gly" dataDxfId="1040"/>
    <tableColumn id="34" xr3:uid="{3D49B99E-3C32-4EE6-9D95-8845EDADB694}" name="-Gly-H2O" dataDxfId="1039"/>
    <tableColumn id="35" xr3:uid="{810B8054-AEED-40D3-A12F-F5E07B9901E9}" name="4Chain" dataDxfId="1038"/>
    <tableColumn id="36" xr3:uid="{D12F71DF-0463-44DA-8500-E9D553DFB494}" name="-Chain1" dataDxfId="1037"/>
    <tableColumn id="37" xr3:uid="{E53140F5-D2C5-447E-90F0-D37ABF5CBA40}" name="-Chain1-H2O" dataDxfId="1036"/>
    <tableColumn id="38" xr3:uid="{59D2AA86-8041-4C44-BF8F-6673B909A3A8}" name="-Chain1-2H2O" dataDxfId="1035"/>
    <tableColumn id="39" xr3:uid="{BE0AEB98-309C-4AF3-ABD7-788195E516D1}" name="-Chain1-3H2O" dataDxfId="1034"/>
    <tableColumn id="40" xr3:uid="{73AF407D-FDA4-4F1A-8BA5-9691FA2FBC99}" name="-Chain1-C3H6O2-H2O" dataDxfId="1033"/>
    <tableColumn id="41" xr3:uid="{3D01A850-2DDA-43C3-89C1-6F276A498E3F}" name="-Chain1-C3H6O2-2H2O" dataDxfId="1032"/>
    <tableColumn id="42" xr3:uid="{D7CBC55F-9E9B-4001-963C-F20759DF1F5F}" name="-Chain1-C3H6O2-3H2O" dataDxfId="1031"/>
    <tableColumn id="43" xr3:uid="{E23B84E4-7FF8-416D-8DEC-4EFA33FC4EF6}" name="-Chain1-C3H6O2-4H2O" dataDxfId="1030"/>
    <tableColumn id="44" xr3:uid="{CAB44439-8876-470A-B223-21E55172C798}" name="-Chain1-C3H6O2-4H2O3" dataDxfId="1029"/>
    <tableColumn id="45" xr3:uid="{3D37A74B-E3A7-4C90-BE50-F672290D1516}" name="-Chain1-C3H6O2-C3H4O" dataDxfId="1028"/>
    <tableColumn id="46" xr3:uid="{2EBB2BEF-9000-492B-800A-2BBD429B627F}" name="-Chain1-C3H6O2-C3H6O2" dataDxfId="1027"/>
    <tableColumn id="47" xr3:uid="{6E1E53D9-5B9E-4F12-9795-BBE49AD1C98B}" name="Chain1" dataDxfId="1026"/>
    <tableColumn id="48" xr3:uid="{A7607857-01F3-4B50-8591-1AE05B768834}" name="Chain1+H2O" dataDxfId="1025"/>
    <tableColumn id="49" xr3:uid="{5613AA1F-AD5F-47B4-9CA6-ACB765590096}" name="-Chain2" dataDxfId="1024"/>
    <tableColumn id="50" xr3:uid="{F63D42CC-F0D9-44DD-8635-E455A3B5C352}" name="-Chain2-H2O" dataDxfId="1023"/>
    <tableColumn id="51" xr3:uid="{2EFF7282-6BDD-4D2E-A127-B2B6752750AA}" name="-Chain2-2H2O" dataDxfId="1022"/>
    <tableColumn id="52" xr3:uid="{82D1941E-446C-441E-9BA3-F25B84795902}" name="-Chain2-3H2O" dataDxfId="1021"/>
    <tableColumn id="53" xr3:uid="{6AB1EA32-900C-4F78-A114-21608674854E}" name="-Chain2-C3H6O2-H2O" dataDxfId="1020"/>
    <tableColumn id="54" xr3:uid="{FBA47377-C7CE-4469-A852-5A0CD8F6ADF0}" name="-Chain2-C3H6O2-2H2O" dataDxfId="1019"/>
    <tableColumn id="55" xr3:uid="{951C3479-F4F1-4EBD-B381-F76DC7594652}" name="-Chain2-C3H6O2-3H2O" dataDxfId="1018"/>
    <tableColumn id="56" xr3:uid="{03E9D60E-CB09-494F-9B59-8F6DDE116128}" name="-Chain2-C3H6O2-4H2O" dataDxfId="1017"/>
    <tableColumn id="57" xr3:uid="{1292C1A8-6553-48A6-8931-BA24B6551D0D}" name="-Chain2-C3H6O2-4H2O4" dataDxfId="1016"/>
    <tableColumn id="58" xr3:uid="{C7EA57A8-B015-41B7-97BF-24FB983BEB0C}" name="-Chain2-C3H6O2-C3H4O" dataDxfId="1015"/>
    <tableColumn id="59" xr3:uid="{A012123E-126A-42E2-B17E-69665B5394B8}" name="-Chain2-C3H6O2-C3H6O2" dataDxfId="1014"/>
    <tableColumn id="60" xr3:uid="{8CF7A6D5-6EC9-4A1C-9E65-B7538A3F49EC}" name="Chain2" dataDxfId="1013"/>
    <tableColumn id="61" xr3:uid="{0CF26689-BF80-42A6-8F3E-03E17C2F9450}" name="Chain2+H2O" dataDxfId="1012"/>
    <tableColumn id="62" xr3:uid="{AC0D7F0E-4D2F-4F0C-8F8A-37204D823243}" name="Chain1-1" dataDxfId="1011"/>
    <tableColumn id="63" xr3:uid="{BB300343-3A63-4DE6-AD23-36626983AD01}" name="Chain1-2" dataDxfId="1010"/>
    <tableColumn id="64" xr3:uid="{5F1DDBE4-4E18-447F-ADE9-C51C99F3ECBF}" name="Chain1-3" dataDxfId="1009"/>
    <tableColumn id="65" xr3:uid="{DAADAA6E-B41E-4B9A-BFAD-439314F10C81}" name="Chain1-4" dataDxfId="1008"/>
    <tableColumn id="66" xr3:uid="{F6A62D7F-F66F-48CE-AE47-E06C1475958B}" name="Chain1-5" dataDxfId="1007"/>
    <tableColumn id="67" xr3:uid="{CC9D376C-C64D-4B25-94B8-94BADE9C45F1}" name="Chain1-6" dataDxfId="1006"/>
    <tableColumn id="68" xr3:uid="{C2C8A42D-863F-417F-9AF2-994114626806}" name="Chain1-7" dataDxfId="1005"/>
    <tableColumn id="69" xr3:uid="{14CAFC10-3E6B-43B9-A44B-BF97EA6BDF18}" name="Chain1-8" dataDxfId="1004"/>
    <tableColumn id="70" xr3:uid="{03FF1BB4-10C3-4585-BA1E-C3C154769946}" name="Chain1-9" dataDxfId="1003"/>
    <tableColumn id="71" xr3:uid="{1443ECB8-0496-49DE-BFF5-FAA57DCD7FA6}" name="Chain1-10" dataDxfId="1002"/>
    <tableColumn id="72" xr3:uid="{5BD186F5-5AC8-439D-A8E0-F773AFA9FDE3}" name="Chain1-11" dataDxfId="1001"/>
    <tableColumn id="73" xr3:uid="{2C0E968D-68C3-4225-8F79-570A454722B6}" name="Chain1-12" dataDxfId="1000"/>
    <tableColumn id="74" xr3:uid="{2990919B-031B-44A8-88CA-D9EEB135EF1B}" name="Chain1-13" dataDxfId="999"/>
    <tableColumn id="75" xr3:uid="{6AEDB3B9-2E38-480A-AA09-ADE76118EA00}" name="Chain1-14" dataDxfId="998"/>
    <tableColumn id="76" xr3:uid="{288B3E61-BC9C-4B5E-BC70-5EEC0CE9C19F}" name="Chain1-15" dataDxfId="997"/>
    <tableColumn id="77" xr3:uid="{59D81A11-C881-40DF-AF0A-6D96C63ED39E}" name="Chain1-16" dataDxfId="996"/>
    <tableColumn id="78" xr3:uid="{ED1282F0-4392-4D47-8F35-4098192791E7}" name="Chain1-17" dataDxfId="995"/>
    <tableColumn id="79" xr3:uid="{116BA442-B557-4962-90DB-C88C6FDA98B2}" name="Chain1-18" dataDxfId="994"/>
    <tableColumn id="80" xr3:uid="{ECAEECDB-E4A7-4EA4-9A88-E1F618665D81}" name="Chain1-19" dataDxfId="993"/>
    <tableColumn id="81" xr3:uid="{39772A1A-AE30-40B5-B440-00D8F1ADAF32}" name="Chain1-20" dataDxfId="992"/>
    <tableColumn id="82" xr3:uid="{E5C3F240-B24C-4D6D-939A-2C950804D791}" name="Chain1-21" dataDxfId="991"/>
    <tableColumn id="83" xr3:uid="{9B0A1483-88C0-4054-B905-9E307828DDD1}" name="Chain1-22" dataDxfId="990"/>
    <tableColumn id="84" xr3:uid="{1652D9E9-63B6-471F-93DA-D5F0A3621522}" name="Chain1-23" dataDxfId="989"/>
    <tableColumn id="85" xr3:uid="{B8D8C6F5-C7F2-41A3-A9E6-498B047C8D79}" name="Chain1-24" dataDxfId="988"/>
    <tableColumn id="86" xr3:uid="{E9753087-EE3E-4798-8E36-9B7E11F5CFC7}" name="Chain1-25" dataDxfId="987"/>
    <tableColumn id="87" xr3:uid="{C62DD7A2-1257-4F20-918A-7DE106502456}" name="Chain1-26" dataDxfId="986"/>
    <tableColumn id="88" xr3:uid="{26E5BD19-EA76-4E0A-A1FA-4CF11EF12AC3}" name="Chain1-27" dataDxfId="985"/>
    <tableColumn id="89" xr3:uid="{78731FC9-F44D-4A52-BD73-7F1F0036ABA4}" name="Chain1-28" dataDxfId="984"/>
    <tableColumn id="90" xr3:uid="{74379803-55AC-4295-87E7-1182A2E0C72E}" name="Chain1-29" dataDxfId="983"/>
    <tableColumn id="91" xr3:uid="{A3C11483-C7D1-4ED9-85B9-ADAB0A6446C9}" name="Chain1-30" dataDxfId="982"/>
    <tableColumn id="92" xr3:uid="{CCC8299D-088C-4986-A449-CE956B28A517}" name="Chain1-31" dataDxfId="981"/>
    <tableColumn id="93" xr3:uid="{CE647E62-590A-4A6C-9F35-D4A1A46FE9C5}" name="Chain1-32" dataDxfId="980"/>
    <tableColumn id="94" xr3:uid="{13A57F6C-1B29-4731-B3D8-76221C1DC615}" name="Chain1-33" dataDxfId="979"/>
    <tableColumn id="95" xr3:uid="{57360B9D-51CE-473F-B389-C37EBBA46F75}" name="Chain1-34" dataDxfId="978"/>
    <tableColumn id="96" xr3:uid="{9BE81086-40E9-48E6-8D7B-8BA0E1E5CD81}" name="Chain1-35" dataDxfId="977"/>
    <tableColumn id="97" xr3:uid="{A690766A-B81F-4662-9DF0-A3173D4FE9E1}" name="Chain1-36" dataDxfId="976"/>
    <tableColumn id="98" xr3:uid="{11ADDE3E-9C70-441A-B9A1-2D4FC5C1E8A9}" name="Chain1-37" dataDxfId="975"/>
    <tableColumn id="99" xr3:uid="{862C679A-6FC7-4B38-B5BB-0ECDD9BF6441}" name="Chain1-38" dataDxfId="974"/>
    <tableColumn id="100" xr3:uid="{E6DC36AD-1806-474D-A1A8-C86761B8B4F4}" name="Chain1-39" dataDxfId="973"/>
    <tableColumn id="101" xr3:uid="{B4C61EC3-B1F6-478C-AB30-79526F4F280F}" name="Chain1-40" dataDxfId="972"/>
    <tableColumn id="102" xr3:uid="{33653A5D-3C61-4540-A509-ECC57DECADA3}" name="Chain1-41" dataDxfId="971"/>
    <tableColumn id="103" xr3:uid="{96BF3D8A-8885-4938-BC1A-391952D304EB}" name="Chain1-42" dataDxfId="970"/>
    <tableColumn id="104" xr3:uid="{B3A2073E-EA96-4FD3-B2FF-3ECB143798EC}" name="Chain1-43" dataDxfId="969"/>
    <tableColumn id="105" xr3:uid="{5C0C7084-6C6F-4DB8-B5C2-D686CE92EED9}" name="Chain1-44" dataDxfId="968"/>
    <tableColumn id="106" xr3:uid="{A1C052EE-9505-4420-AC2C-016701C9C7EB}" name="Chain1-45" dataDxfId="967"/>
    <tableColumn id="107" xr3:uid="{6101D4D2-0149-4748-A959-613ABC51DB19}" name="Chain1-46" dataDxfId="966"/>
    <tableColumn id="108" xr3:uid="{7B89F73D-C25B-4CEE-972C-CC248C5C3D64}" name="Chain1-47" dataDxfId="965"/>
    <tableColumn id="109" xr3:uid="{C4A15652-38E0-4890-974E-A9157A0A7657}" name="Chain1-48" dataDxfId="964"/>
    <tableColumn id="110" xr3:uid="{CE9A4B0A-217C-483F-BA3E-77F723B70C21}" name="Chain1-49" dataDxfId="963"/>
    <tableColumn id="111" xr3:uid="{CAE1139B-EE76-4719-AA06-06012F120095}" name="Chain1-50" dataDxfId="962"/>
    <tableColumn id="112" xr3:uid="{E0701703-8226-4AEA-8070-3C34758B4F14}" name="Chain1-51" dataDxfId="961"/>
    <tableColumn id="113" xr3:uid="{58932178-0428-44A3-90BD-13A4F735DDCC}" name="Chain1-52" dataDxfId="960"/>
    <tableColumn id="114" xr3:uid="{16250F3B-F987-4F3D-BF83-3ABDEF1D0FC4}" name="Chain1-53" dataDxfId="959"/>
    <tableColumn id="115" xr3:uid="{0C128C45-71EC-4EC9-9BDD-9E9267606170}" name="Chain1-54" dataDxfId="958"/>
    <tableColumn id="116" xr3:uid="{281FEC07-7895-4793-9E96-9224BB0F2A19}" name="Chain1-55" dataDxfId="957"/>
    <tableColumn id="117" xr3:uid="{38FB66F7-C5C9-43B4-8B71-657837D088FC}" name="Chain1-56" dataDxfId="956"/>
    <tableColumn id="118" xr3:uid="{96B156B9-94E9-49A1-8521-FDC39CC3619F}" name="Chain1-57" dataDxfId="955"/>
    <tableColumn id="119" xr3:uid="{DBEB1423-9542-453F-A7AF-55C2623014B0}" name="Chain1-58" dataDxfId="954"/>
    <tableColumn id="120" xr3:uid="{CBAA28E8-2179-477F-836C-A996C56A5151}" name="Chain1-59" dataDxfId="953"/>
    <tableColumn id="121" xr3:uid="{22603CBC-0734-44EA-AE80-44E899C8D315}" name="Chain1-60" dataDxfId="952"/>
    <tableColumn id="122" xr3:uid="{078397F6-EE93-4E02-A013-8D9F758390BD}" name="Chain2-1" dataDxfId="951"/>
    <tableColumn id="123" xr3:uid="{4FD799C7-593E-4B18-8229-8F8DD015E9A5}" name="Chain2-2" dataDxfId="950"/>
    <tableColumn id="124" xr3:uid="{50EB2053-18BC-4974-8DF9-C85AD8D1D748}" name="Chain2-3" dataDxfId="949"/>
    <tableColumn id="125" xr3:uid="{41EFDAF0-71CD-4EB5-BC68-B0C3343D183B}" name="Chain2-4" dataDxfId="948"/>
    <tableColumn id="126" xr3:uid="{3AFCF3EE-B4C8-4924-BB1D-A49798D95BE6}" name="Chain2-5" dataDxfId="947"/>
    <tableColumn id="127" xr3:uid="{EC632799-AF22-48CB-A6AD-C820D8BB7E89}" name="Chain2-6" dataDxfId="946"/>
    <tableColumn id="128" xr3:uid="{4BD0595C-68C3-4E87-ACEE-8678A821D363}" name="Chain2-7" dataDxfId="945"/>
    <tableColumn id="129" xr3:uid="{1DA30CDF-FBE6-488F-8190-4BCC3FC104CD}" name="Chain2-8" dataDxfId="944"/>
    <tableColumn id="130" xr3:uid="{DCAEC530-7845-408D-97EA-3691AB97B87A}" name="Chain2-9" dataDxfId="943"/>
    <tableColumn id="131" xr3:uid="{591CB2AB-004A-4E0E-AB9D-3135089768BD}" name="Chain2-10" dataDxfId="942"/>
    <tableColumn id="132" xr3:uid="{EDB05A82-5A0E-47FF-B3B7-B07FAC8086E6}" name="Chain2-11" dataDxfId="941"/>
    <tableColumn id="133" xr3:uid="{6CCB0E30-E991-45EA-A3B5-0E7C49E243BA}" name="Chain2-12" dataDxfId="940"/>
    <tableColumn id="134" xr3:uid="{08CCCA3C-C509-4704-8C87-EC0F1CDEFC20}" name="Chain2-13" dataDxfId="939"/>
    <tableColumn id="135" xr3:uid="{58020DD4-E0B0-4CCA-996E-129C772C85DE}" name="Chain2-14" dataDxfId="938"/>
    <tableColumn id="136" xr3:uid="{7DD92643-5E50-4B5F-909E-D37B7E62DCB1}" name="Chain2-15" dataDxfId="937"/>
    <tableColumn id="137" xr3:uid="{976D9C72-A01C-451F-9297-017F46F19F8D}" name="Chain2-16" dataDxfId="936"/>
    <tableColumn id="138" xr3:uid="{0E0254BB-E05E-4F5C-981E-025797D96CB4}" name="Chain2-17" dataDxfId="935"/>
    <tableColumn id="139" xr3:uid="{304CE84A-25BD-42C4-A9FA-B8EFA793FA57}" name="Chain2-18" dataDxfId="934"/>
    <tableColumn id="140" xr3:uid="{A68A04BF-2B5A-419B-9500-4149F95DE31C}" name="Chain2-19" dataDxfId="933"/>
    <tableColumn id="141" xr3:uid="{A552D9E1-3B63-4662-A80B-1E71B8D1E8F4}" name="Chain2-20" dataDxfId="932"/>
    <tableColumn id="142" xr3:uid="{FCBDDE5A-6BF1-45C6-9BE9-E65B42BF30E0}" name="Chain2-21" dataDxfId="931"/>
    <tableColumn id="143" xr3:uid="{03BDF621-F554-4727-B06D-9B3999857EE7}" name="Chain2-22" dataDxfId="930"/>
    <tableColumn id="144" xr3:uid="{A3A28962-89C7-47EB-89BF-EB16421B553F}" name="Chain2-23" dataDxfId="929"/>
    <tableColumn id="145" xr3:uid="{9311DF49-59E6-411C-9E9A-B0190BDDAA4B}" name="Chain2-24" dataDxfId="928"/>
    <tableColumn id="146" xr3:uid="{A8D22910-EA3A-4342-8702-FB7D33F7034C}" name="Chain2-25" dataDxfId="927"/>
    <tableColumn id="147" xr3:uid="{30BD64CA-1F2F-451A-9694-F5D1484BC456}" name="Chain2-26" dataDxfId="926"/>
    <tableColumn id="148" xr3:uid="{45710DEB-0B31-42A7-9617-2049D51BE5A1}" name="Chain2-27" dataDxfId="925"/>
    <tableColumn id="149" xr3:uid="{401DABB8-9F4B-45A7-845A-08D73D1F536F}" name="Chain2-28" dataDxfId="924"/>
    <tableColumn id="150" xr3:uid="{D94BF874-8AF6-4DB2-B3A3-EB263EEC2705}" name="Chain2-29" dataDxfId="923"/>
    <tableColumn id="151" xr3:uid="{C57B4EE2-E50B-4AAA-B9E7-F2428F5EDE39}" name="Chain2-30" dataDxfId="922"/>
    <tableColumn id="152" xr3:uid="{8653CB1A-0948-4BE9-8106-F0D25D435901}" name="Chain2-31" dataDxfId="921"/>
    <tableColumn id="153" xr3:uid="{56A33580-8BBB-4FFB-9A98-CCBC2D9DCFD0}" name="Chain2-32" dataDxfId="920"/>
    <tableColumn id="154" xr3:uid="{376BE8C3-06EF-460A-9C33-C26845E74D20}" name="Chain2-33" dataDxfId="919"/>
    <tableColumn id="155" xr3:uid="{37CA5728-6C23-4310-877F-0542FEAC2F19}" name="Chain2-34" dataDxfId="918"/>
    <tableColumn id="156" xr3:uid="{210D5CAD-C5B2-4861-8494-0A654EE7C466}" name="Chain2-35" dataDxfId="917"/>
    <tableColumn id="157" xr3:uid="{3602AF82-3935-4F2F-8C34-D75C62849D05}" name="Chain2-36" dataDxfId="916"/>
    <tableColumn id="158" xr3:uid="{FC2B11A4-299F-40D9-995F-2DC8DADC72C5}" name="Chain2-37" dataDxfId="915"/>
    <tableColumn id="159" xr3:uid="{9EDF4DF7-7CB3-4970-8C29-4805746F74D6}" name="Chain2-38" dataDxfId="914"/>
    <tableColumn id="160" xr3:uid="{E8E54DF6-5C6E-4EFD-8D08-21FA212F5A98}" name="Chain2-39" dataDxfId="913"/>
    <tableColumn id="161" xr3:uid="{8D82ACCC-198E-4764-8370-F7A9FDE5ACD8}" name="Chain2-40" dataDxfId="912"/>
    <tableColumn id="162" xr3:uid="{6853A650-F33F-443B-AC51-6D4A67EB8971}" name="Chain2-41" dataDxfId="911"/>
    <tableColumn id="163" xr3:uid="{27FB94E8-1EF3-4D9C-AA9C-86A66DD1A8CE}" name="Chain2-42" dataDxfId="910"/>
    <tableColumn id="164" xr3:uid="{0AA31980-30EF-4208-8A37-CA07029BF901}" name="Chain2-43" dataDxfId="909"/>
    <tableColumn id="165" xr3:uid="{48E5E391-9E2C-432E-8EE1-C7F4DD8442F1}" name="Chain2-44" dataDxfId="908"/>
    <tableColumn id="166" xr3:uid="{EF330FDB-5AD8-4723-A229-22E51440B0D2}" name="Chain2-45" dataDxfId="907"/>
    <tableColumn id="167" xr3:uid="{CCDAEA09-C5E5-480E-BAF0-ED4155B4D20A}" name="Chain2-46" dataDxfId="906"/>
    <tableColumn id="168" xr3:uid="{C17B40C7-2E0F-40DC-AB82-351DD8F2F998}" name="Chain2-47" dataDxfId="905"/>
    <tableColumn id="169" xr3:uid="{7B951928-170A-4EED-9C28-3189001470D0}" name="Chain2-48" dataDxfId="904"/>
    <tableColumn id="170" xr3:uid="{36B5C37D-EF64-4DE3-9F8A-F159352C9BC3}" name="Chain2-49" dataDxfId="903"/>
    <tableColumn id="171" xr3:uid="{6965B6BC-156F-4ED5-81B6-62009C38966E}" name="Chain2-50" dataDxfId="902"/>
    <tableColumn id="172" xr3:uid="{4ACB84C1-8544-4C43-9B56-E995075CB90C}" name="Chain2-51" dataDxfId="901"/>
    <tableColumn id="173" xr3:uid="{29C03FAA-5FD9-4496-937D-56928FEE8C7C}" name="Chain2-52" dataDxfId="900"/>
    <tableColumn id="174" xr3:uid="{5088F682-4346-4E50-906A-55030FF6FDF6}" name="Chain2-53" dataDxfId="899"/>
    <tableColumn id="175" xr3:uid="{B4DE3E04-5DDA-47AB-86CE-883465122A43}" name="Chain2-54" dataDxfId="898"/>
    <tableColumn id="176" xr3:uid="{021EEE57-F31C-4B2C-8F69-8D06646CB3C0}" name="Chain2-55" dataDxfId="897"/>
    <tableColumn id="177" xr3:uid="{318A27D3-54D1-43A1-A3F3-5503D9A4CEB2}" name="Chain2-56" dataDxfId="896"/>
    <tableColumn id="178" xr3:uid="{760084DB-B650-426F-A12C-20DD846B9302}" name="Chain2-57" dataDxfId="895"/>
    <tableColumn id="179" xr3:uid="{9EA8D9F3-D01B-4B13-BB15-3039CAD5C671}" name="Chain2-58" dataDxfId="894"/>
    <tableColumn id="180" xr3:uid="{E01F01DD-4002-431D-90CD-FD676EED38DA}" name="Chain2-59" dataDxfId="893"/>
    <tableColumn id="181" xr3:uid="{F692E028-54ED-4D66-8583-451EF04D8B7C}" name="Chain2-60" dataDxfId="892"/>
    <tableColumn id="182" xr3:uid="{CC3FCCFF-2CBD-4277-AD9C-E5AD2AEED3FB}" name="P-[M+H]+ Precursor Mass" dataDxfId="891"/>
    <tableColumn id="183" xr3:uid="{6B24F256-BC9A-4F71-9506-1BD8D12EDF08}" name="P--H2O" dataDxfId="890"/>
    <tableColumn id="184" xr3:uid="{2E7A75A4-F187-4CBB-AE7B-6044491EF14A}" name="P--2H2O" dataDxfId="889"/>
    <tableColumn id="185" xr3:uid="{7AA28814-676B-4683-A543-DDDB67FD43E2}" name="P--3H2O" dataDxfId="888"/>
    <tableColumn id="186" xr3:uid="{02DA3D96-7AB9-4408-A05E-470ABC792888}" name="P--Gly" dataDxfId="887"/>
    <tableColumn id="187" xr3:uid="{D864C19F-E8D4-487A-B2BD-FBC8398B8063}" name="P--Gly-H2O" dataDxfId="886"/>
    <tableColumn id="188" xr3:uid="{62049038-54BB-4B4E-8EA0-4D3D089DA469}" name="P-4Chain" dataDxfId="885"/>
    <tableColumn id="189" xr3:uid="{F4D8192D-5CD6-4136-83FC-42685EC18712}" name="P--Chain1" dataDxfId="884"/>
    <tableColumn id="190" xr3:uid="{2CE9F867-B0BE-45FB-BA2F-332409E18FF6}" name="P--Chain1-H2O" dataDxfId="883"/>
    <tableColumn id="191" xr3:uid="{51BB8F9E-E22A-4CF2-B8BD-7A3D01CBAC93}" name="P--Chain1-2H2O" dataDxfId="882"/>
    <tableColumn id="192" xr3:uid="{27344A94-9588-45F3-A5D4-15DEB96168AA}" name="P--Chain1-3H2O" dataDxfId="881"/>
    <tableColumn id="193" xr3:uid="{50C14554-FF70-4785-996C-A62464211F47}" name="P--Chain1-C3H6O2-H2O" dataDxfId="880"/>
    <tableColumn id="194" xr3:uid="{CE4BF639-5520-45C2-AF12-F1304A25CB1B}" name="P--Chain1-C3H6O2-2H2O" dataDxfId="879"/>
    <tableColumn id="195" xr3:uid="{3BF1A8A5-C380-4DAE-85A4-BDC7F43D3536}" name="P--Chain1-C3H6O2-3H2O" dataDxfId="878"/>
    <tableColumn id="196" xr3:uid="{FD73D82F-E998-4ADF-8B7B-95E5E671C3CB}" name="P--Chain1-C3H6O2-4H2O" dataDxfId="877"/>
    <tableColumn id="197" xr3:uid="{275E9AF6-EB75-4854-9F83-491187531194}" name="P--Chain1-C3H6O2-4H2O3" dataDxfId="876"/>
    <tableColumn id="198" xr3:uid="{12527944-FB99-43C2-A7E8-0B16BCAC7AF7}" name="P--Chain1-C3H6O2-C3H4O" dataDxfId="875"/>
    <tableColumn id="199" xr3:uid="{29609883-2DCB-4F49-A893-3CCEC7ADF81A}" name="P--Chain1-C3H6O2-C3H6O2" dataDxfId="874"/>
    <tableColumn id="200" xr3:uid="{F0D7CC9F-CA75-431E-9D9C-A8C759BB80F0}" name="P-Chain1" dataDxfId="873"/>
    <tableColumn id="201" xr3:uid="{E94B870C-4D5A-477A-B282-9267245BA104}" name="P-Chain1+H2O" dataDxfId="872"/>
    <tableColumn id="202" xr3:uid="{5C4BE9FB-691F-4037-A87D-607F1D2F21CC}" name="P--Chain2" dataDxfId="871"/>
    <tableColumn id="203" xr3:uid="{357BA41D-FBD7-4427-81DA-C7E0EB477C4F}" name="P--Chain2-H2O" dataDxfId="870"/>
    <tableColumn id="204" xr3:uid="{F8845157-C193-4D36-953D-FE7244290BA9}" name="P--Chain2-2H2O" dataDxfId="869"/>
    <tableColumn id="205" xr3:uid="{B85A3DE3-5295-4619-83CA-FA98B23C0332}" name="P--Chain2-3H2O" dataDxfId="868"/>
    <tableColumn id="206" xr3:uid="{9A1C5D30-AB72-444F-A2CD-E5599D49F909}" name="P--Chain2-C3H6O2-H2O" dataDxfId="867"/>
    <tableColumn id="207" xr3:uid="{332C5294-8C50-41AD-AFBE-9C82D5171F2F}" name="P--Chain2-C3H6O2-2H2O" dataDxfId="866"/>
    <tableColumn id="208" xr3:uid="{25CAC858-3CB8-42F3-860B-DA3837559C4B}" name="P--Chain2-C3H6O2-3H2O" dataDxfId="865"/>
    <tableColumn id="209" xr3:uid="{58966D7B-A2DD-451C-9F04-871170A76B3C}" name="P--Chain2-C3H6O2-4H2O" dataDxfId="864"/>
    <tableColumn id="210" xr3:uid="{F85E9E9C-CE4E-4A90-BD69-40D30E8DF900}" name="P--Chain2-C3H6O2-4H2O4" dataDxfId="863"/>
    <tableColumn id="211" xr3:uid="{5A26A777-7EB6-46C8-8E62-871BE5DB89D1}" name="P--Chain2-C3H6O2-C3H4O" dataDxfId="862"/>
    <tableColumn id="212" xr3:uid="{E58F5DE3-1592-43A1-8B29-A9129916B13C}" name="P--Chain2-C3H6O2-C3H6O2" dataDxfId="861"/>
    <tableColumn id="213" xr3:uid="{95AF8A52-082B-4F9A-A433-E48E71822972}" name="P-Chain2" dataDxfId="860"/>
    <tableColumn id="214" xr3:uid="{28D33A96-F2E0-4D5B-AAD2-A955854CFE14}" name="P-Chain2+H2O" dataDxfId="859"/>
    <tableColumn id="215" xr3:uid="{E8FD5D37-468A-4366-A735-779974C551BF}" name="P-Chain1-1" dataDxfId="858"/>
    <tableColumn id="216" xr3:uid="{1364B001-4655-4562-8E77-D4D5816FA405}" name="P-Chain1-2" dataDxfId="857"/>
    <tableColumn id="217" xr3:uid="{FE7BF5B4-1E11-4CA9-B5BE-D1CB2B839097}" name="P-Chain1-3" dataDxfId="856"/>
    <tableColumn id="218" xr3:uid="{7EB8F39D-DD8B-4A66-BEB9-0BCC79E4FB7A}" name="P-Chain1-4" dataDxfId="855"/>
    <tableColumn id="219" xr3:uid="{3F11F7E0-80BC-42CC-B797-CE7F487BFA90}" name="P-Chain1-5" dataDxfId="854"/>
    <tableColumn id="220" xr3:uid="{77AAA9E8-B6E0-444E-A86E-8CA184FE56FF}" name="P-Chain1-6" dataDxfId="853"/>
    <tableColumn id="221" xr3:uid="{20CA8C70-C576-480E-A979-9FE45EB726EC}" name="P-Chain1-7" dataDxfId="852"/>
    <tableColumn id="222" xr3:uid="{EAE7CBF2-A6D9-4F96-936B-897D77AE78C2}" name="P-Chain1-8" dataDxfId="851"/>
    <tableColumn id="223" xr3:uid="{E8CA80A9-C8CB-4428-AB03-93A9FFAA4747}" name="P-Chain1-9" dataDxfId="850"/>
    <tableColumn id="224" xr3:uid="{A66EEA3F-DAB0-493C-9100-0C35BDD50DC7}" name="P-Chain1-10" dataDxfId="849"/>
    <tableColumn id="225" xr3:uid="{AE6CB218-ACFC-4A99-B8AF-B3C5393022A4}" name="P-Chain1-11" dataDxfId="848"/>
    <tableColumn id="226" xr3:uid="{8C886CE5-F6C8-4961-8E46-F7CAA5297207}" name="P-Chain1-12" dataDxfId="847"/>
    <tableColumn id="227" xr3:uid="{1C85705F-FA08-44A6-B86A-78168F55E204}" name="P-Chain1-13" dataDxfId="846"/>
    <tableColumn id="228" xr3:uid="{BB91B9B5-1FF7-459E-8916-E34FBB354BF2}" name="P-Chain1-14" dataDxfId="845"/>
    <tableColumn id="229" xr3:uid="{C6A823AD-F239-424B-B620-72F461A1D059}" name="P-Chain1-15" dataDxfId="844"/>
    <tableColumn id="230" xr3:uid="{6698E59B-734A-4ECF-B9A4-2A3F2B411175}" name="P-Chain1-16" dataDxfId="843"/>
    <tableColumn id="231" xr3:uid="{4B2DC995-075C-436D-870A-1D9F915C1229}" name="P-Chain1-17" dataDxfId="842"/>
    <tableColumn id="232" xr3:uid="{12F66E0A-8078-4D0A-AA8A-07DD5669B2B3}" name="P-Chain1-18" dataDxfId="841"/>
    <tableColumn id="233" xr3:uid="{DA62E85B-B4CE-45B7-AA97-A0569B17A10A}" name="P-Chain1-19" dataDxfId="840"/>
    <tableColumn id="234" xr3:uid="{D373063B-8C04-42AF-AA3D-D553B3EA1751}" name="P-Chain1-20" dataDxfId="839"/>
    <tableColumn id="235" xr3:uid="{EE9A9748-68F2-411D-B69B-F24B9D6520FC}" name="P-Chain1-21" dataDxfId="838"/>
    <tableColumn id="236" xr3:uid="{0F64F3CD-7AC5-4AFF-86C5-13DC2F619207}" name="P-Chain1-22" dataDxfId="837"/>
    <tableColumn id="237" xr3:uid="{E156C5F6-6966-436F-B6A6-C95B40D07077}" name="P-Chain1-23" dataDxfId="836"/>
    <tableColumn id="238" xr3:uid="{874E5D68-FB7D-4086-8F21-42322A19023C}" name="P-Chain1-24" dataDxfId="835"/>
    <tableColumn id="239" xr3:uid="{8096DB92-72F2-4D80-81B8-3419A9526141}" name="P-Chain1-25" dataDxfId="834"/>
    <tableColumn id="240" xr3:uid="{275F4F74-4967-4828-833D-5B68B03AD3A2}" name="P-Chain1-26" dataDxfId="833"/>
    <tableColumn id="241" xr3:uid="{77E52327-7B28-40A1-93B0-FBE197B5DB50}" name="P-Chain1-27" dataDxfId="832"/>
    <tableColumn id="242" xr3:uid="{F3784056-EB1B-48D2-A6E9-9C65FBF88AB7}" name="P-Chain1-28" dataDxfId="831"/>
    <tableColumn id="243" xr3:uid="{5554D082-A35B-4E77-8578-395C3AE42B1C}" name="P-Chain1-29" dataDxfId="830"/>
    <tableColumn id="244" xr3:uid="{6CB46233-921D-4808-BD64-71E0BD04C750}" name="P-Chain1-30" dataDxfId="829"/>
    <tableColumn id="245" xr3:uid="{FDE20BEB-AAE1-400A-B771-F7FA37E787F7}" name="P-Chain1-31" dataDxfId="828"/>
    <tableColumn id="246" xr3:uid="{0067F6FD-1FB4-4BAB-B2CC-1A6B93DCFEE9}" name="P-Chain1-32" dataDxfId="827"/>
    <tableColumn id="247" xr3:uid="{8FCC34B6-2BA8-4766-8D50-AEB19D5B27AE}" name="P-Chain1-33" dataDxfId="826"/>
    <tableColumn id="248" xr3:uid="{7C30213A-F10D-482B-B3EA-865BBA428641}" name="P-Chain1-34" dataDxfId="825"/>
    <tableColumn id="249" xr3:uid="{59EAFA6C-3C66-4EF9-A0D9-AEB4229568FB}" name="P-Chain1-35" dataDxfId="824"/>
    <tableColumn id="250" xr3:uid="{835383F3-614E-4954-A36F-38875B93F31A}" name="P-Chain1-36" dataDxfId="823"/>
    <tableColumn id="251" xr3:uid="{44D2B179-7797-4B56-A976-22A8B0781F3D}" name="P-Chain1-37" dataDxfId="822"/>
    <tableColumn id="252" xr3:uid="{BF3C0BEC-5FC6-400C-8847-9D009E996B38}" name="P-Chain1-38" dataDxfId="821"/>
    <tableColumn id="253" xr3:uid="{0F04A919-545F-4A50-AFD7-DE9C1BAE6F94}" name="P-Chain1-39" dataDxfId="820"/>
    <tableColumn id="254" xr3:uid="{E4529ABF-343A-428B-94E9-3A4721592C9C}" name="P-Chain1-40" dataDxfId="819"/>
    <tableColumn id="255" xr3:uid="{FA020878-D42C-4C6A-8B3B-DF8766AD46C0}" name="P-Chain1-41" dataDxfId="818"/>
    <tableColumn id="256" xr3:uid="{9D352F91-75F7-45DD-ACEE-B5DDB3DDA62C}" name="P-Chain1-42" dataDxfId="817"/>
    <tableColumn id="257" xr3:uid="{8227E986-E769-4302-82B9-B99C59D375D1}" name="P-Chain1-43" dataDxfId="816"/>
    <tableColumn id="258" xr3:uid="{36F5B31D-94E8-46A5-B1DE-660EA89E681B}" name="P-Chain1-44" dataDxfId="815"/>
    <tableColumn id="259" xr3:uid="{6EAEA3E7-CB8D-4A9E-9611-630905863407}" name="P-Chain1-45" dataDxfId="814"/>
    <tableColumn id="260" xr3:uid="{00AD8CC3-C61C-4EC4-8FBE-6F13FF11F66F}" name="P-Chain1-46" dataDxfId="813"/>
    <tableColumn id="261" xr3:uid="{6C9089B3-F15F-479F-BD00-430D1802B7AF}" name="P-Chain1-47" dataDxfId="812"/>
    <tableColumn id="262" xr3:uid="{042A1CAC-514D-4921-A307-3756DE7B64A5}" name="P-Chain1-48" dataDxfId="811"/>
    <tableColumn id="263" xr3:uid="{76DFB5EF-C086-4245-ABD0-AC498190B458}" name="P-Chain1-49" dataDxfId="810"/>
    <tableColumn id="264" xr3:uid="{4AF9B9A8-30C7-4A9C-8ADE-8A04BA4BB448}" name="P-Chain1-50" dataDxfId="809"/>
    <tableColumn id="265" xr3:uid="{1E979B89-88B6-42C1-81EB-1F7357DDE08F}" name="P-Chain1-51" dataDxfId="808"/>
    <tableColumn id="266" xr3:uid="{4D74C3B7-663D-46E9-88FD-78EDFF7780D6}" name="P-Chain1-52" dataDxfId="807"/>
    <tableColumn id="267" xr3:uid="{E1CA6482-5544-4D1C-90DB-C7F66FDB635F}" name="P-Chain1-53" dataDxfId="806"/>
    <tableColumn id="268" xr3:uid="{39A784E5-77D2-4AAD-A1A5-34A8D2663943}" name="P-Chain1-54" dataDxfId="805"/>
    <tableColumn id="269" xr3:uid="{4C8A0DDB-D374-49D0-BD0B-D47587653389}" name="P-Chain1-55" dataDxfId="804"/>
    <tableColumn id="270" xr3:uid="{8560E9F4-65B2-4A49-A70E-B695A5D622B9}" name="P-Chain1-56" dataDxfId="803"/>
    <tableColumn id="271" xr3:uid="{4606EAE0-5009-40B9-98BF-7938FFA0DA66}" name="P-Chain1-57" dataDxfId="802"/>
    <tableColumn id="272" xr3:uid="{536DE758-4A86-42BD-A578-76E1F1449882}" name="P-Chain1-58" dataDxfId="801"/>
    <tableColumn id="273" xr3:uid="{8FD0E684-40C8-40A2-875F-C2389BFB4B6B}" name="P-Chain1-59" dataDxfId="800"/>
    <tableColumn id="274" xr3:uid="{5ABFADFB-465E-4EB4-ABE6-B85E49187674}" name="P-Chain1-60" dataDxfId="799"/>
    <tableColumn id="275" xr3:uid="{F96923D3-D30D-4885-8D3A-9BCB2CBEB152}" name="P-Chain2-1" dataDxfId="798"/>
    <tableColumn id="276" xr3:uid="{B96B9E90-23CD-4615-AE8B-52D83F96EDD7}" name="P-Chain2-2" dataDxfId="797"/>
    <tableColumn id="277" xr3:uid="{EAF54523-F6C5-4194-9D8F-E9CAA127F172}" name="P-Chain2-3" dataDxfId="796"/>
    <tableColumn id="278" xr3:uid="{CF5ADA5B-BA8B-450D-91EE-DB52421FB28E}" name="P-Chain2-4" dataDxfId="795"/>
    <tableColumn id="279" xr3:uid="{0E545D32-3D1E-4D8F-BDCD-6569E6CD9B82}" name="P-Chain2-5" dataDxfId="794"/>
    <tableColumn id="280" xr3:uid="{FE9721AD-D749-407E-87A2-CD77C62D6B87}" name="P-Chain2-6" dataDxfId="793"/>
    <tableColumn id="281" xr3:uid="{A95B7EF4-65EA-45C2-BF52-7EF75273B21A}" name="P-Chain2-7" dataDxfId="792"/>
    <tableColumn id="282" xr3:uid="{41DDF5A2-57F5-499C-87F9-4C879963ED04}" name="P-Chain2-8" dataDxfId="791"/>
    <tableColumn id="283" xr3:uid="{1DD1C35D-95B9-4DEC-9255-182F669C8822}" name="P-Chain2-9" dataDxfId="790"/>
    <tableColumn id="284" xr3:uid="{DB947EA2-196B-4C9E-94A8-34595DED62CA}" name="P-Chain2-10" dataDxfId="789"/>
    <tableColumn id="285" xr3:uid="{5E7BC527-D0AA-493F-B921-50ED5A3FDBFB}" name="P-Chain2-11" dataDxfId="788"/>
    <tableColumn id="286" xr3:uid="{4FABB3B4-BEEB-41DF-882A-B6D34856F57C}" name="P-Chain2-12" dataDxfId="787"/>
    <tableColumn id="287" xr3:uid="{BA6ACD25-ADFD-47D9-AE49-339AB0F40517}" name="P-Chain2-13" dataDxfId="786"/>
    <tableColumn id="288" xr3:uid="{484E61E2-A71F-4A3F-B942-F0D2D2A36891}" name="P-Chain2-14" dataDxfId="785"/>
    <tableColumn id="289" xr3:uid="{DA368046-F100-4E6C-8648-8ADFE0A7816F}" name="P-Chain2-15" dataDxfId="784"/>
    <tableColumn id="290" xr3:uid="{45E36596-EA20-49A5-8DBD-CE99629AD47D}" name="P-Chain2-16" dataDxfId="783"/>
    <tableColumn id="291" xr3:uid="{745D0F0E-1A8E-4D11-B060-CE252ABD8D2D}" name="P-Chain2-17" dataDxfId="782"/>
    <tableColumn id="292" xr3:uid="{165D6336-E303-4272-9866-867D2E8DBBF4}" name="P-Chain2-18" dataDxfId="781"/>
    <tableColumn id="293" xr3:uid="{40723FEF-B26D-45B9-BF87-5543DDDBCB11}" name="P-Chain2-19" dataDxfId="780"/>
    <tableColumn id="294" xr3:uid="{F73CFEFF-6020-4BF3-BBD0-16C7FB65379A}" name="P-Chain2-20" dataDxfId="779"/>
    <tableColumn id="295" xr3:uid="{E115084D-567A-41CF-A63A-F6BEE026797D}" name="P-Chain2-21" dataDxfId="778"/>
    <tableColumn id="296" xr3:uid="{607501C5-232E-4BA5-8434-AF5E81529922}" name="P-Chain2-22" dataDxfId="777"/>
    <tableColumn id="297" xr3:uid="{48CED827-4922-4C3C-8795-71D16D3E36B9}" name="P-Chain2-23" dataDxfId="776"/>
    <tableColumn id="298" xr3:uid="{EA99F43A-FF89-4032-8832-C3A81803F56A}" name="P-Chain2-24" dataDxfId="775"/>
    <tableColumn id="299" xr3:uid="{E8A908D7-20F7-4F86-90A3-BE38351A6170}" name="P-Chain2-25" dataDxfId="774"/>
    <tableColumn id="300" xr3:uid="{8421CB58-673C-4607-909F-A6D699CAE3B9}" name="P-Chain2-26" dataDxfId="773"/>
    <tableColumn id="301" xr3:uid="{D987D4AD-2FEB-4D78-A201-5D494CABD86A}" name="P-Chain2-27" dataDxfId="772"/>
    <tableColumn id="302" xr3:uid="{F3447E8E-AC90-4C71-82CC-E69140A09D03}" name="P-Chain2-28" dataDxfId="771"/>
    <tableColumn id="303" xr3:uid="{8AB3B2E0-CB74-4E18-B3DA-73E7AB9557CE}" name="P-Chain2-29" dataDxfId="770"/>
    <tableColumn id="304" xr3:uid="{D97FA979-312F-4764-BEF4-0F2BEF256A4D}" name="P-Chain2-30" dataDxfId="769"/>
    <tableColumn id="305" xr3:uid="{584E4FC1-8CAE-4EAD-94E5-E5DF9940AECA}" name="P-Chain2-31" dataDxfId="768"/>
    <tableColumn id="306" xr3:uid="{8D8D62A4-67A5-4651-9734-B62EDD50B423}" name="P-Chain2-32" dataDxfId="767"/>
    <tableColumn id="307" xr3:uid="{11633725-CD4D-45DF-B4EE-AAEF333299FC}" name="P-Chain2-33" dataDxfId="766"/>
    <tableColumn id="308" xr3:uid="{B9181427-B805-4198-B14E-E6D774CCC97D}" name="P-Chain2-34" dataDxfId="765"/>
    <tableColumn id="309" xr3:uid="{4321151B-6412-4FDF-BF8C-AE093DEDEAF8}" name="P-Chain2-35" dataDxfId="764"/>
    <tableColumn id="310" xr3:uid="{29BB4CDB-6122-4F35-805B-F87FCC3A5B2B}" name="P-Chain2-36" dataDxfId="763"/>
    <tableColumn id="311" xr3:uid="{FC967E57-3DF0-4443-8870-B58AD39AAC6A}" name="P-Chain2-37" dataDxfId="762"/>
    <tableColumn id="312" xr3:uid="{E25654F3-14A1-4F6D-B280-7C7DA3175BDC}" name="P-Chain2-38" dataDxfId="761"/>
    <tableColumn id="313" xr3:uid="{C75BA1A5-DEAA-43B8-B50A-A2AF0E6D768A}" name="P-Chain2-39" dataDxfId="760"/>
    <tableColumn id="314" xr3:uid="{C5BD20E2-EA42-4634-A8A8-2CE406F45A5D}" name="P-Chain2-40" dataDxfId="759"/>
    <tableColumn id="315" xr3:uid="{7988CE2B-FDFF-4D56-9C10-BFF420232030}" name="P-Chain2-41" dataDxfId="758"/>
    <tableColumn id="316" xr3:uid="{A3274C53-8E88-4D3F-8B9C-DE163C1A3919}" name="P-Chain2-42" dataDxfId="757"/>
    <tableColumn id="317" xr3:uid="{B1B4A32B-57CB-46B6-8933-0CA0D88ADB14}" name="P-Chain2-43" dataDxfId="756"/>
    <tableColumn id="318" xr3:uid="{0C1143FC-18CF-4E06-A1EB-D708DF207901}" name="P-Chain2-44" dataDxfId="755"/>
    <tableColumn id="319" xr3:uid="{FA868AB3-B81C-4E00-96E4-D84D10C6E159}" name="P-Chain2-45" dataDxfId="754"/>
    <tableColumn id="320" xr3:uid="{5225029E-BD2E-4DFE-B3B3-78F95F42A3B0}" name="P-Chain2-46" dataDxfId="753"/>
    <tableColumn id="321" xr3:uid="{E8AE56D5-917C-4DEF-BBEA-587A2A881FAF}" name="P-Chain2-47" dataDxfId="752"/>
    <tableColumn id="322" xr3:uid="{6DD2AF64-D867-4E36-8F10-5AF06CCAD436}" name="P-Chain2-48" dataDxfId="751"/>
    <tableColumn id="323" xr3:uid="{1B304F31-E83C-4E34-917A-DC9EE95D25BF}" name="P-Chain2-49" dataDxfId="750"/>
    <tableColumn id="324" xr3:uid="{DDE5D15A-B409-4D47-9306-077091D26A6F}" name="P-Chain2-50" dataDxfId="749"/>
    <tableColumn id="325" xr3:uid="{8EDE9CD2-8F90-43BE-A36C-CFD03B124AEE}" name="P-Chain2-51" dataDxfId="748"/>
    <tableColumn id="326" xr3:uid="{3DEE4601-E587-4E7F-A079-60803A2B362B}" name="P-Chain2-52" dataDxfId="747"/>
    <tableColumn id="327" xr3:uid="{96277389-89CA-4EA3-8338-296F24BEEFF3}" name="P-Chain2-53" dataDxfId="746"/>
    <tableColumn id="328" xr3:uid="{F2C00738-881A-4218-B0E4-9A07E8F9ECD5}" name="P-Chain2-54" dataDxfId="745"/>
    <tableColumn id="329" xr3:uid="{12D506E4-F8E9-4488-8CD5-D5AF5AA23B34}" name="P-Chain2-55" dataDxfId="744"/>
    <tableColumn id="330" xr3:uid="{D73B1964-69B4-4D37-95D4-EE5017B029F4}" name="P-Chain2-56" dataDxfId="743"/>
    <tableColumn id="331" xr3:uid="{4A5FD31D-CBF5-468F-8C3E-64ED10EB8B05}" name="P-Chain2-57" dataDxfId="742"/>
    <tableColumn id="332" xr3:uid="{96476F1D-E122-4B8C-A010-8214AA9A4AAF}" name="P-Chain2-58" dataDxfId="741"/>
    <tableColumn id="333" xr3:uid="{8D337282-8849-48A0-BD05-96FFF20B2B06}" name="P-Chain2-59" dataDxfId="740"/>
    <tableColumn id="334" xr3:uid="{A8DDB693-AE50-4042-9C81-5E2A569B93B6}" name="P-Chain2-60" dataDxfId="73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83A5B6-182B-4768-912E-1AA3AC513387}" name="表1_5_83" displayName="表1_5_83" ref="A6:MD22" tableType="queryTable" totalsRowShown="0" headerRowDxfId="738" dataDxfId="737">
  <tableColumns count="342">
    <tableColumn id="1" xr3:uid="{54071A2D-E5B4-488C-AA10-2B4020BCF925}" uniqueName="1" name="CdId" queryTableFieldId="1" dataDxfId="736"/>
    <tableColumn id="2" xr3:uid="{119320BF-4750-429B-85F3-A74D152891F3}" uniqueName="2" name="ExactMass" queryTableFieldId="2" dataDxfId="735"/>
    <tableColumn id="3" xr3:uid="{58BC2A24-541E-4249-9756-2359F29E54A4}" uniqueName="3" name="Name" queryTableFieldId="3" dataDxfId="734"/>
    <tableColumn id="4" xr3:uid="{41402337-DBC7-4DB8-AEAA-53CC3482DB89}" uniqueName="4" name="Formula" queryTableFieldId="4" dataDxfId="733"/>
    <tableColumn id="5" xr3:uid="{BF0F82F2-B7D2-4ADE-809A-9E05B619F05F}" uniqueName="5" name="Code" queryTableFieldId="5" dataDxfId="732"/>
    <tableColumn id="6" xr3:uid="{70445649-59AC-40E1-B30D-09709D81F519}" uniqueName="6" name="InChI" queryTableFieldId="6" dataDxfId="731"/>
    <tableColumn id="7" xr3:uid="{959E7D50-92E9-4382-8FC0-65CE50742570}" uniqueName="7" name="SMILES" queryTableFieldId="7" dataDxfId="730"/>
    <tableColumn id="8" xr3:uid="{E2AFFA27-7D3E-4736-A4AC-C6DBC202A6A3}" uniqueName="8" name="CCS" queryTableFieldId="8" dataDxfId="729" dataCellStyle="常规 2 2 2"/>
    <tableColumn id="9" xr3:uid="{BE512F59-7551-489E-BC24-4C875F3E372E}" uniqueName="9" name="RT" queryTableFieldId="9" dataDxfId="728" dataCellStyle="常规 2 2 2"/>
    <tableColumn id="10" xr3:uid="{7175353A-62D8-4941-A7E5-4AD881750901}" uniqueName="10" name="LogP" queryTableFieldId="10" dataDxfId="727"/>
    <tableColumn id="11" xr3:uid="{7D5913C1-D3E7-46A1-BEB8-9DE0FE01D226}" uniqueName="11" name="InChIKey" queryTableFieldId="11" dataDxfId="726" dataCellStyle="常规 2 2 2"/>
    <tableColumn id="12" xr3:uid="{16F81849-2052-41F9-AC90-D5727B0DF4A2}" uniqueName="12" name="IUPAC" queryTableFieldId="12" dataDxfId="725"/>
    <tableColumn id="13" xr3:uid="{FA755AE0-B294-47E6-9E1E-8222256B85C3}" uniqueName="13" name="Confidence" queryTableFieldId="13" dataDxfId="724"/>
    <tableColumn id="14" xr3:uid="{B84F8C90-7918-4D4A-BC9B-5B34EEB0BA17}" uniqueName="14" name="Name2" queryTableFieldId="14" dataDxfId="723"/>
    <tableColumn id="15" xr3:uid="{1098EA91-8AB0-4430-AD9A-BB9FC098D7BE}" uniqueName="15" name="OH1" queryTableFieldId="15" dataDxfId="722"/>
    <tableColumn id="16" xr3:uid="{573FAEAB-A6F3-428A-9EFA-89F85258722F}" uniqueName="16" name="OH2" queryTableFieldId="16" dataDxfId="721"/>
    <tableColumn id="17" xr3:uid="{F0EAD3FA-73B1-4B1B-B0E1-208700C25C81}" uniqueName="17" name="Branch1" queryTableFieldId="17" dataDxfId="720"/>
    <tableColumn id="18" xr3:uid="{F26E73D9-4939-46D0-80EF-EBD87DE665B3}" uniqueName="18" name="Branch2" queryTableFieldId="18" dataDxfId="719"/>
    <tableColumn id="19" xr3:uid="{98E28453-C042-487A-B298-DBE69D7894BE}" uniqueName="19" name="Rings" queryTableFieldId="19" dataDxfId="718"/>
    <tableColumn id="20" xr3:uid="{5A9E731C-CAA7-4FE1-9D95-0D8AD4BC14C6}" uniqueName="20" name="Sn2 Chain Length" queryTableFieldId="20" dataDxfId="717"/>
    <tableColumn id="21" xr3:uid="{2AAAD1D1-56D2-4DE3-A90C-5AE6ED2F59DD}" uniqueName="21" name="Sn2 Double Bonds" queryTableFieldId="21" dataDxfId="716"/>
    <tableColumn id="22" xr3:uid="{BF9D8AEE-3FF6-4602-836D-455193B22D49}" uniqueName="22" name="Sn3 Chain Length" queryTableFieldId="22" dataDxfId="715"/>
    <tableColumn id="23" xr3:uid="{AEB79ABC-9B1C-457F-A24D-DCC15891BCDF}" uniqueName="23" name="Sn3 Double Bonds" queryTableFieldId="23" dataDxfId="714"/>
    <tableColumn id="24" xr3:uid="{B34A8CAC-F33D-4842-8FC9-30158A394449}" uniqueName="24" name="Short Name" queryTableFieldId="24" dataDxfId="713"/>
    <tableColumn id="25" xr3:uid="{A6791170-A73D-411D-B73A-9D753957227A}" uniqueName="25" name="SN1 acyl loss" queryTableFieldId="25" dataDxfId="712"/>
    <tableColumn id="26" xr3:uid="{071A4BD6-D42B-44D6-91A4-ECB428D0A351}" uniqueName="26" name="SN1-H2O" queryTableFieldId="26" dataDxfId="711"/>
    <tableColumn id="27" xr3:uid="{241B8F86-7AC9-4BF4-8E97-2E091F320480}" uniqueName="27" name="SN2 acyl loss" queryTableFieldId="27" dataDxfId="710"/>
    <tableColumn id="28" xr3:uid="{3D5A9887-8239-4AEE-8859-05706A06ECE8}" uniqueName="28" name="SN2-H2O" queryTableFieldId="28" dataDxfId="709"/>
    <tableColumn id="29" xr3:uid="{E8BCAAD0-50D4-4E7C-A7FE-989B90D74A6F}" uniqueName="29" name="[M+H]+ Precursor Mass" queryTableFieldId="29" dataDxfId="708"/>
    <tableColumn id="30" xr3:uid="{C2EEC240-3C2D-48F1-A580-E04CEC31B5D5}" uniqueName="30" name="Headloss" queryTableFieldId="30" dataDxfId="707"/>
    <tableColumn id="31" xr3:uid="{EC30B66E-9CA4-4A34-B5B6-5397E6E8BD14}" uniqueName="31" name="-H2O" queryTableFieldId="31" dataDxfId="706"/>
    <tableColumn id="32" xr3:uid="{72A63130-C0CB-48A6-BFC4-94CC20A6EA7E}" uniqueName="32" name="-2H2O" queryTableFieldId="32" dataDxfId="705"/>
    <tableColumn id="33" xr3:uid="{A88CC8B1-D385-4C18-88F1-F69D9BE7E5E1}" uniqueName="33" name="-3H2O" queryTableFieldId="33" dataDxfId="704"/>
    <tableColumn id="34" xr3:uid="{832E3483-0867-4DB4-8A3D-505F2AE14F8D}" uniqueName="34" name="-Gly" queryTableFieldId="34" dataDxfId="703"/>
    <tableColumn id="35" xr3:uid="{79B30282-4DFF-4D89-BD91-5080234EC743}" uniqueName="35" name="-Gly-H2O" queryTableFieldId="35" dataDxfId="702"/>
    <tableColumn id="36" xr3:uid="{8679D575-3CDC-44DE-9C74-C52DF6F87B4A}" uniqueName="36" name="4Chain" queryTableFieldId="36" dataDxfId="701"/>
    <tableColumn id="37" xr3:uid="{7A5941F5-83D7-4FD0-A913-39FC577A58C5}" uniqueName="37" name="-Chain1" queryTableFieldId="37" dataDxfId="700"/>
    <tableColumn id="38" xr3:uid="{8AC204BB-7A6F-4528-87B0-7E20B80F2C61}" uniqueName="38" name="-Chain1-H2O" queryTableFieldId="38" dataDxfId="699"/>
    <tableColumn id="39" xr3:uid="{A3D5EC5F-9EAA-429E-9640-134DBE0DB402}" uniqueName="39" name="-Chain1-2H2O" queryTableFieldId="39" dataDxfId="698"/>
    <tableColumn id="40" xr3:uid="{D9C86E29-2749-4CB9-AE6B-3BD6CD476695}" uniqueName="40" name="-Chain1-3H2O" queryTableFieldId="40" dataDxfId="697"/>
    <tableColumn id="41" xr3:uid="{F212AE84-C2AF-4CC4-9CB3-CAF82CFDAC6E}" uniqueName="41" name="-Chain1-C3H6O2-H2O" queryTableFieldId="41" dataDxfId="696"/>
    <tableColumn id="42" xr3:uid="{8494AAEF-B0A0-45E9-8DC7-23372F552F54}" uniqueName="42" name="-Chain1-C3H6O2-2H2O" queryTableFieldId="42" dataDxfId="695"/>
    <tableColumn id="43" xr3:uid="{527E9554-5131-46B5-BA94-CD5AD6C96F54}" uniqueName="43" name="-Chain1-C3H6O2-3H2O" queryTableFieldId="43" dataDxfId="694"/>
    <tableColumn id="44" xr3:uid="{0884ABFF-44DE-4BE8-B9F5-182D7D75B0BC}" uniqueName="44" name="-Chain1-C3H6O2-4H2O" queryTableFieldId="44" dataDxfId="693"/>
    <tableColumn id="45" xr3:uid="{E47A7495-DAB9-4D79-8CD0-3B88888DA2CD}" uniqueName="45" name="-Chain1-C3H6O2-4H2O2" queryTableFieldId="45" dataDxfId="692"/>
    <tableColumn id="46" xr3:uid="{20F40C30-BA29-45CF-8D7D-FD0EFD7A6214}" uniqueName="46" name="-Chain1-C3H6O2-C3H4O" queryTableFieldId="46" dataDxfId="691"/>
    <tableColumn id="47" xr3:uid="{A4F32F14-EBF4-49EF-A67D-FCD2CED71BD6}" uniqueName="47" name="-Chain1-C3H6O2-C3H6O2" queryTableFieldId="47" dataDxfId="690"/>
    <tableColumn id="48" xr3:uid="{1B4542D1-E13F-4479-B7DB-AF8764FAE968}" uniqueName="48" name="Chain1" queryTableFieldId="48" dataDxfId="689"/>
    <tableColumn id="49" xr3:uid="{D1576F50-196E-44D2-9A7B-DB830D925C66}" uniqueName="49" name="Chain1+H2O" queryTableFieldId="49" dataDxfId="688"/>
    <tableColumn id="50" xr3:uid="{BF7BC6E7-EE80-47E3-89BF-AC33D943654A}" uniqueName="50" name="-Chain2" queryTableFieldId="50" dataDxfId="687"/>
    <tableColumn id="51" xr3:uid="{54624DF6-1434-4136-A538-32A62BF8742C}" uniqueName="51" name="-Chain2-H2O" queryTableFieldId="51" dataDxfId="686"/>
    <tableColumn id="52" xr3:uid="{8418B22A-E8CB-4D80-B4D1-DBC0B37810C1}" uniqueName="52" name="-Chain2-2H2O" queryTableFieldId="52" dataDxfId="685"/>
    <tableColumn id="53" xr3:uid="{D483926D-EDEA-4328-A5F9-3302C5B98F92}" uniqueName="53" name="-Chain2-3H2O" queryTableFieldId="53" dataDxfId="684"/>
    <tableColumn id="54" xr3:uid="{BA79FABC-9302-46BD-BD74-3B12863BF60B}" uniqueName="54" name="-Chain2-C3H6O2-H2O" queryTableFieldId="54" dataDxfId="683"/>
    <tableColumn id="55" xr3:uid="{9FA227E6-4A12-49F2-8273-9442E0E39CD6}" uniqueName="55" name="-Chain2-C3H6O2-2H2O" queryTableFieldId="55" dataDxfId="682"/>
    <tableColumn id="56" xr3:uid="{78A1BE12-8CEA-4112-BB39-C249D2F14EAA}" uniqueName="56" name="-Chain2-C3H6O2-3H2O" queryTableFieldId="56" dataDxfId="681"/>
    <tableColumn id="57" xr3:uid="{D4D42CA9-B738-4B09-806D-3398FD5C1E65}" uniqueName="57" name="-Chain2-C3H6O2-4H2O" queryTableFieldId="57" dataDxfId="680"/>
    <tableColumn id="58" xr3:uid="{94AD0674-5DC0-43B7-8096-F911F83EE3C6}" uniqueName="58" name="-Chain2-C3H6O2-4H2O3" queryTableFieldId="58" dataDxfId="679"/>
    <tableColumn id="59" xr3:uid="{DA5021E5-5182-49DB-9772-4C00195D398E}" uniqueName="59" name="-Chain2-C3H6O2-C3H4O" queryTableFieldId="59" dataDxfId="678"/>
    <tableColumn id="60" xr3:uid="{47FECDEE-2C8E-4623-A334-52C5457F1216}" uniqueName="60" name="-Chain2-C3H6O2-C3H6O2" queryTableFieldId="60" dataDxfId="677"/>
    <tableColumn id="61" xr3:uid="{F59253BD-E940-4598-9728-460CBEC94270}" uniqueName="61" name="Chain2" queryTableFieldId="61" dataDxfId="676"/>
    <tableColumn id="62" xr3:uid="{2B730917-B440-4738-AD5D-7DA37588B37B}" uniqueName="62" name="Chain2+H2O" queryTableFieldId="62" dataDxfId="675"/>
    <tableColumn id="63" xr3:uid="{255FD3C9-BF1B-4CF8-84A2-01783AA0F63F}" uniqueName="63" name="Glycosyl" queryTableFieldId="63" dataDxfId="674"/>
    <tableColumn id="64" xr3:uid="{4D998101-24F2-4121-8514-8EFFD7FDBB30}" uniqueName="64" name="undefined" queryTableFieldId="64" dataDxfId="673"/>
    <tableColumn id="65" xr3:uid="{064AEC99-C93A-4FFA-96D9-EBB05D6F3C4D}" uniqueName="65" name="undefined2" queryTableFieldId="65" dataDxfId="672"/>
    <tableColumn id="66" xr3:uid="{9D46E23F-54D7-45A1-BF92-22047D9EF256}" uniqueName="66" name="Chain1-1" queryTableFieldId="66" dataDxfId="671"/>
    <tableColumn id="67" xr3:uid="{65117B8B-1165-4251-A76E-B51A2208E34D}" uniqueName="67" name="Chain1-2" queryTableFieldId="67" dataDxfId="670"/>
    <tableColumn id="68" xr3:uid="{AFA5BA9B-A80A-479D-89CB-86785E0D7B40}" uniqueName="68" name="Chain1-3" queryTableFieldId="68" dataDxfId="669"/>
    <tableColumn id="69" xr3:uid="{B18F6288-5ECE-471F-8FD3-AAD1F605D187}" uniqueName="69" name="Chain1-4" queryTableFieldId="69" dataDxfId="668"/>
    <tableColumn id="70" xr3:uid="{F2E01D05-4CAE-46A5-800F-D8554AC73C8F}" uniqueName="70" name="Chain1-5" queryTableFieldId="70" dataDxfId="667"/>
    <tableColumn id="71" xr3:uid="{E8456FA6-9FF5-44AD-ACCB-246C799B1A6D}" uniqueName="71" name="Chain1-6" queryTableFieldId="71" dataDxfId="666"/>
    <tableColumn id="72" xr3:uid="{0C028E94-EA6B-470D-880F-6F2DB7B2BC67}" uniqueName="72" name="Chain1-7" queryTableFieldId="72" dataDxfId="665"/>
    <tableColumn id="73" xr3:uid="{4C4469A0-C72C-4759-8FB9-2E79A31B83B5}" uniqueName="73" name="Chain1-8" queryTableFieldId="73" dataDxfId="664"/>
    <tableColumn id="74" xr3:uid="{CCA612AC-2D9B-42D2-83A5-AFDCE1EFD718}" uniqueName="74" name="Chain1-9" queryTableFieldId="74" dataDxfId="663"/>
    <tableColumn id="75" xr3:uid="{5179C88E-1038-4463-AE48-3713EF438942}" uniqueName="75" name="Chain1-10" queryTableFieldId="75" dataDxfId="662"/>
    <tableColumn id="76" xr3:uid="{887F6E05-BF7E-4D7A-9381-F8549A36FCEF}" uniqueName="76" name="Chain1-11" queryTableFieldId="76" dataDxfId="661"/>
    <tableColumn id="77" xr3:uid="{BFF76B5F-6373-43FB-84D4-BBDECA3CCB39}" uniqueName="77" name="Chain1-12" queryTableFieldId="77" dataDxfId="660"/>
    <tableColumn id="78" xr3:uid="{B91ECD3E-5269-4997-88D1-5DDBD9A48929}" uniqueName="78" name="Chain1-13" queryTableFieldId="78" dataDxfId="659"/>
    <tableColumn id="79" xr3:uid="{AABF0049-E250-4D71-BE8F-DE8D494E02F4}" uniqueName="79" name="Chain1-14" queryTableFieldId="79" dataDxfId="658"/>
    <tableColumn id="80" xr3:uid="{3562E18B-7642-4341-8022-90DA407290FD}" uniqueName="80" name="Chain1-15" queryTableFieldId="80" dataDxfId="657"/>
    <tableColumn id="81" xr3:uid="{7EFA976B-AB42-46C2-A48D-6041FEC8076E}" uniqueName="81" name="Chain1-16" queryTableFieldId="81" dataDxfId="656"/>
    <tableColumn id="82" xr3:uid="{EC7CE269-FFE3-49BC-9F86-76698E3E9C4C}" uniqueName="82" name="Chain1-17" queryTableFieldId="82" dataDxfId="655"/>
    <tableColumn id="83" xr3:uid="{D5FB1674-5CB5-4420-AA38-96AB35C87A7B}" uniqueName="83" name="Chain1-18" queryTableFieldId="83" dataDxfId="654"/>
    <tableColumn id="84" xr3:uid="{E097AA82-96E5-4E3A-9C9A-DF2C9A6F8A39}" uniqueName="84" name="Chain1-19" queryTableFieldId="84" dataDxfId="653"/>
    <tableColumn id="85" xr3:uid="{B97EBFD1-2E99-4A3B-B7F4-AED9D4C56E18}" uniqueName="85" name="Chain1-20" queryTableFieldId="85" dataDxfId="652"/>
    <tableColumn id="86" xr3:uid="{A96C4AD7-4B45-4AAB-8C40-99E2D447CA5B}" uniqueName="86" name="Chain1-21" queryTableFieldId="86" dataDxfId="651"/>
    <tableColumn id="87" xr3:uid="{FD5E4B88-E73C-42F1-9F3D-5C00DC0DFD48}" uniqueName="87" name="Chain1-22" queryTableFieldId="87" dataDxfId="650"/>
    <tableColumn id="88" xr3:uid="{F013BC26-6FF6-4A21-B96E-4DB12D599E7F}" uniqueName="88" name="Chain1-23" queryTableFieldId="88" dataDxfId="649"/>
    <tableColumn id="89" xr3:uid="{2BB7A25A-C872-4846-96E5-88F89D87A740}" uniqueName="89" name="Chain1-24" queryTableFieldId="89" dataDxfId="648"/>
    <tableColumn id="90" xr3:uid="{2F675654-28C8-4062-A480-ED00EABE5742}" uniqueName="90" name="Chain1-25" queryTableFieldId="90" dataDxfId="647"/>
    <tableColumn id="91" xr3:uid="{C4AC151D-8375-4C15-B56F-74FABC457F7C}" uniqueName="91" name="Chain1-26" queryTableFieldId="91" dataDxfId="646"/>
    <tableColumn id="92" xr3:uid="{EE4D2BE2-8CE8-468F-8952-61C5CC9C6FF3}" uniqueName="92" name="Chain1-27" queryTableFieldId="92" dataDxfId="645"/>
    <tableColumn id="93" xr3:uid="{63ECFDFF-02B3-4040-891B-332D3954919C}" uniqueName="93" name="Chain1-28" queryTableFieldId="93" dataDxfId="644"/>
    <tableColumn id="94" xr3:uid="{FE98301B-76CC-4D21-A49F-B98B288968B9}" uniqueName="94" name="Chain1-29" queryTableFieldId="94" dataDxfId="643"/>
    <tableColumn id="95" xr3:uid="{9729302C-EF78-4600-9274-C3D65DA5081A}" uniqueName="95" name="Chain1-30" queryTableFieldId="95" dataDxfId="642"/>
    <tableColumn id="96" xr3:uid="{D32D96A2-1888-45DF-B717-A772AF913C90}" uniqueName="96" name="Chain1-31" queryTableFieldId="96" dataDxfId="641"/>
    <tableColumn id="97" xr3:uid="{65175173-DC6E-45AA-A4E3-719440702FFB}" uniqueName="97" name="Chain1-32" queryTableFieldId="97" dataDxfId="640"/>
    <tableColumn id="98" xr3:uid="{769683CA-F551-4F0D-8365-18D65D8E85D4}" uniqueName="98" name="Chain1-33" queryTableFieldId="98" dataDxfId="639"/>
    <tableColumn id="99" xr3:uid="{0A2CCB00-5E94-4B7F-A5C6-12CF248356A5}" uniqueName="99" name="Chain1-34" queryTableFieldId="99" dataDxfId="638"/>
    <tableColumn id="100" xr3:uid="{A0E76FCE-3CEA-4780-B4E7-AC009702E2B9}" uniqueName="100" name="Chain1-35" queryTableFieldId="100" dataDxfId="637"/>
    <tableColumn id="101" xr3:uid="{16A62B43-0609-4C0F-8F87-09919071B1AC}" uniqueName="101" name="Chain1-36" queryTableFieldId="101" dataDxfId="636"/>
    <tableColumn id="102" xr3:uid="{6F08FC4B-EC6F-47FD-9EA3-AB15E1968813}" uniqueName="102" name="Chain1-37" queryTableFieldId="102" dataDxfId="635"/>
    <tableColumn id="103" xr3:uid="{B445461F-1769-491A-960A-92759B79A003}" uniqueName="103" name="Chain1-38" queryTableFieldId="103" dataDxfId="634"/>
    <tableColumn id="104" xr3:uid="{84D42E82-3635-4DF4-8898-5A637273BF03}" uniqueName="104" name="Chain1-39" queryTableFieldId="104" dataDxfId="633"/>
    <tableColumn id="105" xr3:uid="{A1A9696C-9A52-40A9-9E25-CE22839EB9CC}" uniqueName="105" name="Chain1-40" queryTableFieldId="105" dataDxfId="632"/>
    <tableColumn id="106" xr3:uid="{138C0C9D-8527-4177-B3A6-6D8F6C01FD16}" uniqueName="106" name="Chain1-41" queryTableFieldId="106" dataDxfId="631"/>
    <tableColumn id="107" xr3:uid="{0E0C21FC-5774-489D-9DB0-92C431559609}" uniqueName="107" name="Chain1-42" queryTableFieldId="107" dataDxfId="630"/>
    <tableColumn id="108" xr3:uid="{A1DBC4D8-B6D9-4BC5-A844-B99D69AD9093}" uniqueName="108" name="Chain1-43" queryTableFieldId="108" dataDxfId="629"/>
    <tableColumn id="109" xr3:uid="{539C1E14-3CE9-44DA-AD26-242A3DABF9EA}" uniqueName="109" name="Chain1-44" queryTableFieldId="109" dataDxfId="628"/>
    <tableColumn id="110" xr3:uid="{1B57EDB1-BAA9-4673-BC05-DD2253A6487E}" uniqueName="110" name="Chain1-45" queryTableFieldId="110" dataDxfId="627"/>
    <tableColumn id="111" xr3:uid="{BDBA6784-8015-40B0-9C54-B7DDFD3C3015}" uniqueName="111" name="Chain1-46" queryTableFieldId="111" dataDxfId="626"/>
    <tableColumn id="112" xr3:uid="{3B2902AE-2F2B-4E3E-B3FD-28EDF5F9C82B}" uniqueName="112" name="Chain1-47" queryTableFieldId="112" dataDxfId="625"/>
    <tableColumn id="113" xr3:uid="{53C47F87-43BB-47F0-A9C0-644214A479B1}" uniqueName="113" name="Chain1-48" queryTableFieldId="113" dataDxfId="624"/>
    <tableColumn id="114" xr3:uid="{CA5DAE56-8B4A-4B4D-84FA-A2417C8DFB04}" uniqueName="114" name="Chain1-49" queryTableFieldId="114" dataDxfId="623"/>
    <tableColumn id="115" xr3:uid="{05243908-EC3F-458B-AF67-FE54484FB103}" uniqueName="115" name="Chain1-50" queryTableFieldId="115" dataDxfId="622"/>
    <tableColumn id="116" xr3:uid="{796EE35B-6985-41C9-9CED-05502DD276C5}" uniqueName="116" name="Chain1-51" queryTableFieldId="116" dataDxfId="621"/>
    <tableColumn id="117" xr3:uid="{B7A9B5C2-961C-47A7-A41E-A6ECA899E128}" uniqueName="117" name="Chain1-52" queryTableFieldId="117" dataDxfId="620"/>
    <tableColumn id="118" xr3:uid="{7DB3CDB4-8FF6-4756-9099-14E580E9C47F}" uniqueName="118" name="Chain1-53" queryTableFieldId="118" dataDxfId="619"/>
    <tableColumn id="119" xr3:uid="{1013B2C0-3009-4BC4-9463-D9011C4B1A34}" uniqueName="119" name="Chain1-54" queryTableFieldId="119" dataDxfId="618"/>
    <tableColumn id="120" xr3:uid="{0E884F86-D6FD-49E4-8D58-CFCE382D1F29}" uniqueName="120" name="Chain1-55" queryTableFieldId="120" dataDxfId="617"/>
    <tableColumn id="121" xr3:uid="{31D04305-8FC2-4E32-BB96-2FB664448821}" uniqueName="121" name="Chain1-56" queryTableFieldId="121" dataDxfId="616"/>
    <tableColumn id="122" xr3:uid="{48EAE465-6180-4C88-B9D3-830915AFDC6A}" uniqueName="122" name="Chain1-57" queryTableFieldId="122" dataDxfId="615"/>
    <tableColumn id="123" xr3:uid="{50E6ED6D-FE8D-474C-887B-4BF928438B61}" uniqueName="123" name="Chain1-58" queryTableFieldId="123" dataDxfId="614"/>
    <tableColumn id="124" xr3:uid="{6A2EC3F7-97C2-4807-9E3E-D305FE47295C}" uniqueName="124" name="Chain1-59" queryTableFieldId="124" dataDxfId="613"/>
    <tableColumn id="125" xr3:uid="{CFE3B63C-AE7C-450E-B929-389B8C93AABD}" uniqueName="125" name="Chain1-60" queryTableFieldId="125" dataDxfId="612"/>
    <tableColumn id="146" xr3:uid="{F1FAD9F3-1B3B-44E8-A603-D1861108BB6F}" uniqueName="146" name="Chain2-1" queryTableFieldId="146" dataDxfId="611"/>
    <tableColumn id="147" xr3:uid="{4DFC3FEC-697C-4CB6-9E8B-05A42A723189}" uniqueName="147" name="Chain2-2" queryTableFieldId="147" dataDxfId="610"/>
    <tableColumn id="148" xr3:uid="{CF0616DA-3B09-44DF-B458-255F6E79167B}" uniqueName="148" name="Chain2-3" queryTableFieldId="148" dataDxfId="609"/>
    <tableColumn id="149" xr3:uid="{7319C7FF-C38B-4845-A007-C386FC2FAB1A}" uniqueName="149" name="Chain2-4" queryTableFieldId="149" dataDxfId="608"/>
    <tableColumn id="150" xr3:uid="{8343B6AE-B98C-462D-AD43-F8F45177983E}" uniqueName="150" name="Chain2-5" queryTableFieldId="150" dataDxfId="607"/>
    <tableColumn id="151" xr3:uid="{87BF7270-BD52-474E-A725-EAAD4707DBBD}" uniqueName="151" name="Chain2-6" queryTableFieldId="151" dataDxfId="606"/>
    <tableColumn id="152" xr3:uid="{760A77BF-85B5-4F7B-96CD-151A02202ED4}" uniqueName="152" name="Chain2-7" queryTableFieldId="152" dataDxfId="605"/>
    <tableColumn id="153" xr3:uid="{81898AF8-B9EC-478E-82D4-E005719216F9}" uniqueName="153" name="Chain2-8" queryTableFieldId="153" dataDxfId="604"/>
    <tableColumn id="154" xr3:uid="{CFCDBC1A-8884-4D41-B297-B76BC3387F76}" uniqueName="154" name="Chain2-9" queryTableFieldId="154" dataDxfId="603"/>
    <tableColumn id="155" xr3:uid="{487CD96C-2CD3-4353-8B92-95F9E2EA97F1}" uniqueName="155" name="Chain2-10" queryTableFieldId="155" dataDxfId="602"/>
    <tableColumn id="156" xr3:uid="{9092C18D-364C-43B2-B114-308FEE640FF7}" uniqueName="156" name="Chain2-11" queryTableFieldId="156" dataDxfId="601"/>
    <tableColumn id="157" xr3:uid="{8B3BB981-63C9-491C-B8DC-74FA5247CFE1}" uniqueName="157" name="Chain2-12" queryTableFieldId="157" dataDxfId="600"/>
    <tableColumn id="158" xr3:uid="{0109FFAF-2B28-45AF-99A9-B466DE4DAB16}" uniqueName="158" name="Chain2-13" queryTableFieldId="158" dataDxfId="599"/>
    <tableColumn id="159" xr3:uid="{1CE67F6A-984A-46F9-A74E-DBCD61A4A3EA}" uniqueName="159" name="Chain2-14" queryTableFieldId="159" dataDxfId="598"/>
    <tableColumn id="160" xr3:uid="{8408B948-5B18-4F2F-B970-F03D14D930CC}" uniqueName="160" name="Chain2-15" queryTableFieldId="160" dataDxfId="597"/>
    <tableColumn id="161" xr3:uid="{117B7BCD-2C9E-4A23-9200-081040A36514}" uniqueName="161" name="Chain2-16" queryTableFieldId="161" dataDxfId="596"/>
    <tableColumn id="162" xr3:uid="{28F4F265-9B16-4412-B004-CD7889BDE0C4}" uniqueName="162" name="Chain2-17" queryTableFieldId="162" dataDxfId="595"/>
    <tableColumn id="163" xr3:uid="{AB26B9A7-551A-474F-BB1D-FDBB31BCDA09}" uniqueName="163" name="Chain2-18" queryTableFieldId="163" dataDxfId="594"/>
    <tableColumn id="164" xr3:uid="{DAC06443-0801-404E-8B2B-5912CC6BD04F}" uniqueName="164" name="Chain2-19" queryTableFieldId="164" dataDxfId="593"/>
    <tableColumn id="165" xr3:uid="{9D7E0069-DB28-4A0E-8436-9F356AFC853C}" uniqueName="165" name="Chain2-20" queryTableFieldId="165" dataDxfId="592"/>
    <tableColumn id="166" xr3:uid="{E923EDF0-DB21-4CC7-ACA7-B75838BEAD8E}" uniqueName="166" name="Chain2-21" queryTableFieldId="166" dataDxfId="591"/>
    <tableColumn id="167" xr3:uid="{2D2E4EE5-BDCD-45EF-90EC-6CE9D73D34E5}" uniqueName="167" name="Chain2-22" queryTableFieldId="167" dataDxfId="590"/>
    <tableColumn id="168" xr3:uid="{6A0C8EE7-DE2D-4745-A37F-B31EEBCBD848}" uniqueName="168" name="Chain2-23" queryTableFieldId="168" dataDxfId="589"/>
    <tableColumn id="169" xr3:uid="{38D87B9F-8060-45A0-B45D-D6300CA48619}" uniqueName="169" name="Chain2-24" queryTableFieldId="169" dataDxfId="588"/>
    <tableColumn id="170" xr3:uid="{55649FC5-6432-45E5-8D54-1D4502D83067}" uniqueName="170" name="Chain2-25" queryTableFieldId="170" dataDxfId="587"/>
    <tableColumn id="171" xr3:uid="{892B4B69-BC13-448D-B7FD-7942712D1AAE}" uniqueName="171" name="Chain2-26" queryTableFieldId="171" dataDxfId="586"/>
    <tableColumn id="172" xr3:uid="{4A1004D7-9939-4AC9-9C54-C01EDF4964DF}" uniqueName="172" name="Chain2-27" queryTableFieldId="172" dataDxfId="585"/>
    <tableColumn id="173" xr3:uid="{213109E2-079C-4C1B-BF46-1FFDA26DD284}" uniqueName="173" name="Chain2-28" queryTableFieldId="173" dataDxfId="584"/>
    <tableColumn id="174" xr3:uid="{5E76A7B8-7458-4BAD-8888-5F3C7AE5C8AF}" uniqueName="174" name="Chain2-29" queryTableFieldId="174" dataDxfId="583"/>
    <tableColumn id="175" xr3:uid="{DACBA279-1BC8-4E0F-B64B-4F797E87F543}" uniqueName="175" name="Chain2-30" queryTableFieldId="175" dataDxfId="582"/>
    <tableColumn id="176" xr3:uid="{40A8C8D3-3CA3-4666-A1E4-C611FAEDC26C}" uniqueName="176" name="Chain2-31" queryTableFieldId="176" dataDxfId="581"/>
    <tableColumn id="177" xr3:uid="{353777E4-8962-4188-9CB9-738C2943BAD3}" uniqueName="177" name="Chain2-32" queryTableFieldId="177" dataDxfId="580"/>
    <tableColumn id="178" xr3:uid="{FAD84774-612F-4AFD-ADDF-C481F3590596}" uniqueName="178" name="Chain2-33" queryTableFieldId="178" dataDxfId="579"/>
    <tableColumn id="179" xr3:uid="{A7B225B8-494A-4815-8312-00976C24A2D2}" uniqueName="179" name="Chain2-34" queryTableFieldId="179" dataDxfId="578"/>
    <tableColumn id="180" xr3:uid="{23E68C74-89B1-45C0-8D25-E603F6489372}" uniqueName="180" name="Chain2-35" queryTableFieldId="180" dataDxfId="577"/>
    <tableColumn id="181" xr3:uid="{3B9F1F86-0834-4395-A512-EC2AF703C4B3}" uniqueName="181" name="Chain2-36" queryTableFieldId="181" dataDxfId="576"/>
    <tableColumn id="182" xr3:uid="{ACFA3C3D-C73A-4333-8DA4-49B43B5D17D9}" uniqueName="182" name="Chain2-37" queryTableFieldId="182" dataDxfId="575"/>
    <tableColumn id="183" xr3:uid="{8B0A40FE-C0F5-417A-94C6-E4EBA831689D}" uniqueName="183" name="Chain2-38" queryTableFieldId="183" dataDxfId="574"/>
    <tableColumn id="184" xr3:uid="{6DFDD05D-BACC-4A9E-B419-CA5CB0580723}" uniqueName="184" name="Chain2-39" queryTableFieldId="184" dataDxfId="573"/>
    <tableColumn id="185" xr3:uid="{545C6C01-B6A8-42E9-816C-AC4520F97251}" uniqueName="185" name="Chain2-40" queryTableFieldId="185" dataDxfId="572"/>
    <tableColumn id="186" xr3:uid="{61171C44-AABF-4168-AD57-BD44352CAED8}" uniqueName="186" name="Chain2-41" queryTableFieldId="186" dataDxfId="571"/>
    <tableColumn id="187" xr3:uid="{E37FA0D8-949D-4E73-A5BC-6C922466DB0D}" uniqueName="187" name="Chain2-42" queryTableFieldId="187" dataDxfId="570"/>
    <tableColumn id="188" xr3:uid="{BCA56636-E59A-435E-8E89-F52657215D02}" uniqueName="188" name="Chain2-43" queryTableFieldId="188" dataDxfId="569"/>
    <tableColumn id="189" xr3:uid="{AAB96751-9BB3-457B-9536-F935EC8F26F0}" uniqueName="189" name="Chain2-44" queryTableFieldId="189" dataDxfId="568"/>
    <tableColumn id="190" xr3:uid="{13430DB6-6666-4487-AD01-46FBF5A68A01}" uniqueName="190" name="Chain2-45" queryTableFieldId="190" dataDxfId="567"/>
    <tableColumn id="191" xr3:uid="{A2C30268-0F15-4365-9DA9-9E56C31AE683}" uniqueName="191" name="Chain2-46" queryTableFieldId="191" dataDxfId="566"/>
    <tableColumn id="192" xr3:uid="{F40C1AD2-CB22-4C63-B0CE-778BA8FF9840}" uniqueName="192" name="Chain2-47" queryTableFieldId="192" dataDxfId="565"/>
    <tableColumn id="193" xr3:uid="{E5B3AD6C-71C4-4861-A028-51DDE04CED77}" uniqueName="193" name="Chain2-48" queryTableFieldId="193" dataDxfId="564"/>
    <tableColumn id="194" xr3:uid="{4F938253-E311-45C8-982D-38AA9BE425A4}" uniqueName="194" name="Chain2-49" queryTableFieldId="194" dataDxfId="563"/>
    <tableColumn id="195" xr3:uid="{CEFD6A96-529D-447C-8294-093400F289B5}" uniqueName="195" name="Chain2-50" queryTableFieldId="195" dataDxfId="562"/>
    <tableColumn id="196" xr3:uid="{04757EDC-D120-45A7-82D8-AA5225878535}" uniqueName="196" name="Chain2-51" queryTableFieldId="196" dataDxfId="561"/>
    <tableColumn id="197" xr3:uid="{AC55B69C-C9C7-4EB9-9218-D1BB0F20FCA4}" uniqueName="197" name="Chain2-52" queryTableFieldId="197" dataDxfId="560"/>
    <tableColumn id="198" xr3:uid="{11BA7E2E-84F8-4BF6-9155-87587B340563}" uniqueName="198" name="Chain2-53" queryTableFieldId="198" dataDxfId="559"/>
    <tableColumn id="199" xr3:uid="{44279E33-DE05-41B7-8389-46116E9D8CB3}" uniqueName="199" name="Chain2-54" queryTableFieldId="199" dataDxfId="558"/>
    <tableColumn id="200" xr3:uid="{DAE68DA7-A21D-45D7-A018-6F7502A4C1BA}" uniqueName="200" name="Chain2-55" queryTableFieldId="200" dataDxfId="557"/>
    <tableColumn id="201" xr3:uid="{DFB81676-9489-467C-B4BB-E0C9CCD8CD7C}" uniqueName="201" name="Chain2-56" queryTableFieldId="201" dataDxfId="556"/>
    <tableColumn id="202" xr3:uid="{2FFEE2EB-4FFC-4BBC-9341-04C0A52D51DA}" uniqueName="202" name="Chain2-57" queryTableFieldId="202" dataDxfId="555"/>
    <tableColumn id="203" xr3:uid="{45D490BA-10FD-4D8B-B68F-E09F9B84A6B4}" uniqueName="203" name="Chain2-58" queryTableFieldId="203" dataDxfId="554"/>
    <tableColumn id="204" xr3:uid="{B62FEE3B-185A-4573-AB1F-346EFA24F11E}" uniqueName="204" name="Chain2-59" queryTableFieldId="204" dataDxfId="553"/>
    <tableColumn id="205" xr3:uid="{BA39B7A9-5723-4D98-A08E-8959983943DE}" uniqueName="205" name="Chain2-60" queryTableFieldId="205" dataDxfId="552"/>
    <tableColumn id="226" xr3:uid="{CDA3ECAE-00DE-431A-B8E7-2E227700BCC2}" uniqueName="226" name="P-[M+H]+ Precursor Mass" queryTableFieldId="226" dataDxfId="551"/>
    <tableColumn id="227" xr3:uid="{050C18E3-775E-46E6-8126-DFE85A0D1D45}" uniqueName="227" name="P-Headloss" queryTableFieldId="227" dataDxfId="550"/>
    <tableColumn id="228" xr3:uid="{23C518BC-F870-4F42-92E9-51F01BEA2350}" uniqueName="228" name="P--H2O" queryTableFieldId="228" dataDxfId="549"/>
    <tableColumn id="229" xr3:uid="{DE1584F8-C999-47B6-8DD3-7AE208B6654B}" uniqueName="229" name="P--2H2O" queryTableFieldId="229" dataDxfId="548"/>
    <tableColumn id="230" xr3:uid="{CFB5AE90-7F60-4B1C-AA01-C68EA3CCE064}" uniqueName="230" name="P--3H2O" queryTableFieldId="230" dataDxfId="547"/>
    <tableColumn id="231" xr3:uid="{956B22BF-E42A-45D9-8218-8DFCA3316AFC}" uniqueName="231" name="P--Gly" queryTableFieldId="231" dataDxfId="546"/>
    <tableColumn id="232" xr3:uid="{3F09CC84-5CC1-441F-AD8E-FFFE88472176}" uniqueName="232" name="P--Gly-H2O" queryTableFieldId="232" dataDxfId="545"/>
    <tableColumn id="233" xr3:uid="{D8B52925-8EAC-4785-83CD-1758FA216635}" uniqueName="233" name="P-4Chain" queryTableFieldId="233" dataDxfId="544"/>
    <tableColumn id="234" xr3:uid="{C63F529D-4624-4B16-90E5-445739244942}" uniqueName="234" name="P--Chain1" queryTableFieldId="234" dataDxfId="543"/>
    <tableColumn id="235" xr3:uid="{A01FCA78-B886-4187-ACC4-69BFDC408A53}" uniqueName="235" name="P--Chain1-H2O" queryTableFieldId="235" dataDxfId="542"/>
    <tableColumn id="236" xr3:uid="{91F89AE4-FD68-45F4-9DB7-2CF94B8AF5B8}" uniqueName="236" name="P--Chain1-2H2O" queryTableFieldId="236" dataDxfId="541"/>
    <tableColumn id="237" xr3:uid="{39190068-0B46-4EA5-B280-D1A0AFF76CEB}" uniqueName="237" name="P--Chain1-3H2O" queryTableFieldId="237" dataDxfId="540"/>
    <tableColumn id="238" xr3:uid="{C456FD9F-5FA5-4745-817D-E07D8F904FC0}" uniqueName="238" name="P--Chain1-C3H6O2-H2O" queryTableFieldId="238" dataDxfId="539"/>
    <tableColumn id="239" xr3:uid="{8924FB78-D8FB-48BE-A7BC-B8DE03BFB904}" uniqueName="239" name="P--Chain1-C3H6O2-2H2O" queryTableFieldId="239" dataDxfId="538"/>
    <tableColumn id="240" xr3:uid="{6F7CBC6F-2BC9-4A26-AE25-DD25C0573C82}" uniqueName="240" name="P--Chain1-C3H6O2-3H2O" queryTableFieldId="240" dataDxfId="537"/>
    <tableColumn id="241" xr3:uid="{E2D538C9-7500-4644-871D-897F26F1F65C}" uniqueName="241" name="P--Chain1-C3H6O2-4H2O" queryTableFieldId="241" dataDxfId="536"/>
    <tableColumn id="242" xr3:uid="{C714645E-5718-4DC6-91EC-31E00120CAFF}" uniqueName="242" name="P--Chain1-C3H6O2-4H2O2" queryTableFieldId="242" dataDxfId="535"/>
    <tableColumn id="243" xr3:uid="{A6693D1E-C72E-43D9-B063-3CF9B96B1B54}" uniqueName="243" name="P--Chain1-C3H6O2-C3H4O" queryTableFieldId="243" dataDxfId="534"/>
    <tableColumn id="244" xr3:uid="{F007D3D8-8CFE-4608-8B13-401689122EE4}" uniqueName="244" name="P--Chain1-C3H6O2-C3H6O2" queryTableFieldId="244" dataDxfId="533"/>
    <tableColumn id="245" xr3:uid="{2DD4029D-748B-43B3-A9C0-CC39A9D69E6B}" uniqueName="245" name="P-Chain1" queryTableFieldId="245" dataDxfId="532"/>
    <tableColumn id="246" xr3:uid="{703ED1AB-D76A-4FFD-9A6D-E4602C232DD6}" uniqueName="246" name="P-Chain1+H2O" queryTableFieldId="246" dataDxfId="531"/>
    <tableColumn id="247" xr3:uid="{796E0923-AEFB-4E43-8753-28C0970073B2}" uniqueName="247" name="P--Chain2" queryTableFieldId="247" dataDxfId="530"/>
    <tableColumn id="248" xr3:uid="{5DE9141C-82AF-466C-B279-49A7B14B431B}" uniqueName="248" name="P--Chain2-H2O" queryTableFieldId="248" dataDxfId="529"/>
    <tableColumn id="249" xr3:uid="{62619D4A-2838-48AB-BCE7-F0A43ED47469}" uniqueName="249" name="P--Chain2-2H2O" queryTableFieldId="249" dataDxfId="528"/>
    <tableColumn id="250" xr3:uid="{3234D351-CA6F-4D6B-875B-C9A37C4577ED}" uniqueName="250" name="P--Chain2-3H2O" queryTableFieldId="250" dataDxfId="527"/>
    <tableColumn id="251" xr3:uid="{F076E82A-D456-4ECA-BF10-7BE50F410D2E}" uniqueName="251" name="P--Chain2-C3H6O2-H2O" queryTableFieldId="251" dataDxfId="526"/>
    <tableColumn id="252" xr3:uid="{355E9CA2-1E05-412A-91D5-0A7EA4FFC191}" uniqueName="252" name="P--Chain2-C3H6O2-2H2O" queryTableFieldId="252" dataDxfId="525"/>
    <tableColumn id="253" xr3:uid="{E24730B8-5749-4AC1-93F5-BD03CFDF26D2}" uniqueName="253" name="P--Chain2-C3H6O2-3H2O" queryTableFieldId="253" dataDxfId="524"/>
    <tableColumn id="254" xr3:uid="{98C70B5E-7D00-4B13-8F4E-B1B71A1F1B4A}" uniqueName="254" name="P--Chain2-C3H6O2-4H2O" queryTableFieldId="254" dataDxfId="523"/>
    <tableColumn id="255" xr3:uid="{55EE5C57-76CD-4862-B067-5CC57DF20A45}" uniqueName="255" name="P--Chain2-C3H6O2-4H2O3" queryTableFieldId="255" dataDxfId="522"/>
    <tableColumn id="256" xr3:uid="{D6376490-E72A-459E-B650-5BE75EC26941}" uniqueName="256" name="P--Chain2-C3H6O2-C3H4O" queryTableFieldId="256" dataDxfId="521"/>
    <tableColumn id="257" xr3:uid="{5688AAC7-547C-4F9E-AD35-72AC4CDD85C7}" uniqueName="257" name="P--Chain2-C3H6O2-C3H6O2" queryTableFieldId="257" dataDxfId="520"/>
    <tableColumn id="258" xr3:uid="{9F074E9E-E141-4E5A-B4C0-303909DCB814}" uniqueName="258" name="P-Chain2" queryTableFieldId="258" dataDxfId="519"/>
    <tableColumn id="259" xr3:uid="{53949E6B-CAD4-436D-B5DD-FE92989132D6}" uniqueName="259" name="P-Chain2+H2O" queryTableFieldId="259" dataDxfId="518"/>
    <tableColumn id="260" xr3:uid="{9599A4A2-38C1-4177-89DF-A62FC28FDC59}" uniqueName="260" name="P-Glycosyl" queryTableFieldId="260" dataDxfId="517"/>
    <tableColumn id="261" xr3:uid="{145A67C3-121B-4B32-BD0F-0FA5B6350337}" uniqueName="261" name="P-undefined" queryTableFieldId="261" dataDxfId="516"/>
    <tableColumn id="262" xr3:uid="{6C442318-B885-439C-AFA0-1E68A2599A64}" uniqueName="262" name="P-undefined2" queryTableFieldId="262" dataDxfId="515"/>
    <tableColumn id="263" xr3:uid="{83A93033-CAB7-4C5E-8A4B-6C8B23C3950B}" uniqueName="263" name="P-Chain1-1" queryTableFieldId="263" dataDxfId="514"/>
    <tableColumn id="264" xr3:uid="{4092A6B2-E920-47D7-AAFB-28EE9416E1B1}" uniqueName="264" name="P-Chain1-2" queryTableFieldId="264" dataDxfId="513"/>
    <tableColumn id="265" xr3:uid="{2A80DC3F-3A5E-4165-9E7D-C60B3AD510CA}" uniqueName="265" name="P-Chain1-3" queryTableFieldId="265" dataDxfId="512"/>
    <tableColumn id="266" xr3:uid="{CA4193D4-3E61-43B2-8D4B-8583F6E69E1A}" uniqueName="266" name="P-Chain1-4" queryTableFieldId="266" dataDxfId="511"/>
    <tableColumn id="267" xr3:uid="{01BA222C-11C8-4EB8-974F-BCFA8C96084C}" uniqueName="267" name="P-Chain1-5" queryTableFieldId="267" dataDxfId="510"/>
    <tableColumn id="268" xr3:uid="{F7BBA674-642A-4CE2-B7DD-12BC12E95015}" uniqueName="268" name="P-Chain1-6" queryTableFieldId="268" dataDxfId="509"/>
    <tableColumn id="269" xr3:uid="{47596C4D-C6B8-4E3A-8EC1-F8AA7B43B04F}" uniqueName="269" name="P-Chain1-7" queryTableFieldId="269" dataDxfId="508"/>
    <tableColumn id="270" xr3:uid="{D5695A31-022B-4414-AAFE-771A322A8031}" uniqueName="270" name="P-Chain1-8" queryTableFieldId="270" dataDxfId="507"/>
    <tableColumn id="271" xr3:uid="{5729F442-60FD-4D79-B3F7-C9C0E7793A4E}" uniqueName="271" name="P-Chain1-9" queryTableFieldId="271" dataDxfId="506"/>
    <tableColumn id="272" xr3:uid="{333E20CF-DDB3-4CAE-BEFF-2B0738D52AB9}" uniqueName="272" name="P-Chain1-10" queryTableFieldId="272" dataDxfId="505"/>
    <tableColumn id="273" xr3:uid="{30E7BDA6-A0D2-4E47-8C40-663BB6DAD310}" uniqueName="273" name="P-Chain1-11" queryTableFieldId="273" dataDxfId="504"/>
    <tableColumn id="274" xr3:uid="{578AA18F-C480-4699-993B-CFCE678BF033}" uniqueName="274" name="P-Chain1-12" queryTableFieldId="274" dataDxfId="503"/>
    <tableColumn id="275" xr3:uid="{DE0166F7-0BBD-4A37-BBE1-84E814A1E72A}" uniqueName="275" name="P-Chain1-13" queryTableFieldId="275" dataDxfId="502"/>
    <tableColumn id="276" xr3:uid="{8C3375C6-7BF7-41C3-B5ED-CCE99FEE2DC0}" uniqueName="276" name="P-Chain1-14" queryTableFieldId="276" dataDxfId="501"/>
    <tableColumn id="277" xr3:uid="{1BA5C27D-8940-409A-B84E-A271EA62D64B}" uniqueName="277" name="P-Chain1-15" queryTableFieldId="277" dataDxfId="500"/>
    <tableColumn id="278" xr3:uid="{08D4035A-3605-4145-9E86-6CB1CE0C22A3}" uniqueName="278" name="P-Chain1-16" queryTableFieldId="278" dataDxfId="499"/>
    <tableColumn id="279" xr3:uid="{71E2D20A-0812-4402-8DB6-85189EAE79F9}" uniqueName="279" name="P-Chain1-17" queryTableFieldId="279" dataDxfId="498"/>
    <tableColumn id="280" xr3:uid="{D368F6E1-EF88-4D1F-911D-39157511CA4E}" uniqueName="280" name="P-Chain1-18" queryTableFieldId="280" dataDxfId="497"/>
    <tableColumn id="281" xr3:uid="{A69E987A-E92A-4855-B7F2-EA20A4790680}" uniqueName="281" name="P-Chain1-19" queryTableFieldId="281" dataDxfId="496"/>
    <tableColumn id="282" xr3:uid="{A780DC50-949C-4BED-AAF9-DB9113E327F1}" uniqueName="282" name="P-Chain1-20" queryTableFieldId="282" dataDxfId="495"/>
    <tableColumn id="283" xr3:uid="{30D2CFC0-E8B7-4624-AB81-EB0A5A5B0D06}" uniqueName="283" name="P-Chain1-21" queryTableFieldId="283" dataDxfId="494"/>
    <tableColumn id="284" xr3:uid="{89F3C7CB-BDBB-4BB5-B9DD-BAA8583A86FF}" uniqueName="284" name="P-Chain1-22" queryTableFieldId="284" dataDxfId="493"/>
    <tableColumn id="285" xr3:uid="{BA494A91-D6D0-4E58-9A28-F2F606633FCB}" uniqueName="285" name="P-Chain1-23" queryTableFieldId="285" dataDxfId="492"/>
    <tableColumn id="286" xr3:uid="{D25A5CBB-B70B-486C-BBFE-6DFA33592240}" uniqueName="286" name="P-Chain1-24" queryTableFieldId="286" dataDxfId="491"/>
    <tableColumn id="287" xr3:uid="{E571A60D-9040-4365-83BE-2B53018A30B4}" uniqueName="287" name="P-Chain1-25" queryTableFieldId="287" dataDxfId="490"/>
    <tableColumn id="288" xr3:uid="{CBEC34F2-5212-49B3-8F87-9B20A0E103BB}" uniqueName="288" name="P-Chain1-26" queryTableFieldId="288" dataDxfId="489"/>
    <tableColumn id="289" xr3:uid="{1AD83E58-DEDD-4984-B2CE-BC845D8887E2}" uniqueName="289" name="P-Chain1-27" queryTableFieldId="289" dataDxfId="488"/>
    <tableColumn id="290" xr3:uid="{AB897F8D-A615-4468-AD42-C201958458BA}" uniqueName="290" name="P-Chain1-28" queryTableFieldId="290" dataDxfId="487"/>
    <tableColumn id="291" xr3:uid="{1A0DD38F-535A-4F2A-B039-62DFED43BFF2}" uniqueName="291" name="P-Chain1-29" queryTableFieldId="291" dataDxfId="486"/>
    <tableColumn id="292" xr3:uid="{D5E83FE3-EE55-437F-8130-0D05A397A409}" uniqueName="292" name="P-Chain1-30" queryTableFieldId="292" dataDxfId="485"/>
    <tableColumn id="293" xr3:uid="{49301586-0C9D-496C-A6D4-0F482538911D}" uniqueName="293" name="P-Chain1-31" queryTableFieldId="293" dataDxfId="484"/>
    <tableColumn id="294" xr3:uid="{FD295C78-045E-47DB-B675-75F40E42BE4B}" uniqueName="294" name="P-Chain1-32" queryTableFieldId="294" dataDxfId="483"/>
    <tableColumn id="295" xr3:uid="{7050D21E-8BEF-41E0-844F-5F71DF4A975F}" uniqueName="295" name="P-Chain1-33" queryTableFieldId="295" dataDxfId="482"/>
    <tableColumn id="296" xr3:uid="{253B2071-576C-4BD6-8627-70EF462B35D9}" uniqueName="296" name="P-Chain1-34" queryTableFieldId="296" dataDxfId="481"/>
    <tableColumn id="297" xr3:uid="{1D842B8A-29FF-4E16-80B5-8492E1E31686}" uniqueName="297" name="P-Chain1-35" queryTableFieldId="297" dataDxfId="480"/>
    <tableColumn id="298" xr3:uid="{FFE7EAA7-BE30-4D54-AA7C-35ACC117AD48}" uniqueName="298" name="P-Chain1-36" queryTableFieldId="298" dataDxfId="479"/>
    <tableColumn id="299" xr3:uid="{3F7D3C31-FCFE-4B77-9C75-3927D616B3A9}" uniqueName="299" name="P-Chain1-37" queryTableFieldId="299" dataDxfId="478"/>
    <tableColumn id="300" xr3:uid="{0C763C3E-4AFC-4827-BDA0-031B9E01D511}" uniqueName="300" name="P-Chain1-38" queryTableFieldId="300" dataDxfId="477"/>
    <tableColumn id="301" xr3:uid="{8B332BA0-4BB6-4D23-810A-2943F7750957}" uniqueName="301" name="P-Chain1-39" queryTableFieldId="301" dataDxfId="476"/>
    <tableColumn id="302" xr3:uid="{FCB6CD56-4B45-4EA4-B474-5FED8D65CDDC}" uniqueName="302" name="P-Chain1-40" queryTableFieldId="302" dataDxfId="475"/>
    <tableColumn id="303" xr3:uid="{0EB64440-D38D-4344-B6FE-2FF9EEF11E19}" uniqueName="303" name="P-Chain1-41" queryTableFieldId="303" dataDxfId="474"/>
    <tableColumn id="304" xr3:uid="{4D474456-C055-46DE-B7C5-A34340B7AC30}" uniqueName="304" name="P-Chain1-42" queryTableFieldId="304" dataDxfId="473"/>
    <tableColumn id="305" xr3:uid="{4565446E-7BB1-440C-AA65-DF9B8E4F9225}" uniqueName="305" name="P-Chain1-43" queryTableFieldId="305" dataDxfId="472"/>
    <tableColumn id="306" xr3:uid="{D3956EDA-E44F-4901-8BC6-C75821329B27}" uniqueName="306" name="P-Chain1-44" queryTableFieldId="306" dataDxfId="471"/>
    <tableColumn id="307" xr3:uid="{B69C3F4B-2052-4881-BD2A-50A202BBDF59}" uniqueName="307" name="P-Chain1-45" queryTableFieldId="307" dataDxfId="470"/>
    <tableColumn id="308" xr3:uid="{0E8CCF6E-C0AF-4057-8B79-DCE509C89095}" uniqueName="308" name="P-Chain1-46" queryTableFieldId="308" dataDxfId="469"/>
    <tableColumn id="309" xr3:uid="{FD4D08AC-21DD-4AD5-B7C1-074754BA89F7}" uniqueName="309" name="P-Chain1-47" queryTableFieldId="309" dataDxfId="468"/>
    <tableColumn id="310" xr3:uid="{0613C5D5-14FB-461C-8878-C93D1846CAEC}" uniqueName="310" name="P-Chain1-48" queryTableFieldId="310" dataDxfId="467"/>
    <tableColumn id="311" xr3:uid="{8DFE5F1B-C43D-4747-9397-9C705901B0DD}" uniqueName="311" name="P-Chain1-49" queryTableFieldId="311" dataDxfId="466"/>
    <tableColumn id="312" xr3:uid="{42ADC27B-AAD3-4C40-BB86-FC765C49C70F}" uniqueName="312" name="P-Chain1-50" queryTableFieldId="312" dataDxfId="465"/>
    <tableColumn id="313" xr3:uid="{AF22D89C-1E46-410D-AB89-66FA34E6E61E}" uniqueName="313" name="P-Chain1-51" queryTableFieldId="313" dataDxfId="464"/>
    <tableColumn id="314" xr3:uid="{5A33ED60-883A-4C6F-9D56-E84835404D21}" uniqueName="314" name="P-Chain1-52" queryTableFieldId="314" dataDxfId="463"/>
    <tableColumn id="315" xr3:uid="{134FEBD4-E47E-4F8B-9A70-9DC9451B4323}" uniqueName="315" name="P-Chain1-53" queryTableFieldId="315" dataDxfId="462"/>
    <tableColumn id="316" xr3:uid="{A070A2E3-C013-4AFB-B093-94734081AA3A}" uniqueName="316" name="P-Chain1-54" queryTableFieldId="316" dataDxfId="461"/>
    <tableColumn id="317" xr3:uid="{07271E26-E1E0-4463-BCA6-6BFD7F213944}" uniqueName="317" name="P-Chain1-55" queryTableFieldId="317" dataDxfId="460"/>
    <tableColumn id="318" xr3:uid="{002A1916-93FA-4A62-B98B-9F4CC003C7B8}" uniqueName="318" name="P-Chain1-56" queryTableFieldId="318" dataDxfId="459"/>
    <tableColumn id="319" xr3:uid="{6C47ED8C-C8BF-4409-9924-316DDBF84F93}" uniqueName="319" name="P-Chain1-57" queryTableFieldId="319" dataDxfId="458"/>
    <tableColumn id="320" xr3:uid="{3784241A-1E58-4285-91F0-4EDC4E49DA23}" uniqueName="320" name="P-Chain1-58" queryTableFieldId="320" dataDxfId="457"/>
    <tableColumn id="321" xr3:uid="{7F92405A-F504-49F1-91BC-E828EC09A261}" uniqueName="321" name="P-Chain1-59" queryTableFieldId="321" dataDxfId="456"/>
    <tableColumn id="322" xr3:uid="{6F80A4C8-3494-41F2-AB62-0DE37EBBC82B}" uniqueName="322" name="P-Chain1-60" queryTableFieldId="322" dataDxfId="455"/>
    <tableColumn id="343" xr3:uid="{5639F95B-C8BA-42C0-90FA-3DC9E887C75E}" uniqueName="343" name="P-Chain2-1" queryTableFieldId="343" dataDxfId="454"/>
    <tableColumn id="344" xr3:uid="{C706C70E-D3CE-4882-A6CE-577D1B59F3E7}" uniqueName="344" name="P-Chain2-2" queryTableFieldId="344" dataDxfId="453"/>
    <tableColumn id="345" xr3:uid="{2437F466-4B6C-4EB7-B45A-D0411DA8A9FC}" uniqueName="345" name="P-Chain2-3" queryTableFieldId="345" dataDxfId="452"/>
    <tableColumn id="346" xr3:uid="{ED9306A3-B5A4-4188-B593-A2A52E7B9AD5}" uniqueName="346" name="P-Chain2-4" queryTableFieldId="346" dataDxfId="451"/>
    <tableColumn id="347" xr3:uid="{8173718D-D3D9-4956-A578-FD02F5F5F2AC}" uniqueName="347" name="P-Chain2-5" queryTableFieldId="347" dataDxfId="450"/>
    <tableColumn id="348" xr3:uid="{D6D383E1-D313-4A4F-A994-BA6DCD4AE2B9}" uniqueName="348" name="P-Chain2-6" queryTableFieldId="348" dataDxfId="449"/>
    <tableColumn id="349" xr3:uid="{CD5E66CE-1123-4574-AA76-87D93C17EC0E}" uniqueName="349" name="P-Chain2-7" queryTableFieldId="349" dataDxfId="448"/>
    <tableColumn id="350" xr3:uid="{1588BC72-24A8-433F-90F1-31E162483C10}" uniqueName="350" name="P-Chain2-8" queryTableFieldId="350" dataDxfId="447"/>
    <tableColumn id="351" xr3:uid="{C2A07B75-9A9A-4C73-9F53-ABB9391E2F36}" uniqueName="351" name="P-Chain2-9" queryTableFieldId="351" dataDxfId="446"/>
    <tableColumn id="352" xr3:uid="{F7CF2BB9-6635-41FD-B21D-187845CC6246}" uniqueName="352" name="P-Chain2-10" queryTableFieldId="352" dataDxfId="445"/>
    <tableColumn id="353" xr3:uid="{F65FF8F5-8BF1-4F09-89A4-C6E5C8C3B4C5}" uniqueName="353" name="P-Chain2-11" queryTableFieldId="353" dataDxfId="444"/>
    <tableColumn id="354" xr3:uid="{526533C1-26E0-4BE1-B436-BEE8C7A874B4}" uniqueName="354" name="P-Chain2-12" queryTableFieldId="354" dataDxfId="443"/>
    <tableColumn id="355" xr3:uid="{E993000E-866C-4A7F-9DD1-C8DBB2D3DA63}" uniqueName="355" name="P-Chain2-13" queryTableFieldId="355" dataDxfId="442"/>
    <tableColumn id="356" xr3:uid="{5E716C47-F5CA-4D23-A455-C6FB55C1AA0E}" uniqueName="356" name="P-Chain2-14" queryTableFieldId="356" dataDxfId="441"/>
    <tableColumn id="357" xr3:uid="{252F1BEB-D2E1-4389-A35E-AE455A1AB650}" uniqueName="357" name="P-Chain2-15" queryTableFieldId="357" dataDxfId="440"/>
    <tableColumn id="358" xr3:uid="{D98E98F5-7D67-411A-84F1-7628EEE2A79B}" uniqueName="358" name="P-Chain2-16" queryTableFieldId="358" dataDxfId="439"/>
    <tableColumn id="359" xr3:uid="{19393FE9-EF7B-4CAD-B909-1F6CE5E35DA8}" uniqueName="359" name="P-Chain2-17" queryTableFieldId="359" dataDxfId="438"/>
    <tableColumn id="360" xr3:uid="{8845DCA3-AA1B-487A-A2AE-0BA7BF372A79}" uniqueName="360" name="P-Chain2-18" queryTableFieldId="360" dataDxfId="437"/>
    <tableColumn id="361" xr3:uid="{399A5E74-56F4-4ECB-8C5A-3384A8F406F4}" uniqueName="361" name="P-Chain2-19" queryTableFieldId="361" dataDxfId="436"/>
    <tableColumn id="362" xr3:uid="{01F3BE35-F018-48DC-904B-A67DFFC24A0D}" uniqueName="362" name="P-Chain2-20" queryTableFieldId="362" dataDxfId="435"/>
    <tableColumn id="363" xr3:uid="{A46B0CDF-3860-44D3-A507-7D04B9354D09}" uniqueName="363" name="P-Chain2-21" queryTableFieldId="363" dataDxfId="434"/>
    <tableColumn id="364" xr3:uid="{06440532-F6D9-4C4E-A14C-004A00319241}" uniqueName="364" name="P-Chain2-22" queryTableFieldId="364" dataDxfId="433"/>
    <tableColumn id="365" xr3:uid="{D0037483-CD92-43E3-8E65-BC520201CA48}" uniqueName="365" name="P-Chain2-23" queryTableFieldId="365" dataDxfId="432"/>
    <tableColumn id="366" xr3:uid="{713B31D7-024F-474E-A196-6A32EC62FB8D}" uniqueName="366" name="P-Chain2-24" queryTableFieldId="366" dataDxfId="431"/>
    <tableColumn id="367" xr3:uid="{D399C9F9-2226-4B9B-981C-7C88C0954D49}" uniqueName="367" name="P-Chain2-25" queryTableFieldId="367" dataDxfId="430"/>
    <tableColumn id="368" xr3:uid="{214D5720-C21F-49D9-AAB9-0D3177BA416E}" uniqueName="368" name="P-Chain2-26" queryTableFieldId="368" dataDxfId="429"/>
    <tableColumn id="369" xr3:uid="{22E85DDF-EDF1-4D68-B29C-677C062D26C1}" uniqueName="369" name="P-Chain2-27" queryTableFieldId="369" dataDxfId="428"/>
    <tableColumn id="370" xr3:uid="{6FDAF7F5-C9AF-418D-9CB3-BDF8353A65CE}" uniqueName="370" name="P-Chain2-28" queryTableFieldId="370" dataDxfId="427"/>
    <tableColumn id="371" xr3:uid="{49216B14-D7D5-4B64-97D3-4B78CA66FFAE}" uniqueName="371" name="P-Chain2-29" queryTableFieldId="371" dataDxfId="426"/>
    <tableColumn id="372" xr3:uid="{BDDAA3EC-C56A-4334-9813-060CD0B6AE2C}" uniqueName="372" name="P-Chain2-30" queryTableFieldId="372" dataDxfId="425"/>
    <tableColumn id="373" xr3:uid="{060F3878-4DA0-4DEF-89D0-5CDAA67B396C}" uniqueName="373" name="P-Chain2-31" queryTableFieldId="373" dataDxfId="424"/>
    <tableColumn id="374" xr3:uid="{4B4F919E-5289-472A-892C-4BA88F617C8F}" uniqueName="374" name="P-Chain2-32" queryTableFieldId="374" dataDxfId="423"/>
    <tableColumn id="375" xr3:uid="{79ED0FBE-57E5-4CEB-9504-B6FC5570353A}" uniqueName="375" name="P-Chain2-33" queryTableFieldId="375" dataDxfId="422"/>
    <tableColumn id="376" xr3:uid="{922F9CC1-D6C2-4861-B062-48F3A20BDEB2}" uniqueName="376" name="P-Chain2-34" queryTableFieldId="376" dataDxfId="421"/>
    <tableColumn id="377" xr3:uid="{CECD584F-F1D7-4CF5-A708-845EFD03262D}" uniqueName="377" name="P-Chain2-35" queryTableFieldId="377" dataDxfId="420"/>
    <tableColumn id="378" xr3:uid="{9C7F6582-C124-4467-8D27-82DAF6BC8C90}" uniqueName="378" name="P-Chain2-36" queryTableFieldId="378" dataDxfId="419"/>
    <tableColumn id="379" xr3:uid="{ED357976-6EC6-4092-BCA3-26FC0AC46D7B}" uniqueName="379" name="P-Chain2-37" queryTableFieldId="379" dataDxfId="418"/>
    <tableColumn id="380" xr3:uid="{FDFD1744-B4B3-457F-98D2-A5F63A695478}" uniqueName="380" name="P-Chain2-38" queryTableFieldId="380" dataDxfId="417"/>
    <tableColumn id="381" xr3:uid="{570866C4-EE87-476B-BACF-6FD35EC18B4C}" uniqueName="381" name="P-Chain2-39" queryTableFieldId="381" dataDxfId="416"/>
    <tableColumn id="382" xr3:uid="{91177E7A-14CF-49C2-905A-07775F516982}" uniqueName="382" name="P-Chain2-40" queryTableFieldId="382" dataDxfId="415"/>
    <tableColumn id="383" xr3:uid="{8698F3F0-B9FA-4CCC-AB9A-CA468ACEE8F3}" uniqueName="383" name="P-Chain2-41" queryTableFieldId="383" dataDxfId="414"/>
    <tableColumn id="384" xr3:uid="{340FFA33-8E73-4309-B9BC-E04AC36EC8DC}" uniqueName="384" name="P-Chain2-42" queryTableFieldId="384" dataDxfId="413"/>
    <tableColumn id="385" xr3:uid="{92353D30-BAFC-41BD-A532-F0673452FEB6}" uniqueName="385" name="P-Chain2-43" queryTableFieldId="385" dataDxfId="412"/>
    <tableColumn id="386" xr3:uid="{E6A59314-9003-452E-95BF-EAED67AD77E8}" uniqueName="386" name="P-Chain2-44" queryTableFieldId="386" dataDxfId="411"/>
    <tableColumn id="387" xr3:uid="{64F0520B-BA4E-41C4-897C-C0FE8239037A}" uniqueName="387" name="P-Chain2-45" queryTableFieldId="387" dataDxfId="410"/>
    <tableColumn id="388" xr3:uid="{8B33C98B-4AA1-4D8E-AD00-1CAD90F34473}" uniqueName="388" name="P-Chain2-46" queryTableFieldId="388" dataDxfId="409"/>
    <tableColumn id="389" xr3:uid="{32D40408-2521-48AB-9502-0A923C578A8F}" uniqueName="389" name="P-Chain2-47" queryTableFieldId="389" dataDxfId="408"/>
    <tableColumn id="390" xr3:uid="{0E3F539B-4BCA-440F-A6F6-AFCA30BBE8D4}" uniqueName="390" name="P-Chain2-48" queryTableFieldId="390" dataDxfId="407"/>
    <tableColumn id="391" xr3:uid="{8C59A446-53D7-4BD5-8384-D7923AF78C04}" uniqueName="391" name="P-Chain2-49" queryTableFieldId="391" dataDxfId="406"/>
    <tableColumn id="392" xr3:uid="{054D58DB-B618-4222-81CB-350DC3B26210}" uniqueName="392" name="P-Chain2-50" queryTableFieldId="392" dataDxfId="405"/>
    <tableColumn id="393" xr3:uid="{2E961254-3F1B-44C5-ADF8-A1B60974DDED}" uniqueName="393" name="P-Chain2-51" queryTableFieldId="393" dataDxfId="404"/>
    <tableColumn id="394" xr3:uid="{475B57A4-2CFD-494F-BA81-86FFAC792D3A}" uniqueName="394" name="P-Chain2-52" queryTableFieldId="394" dataDxfId="403"/>
    <tableColumn id="395" xr3:uid="{5B833ED6-FB4C-43F6-AD42-97C59AC6E7EE}" uniqueName="395" name="P-Chain2-53" queryTableFieldId="395" dataDxfId="402"/>
    <tableColumn id="396" xr3:uid="{35AFDB6D-70D2-417C-9ABD-9C94DCE103F1}" uniqueName="396" name="P-Chain2-54" queryTableFieldId="396" dataDxfId="401"/>
    <tableColumn id="397" xr3:uid="{6E3E0E58-ECFC-4630-9E2A-36C0F0120E91}" uniqueName="397" name="P-Chain2-55" queryTableFieldId="397" dataDxfId="400"/>
    <tableColumn id="398" xr3:uid="{48F500AD-3EDB-42D3-97D0-69DE29426C18}" uniqueName="398" name="P-Chain2-56" queryTableFieldId="398" dataDxfId="399"/>
    <tableColumn id="399" xr3:uid="{0CDA9FA6-2AED-4A93-8422-BE01D85D5A56}" uniqueName="399" name="P-Chain2-57" queryTableFieldId="399" dataDxfId="398"/>
    <tableColumn id="400" xr3:uid="{AD681D68-00D5-40D6-823E-4F90C35DE71D}" uniqueName="400" name="P-Chain2-58" queryTableFieldId="400" dataDxfId="397"/>
    <tableColumn id="401" xr3:uid="{301FF3B3-E801-4D27-BA79-D6289C740EC1}" uniqueName="401" name="P-Chain2-59" queryTableFieldId="401" dataDxfId="396"/>
    <tableColumn id="402" xr3:uid="{62610591-7984-402E-9417-F83ECE4CBA3C}" uniqueName="402" name="P-Chain2-60" queryTableFieldId="402" dataDxfId="39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B84B87-2B40-42DC-AE84-4529CD9D47BD}" name="表1_5_82" displayName="表1_5_82" ref="A6:NZ22" tableType="queryTable" totalsRowShown="0" headerRowDxfId="394" dataDxfId="393">
  <tableColumns count="390">
    <tableColumn id="1" xr3:uid="{500D7ABC-6895-45A8-BF55-694D11DAAB0D}" uniqueName="1" name="CdId" queryTableFieldId="1" dataDxfId="392"/>
    <tableColumn id="2" xr3:uid="{47102093-1196-444F-9DCE-A8A1C6D1BBCB}" uniqueName="2" name="ExactMass" queryTableFieldId="2" dataDxfId="391"/>
    <tableColumn id="3" xr3:uid="{5BDBED2A-7D1B-4EAC-B70C-953E85E05AFC}" uniqueName="3" name="Name" queryTableFieldId="3" dataDxfId="390"/>
    <tableColumn id="4" xr3:uid="{C6D7B273-DA93-4155-BB0E-616882E13D83}" uniqueName="4" name="Formula" queryTableFieldId="4" dataDxfId="389"/>
    <tableColumn id="5" xr3:uid="{BB023874-3F4C-4F59-B7DC-7200BCF0F088}" uniqueName="5" name="Code" queryTableFieldId="5" dataDxfId="388"/>
    <tableColumn id="6" xr3:uid="{11C8EB96-80B6-487D-8BE2-A35DCE651F81}" uniqueName="6" name="InChI" queryTableFieldId="6" dataDxfId="387"/>
    <tableColumn id="7" xr3:uid="{0EF83F6F-7C48-411C-9EFA-3ADBEA298311}" uniqueName="7" name="SMILES" queryTableFieldId="7" dataDxfId="386"/>
    <tableColumn id="8" xr3:uid="{F7C8664B-27CA-4A40-BD3A-61A8FE09DFE2}" uniqueName="8" name="CCS" queryTableFieldId="8" dataDxfId="385" dataCellStyle="常规 2 2 2"/>
    <tableColumn id="9" xr3:uid="{0E3D9EEB-FDC6-43FB-A956-4AF3F10BD64C}" uniqueName="9" name="RT" queryTableFieldId="9" dataDxfId="384" dataCellStyle="常规 2 2 2"/>
    <tableColumn id="10" xr3:uid="{EFFAF832-DA09-48DF-BD8A-B39D85E908AC}" uniqueName="10" name="LogP" queryTableFieldId="10" dataDxfId="383"/>
    <tableColumn id="11" xr3:uid="{6185D594-CDA8-4587-809E-1276E1105C11}" uniqueName="11" name="InChIKey" queryTableFieldId="11" dataDxfId="382" dataCellStyle="常规 2 2 2"/>
    <tableColumn id="12" xr3:uid="{672644AA-DE8A-4ACE-BE7F-D59307D544C9}" uniqueName="12" name="IUPAC" queryTableFieldId="12" dataDxfId="381"/>
    <tableColumn id="13" xr3:uid="{A2D8D480-6D02-41D6-A7C7-5670A4E8A5A0}" uniqueName="13" name="Confidence" queryTableFieldId="13" dataDxfId="380"/>
    <tableColumn id="14" xr3:uid="{9790D95B-A0F2-4D2A-BE6F-8607A7E133E7}" uniqueName="14" name="Name2" queryTableFieldId="14" dataDxfId="379"/>
    <tableColumn id="15" xr3:uid="{D8ACBC96-D989-40EA-BCE4-24F7234CDFD9}" uniqueName="15" name="OH1" queryTableFieldId="15" dataDxfId="378"/>
    <tableColumn id="16" xr3:uid="{1794EF48-C1DF-4F24-810F-ABEE675A106A}" uniqueName="16" name="OH2" queryTableFieldId="16" dataDxfId="377"/>
    <tableColumn id="17" xr3:uid="{D1154165-DC44-461A-8046-9B129744E649}" uniqueName="17" name="Branch1" queryTableFieldId="17" dataDxfId="376"/>
    <tableColumn id="18" xr3:uid="{DD4C2037-0B0A-4453-A173-29926935483D}" uniqueName="18" name="Branch2" queryTableFieldId="18" dataDxfId="375"/>
    <tableColumn id="19" xr3:uid="{DB7C2692-AB90-45F9-8DC8-30C6D83393D9}" uniqueName="19" name="Rings" queryTableFieldId="19" dataDxfId="374"/>
    <tableColumn id="20" xr3:uid="{88038E5C-DD80-46B6-990A-A33C3A326912}" uniqueName="20" name="Sn2 Chain Length" queryTableFieldId="20" dataDxfId="373"/>
    <tableColumn id="21" xr3:uid="{576F771F-190C-48D6-8A8E-04A083D2C769}" uniqueName="21" name="Sn2 Double Bonds" queryTableFieldId="21" dataDxfId="372"/>
    <tableColumn id="22" xr3:uid="{D82CB50B-8774-4F21-9D76-0C92CB7E4C50}" uniqueName="22" name="Sn3 Chain Length" queryTableFieldId="22" dataDxfId="371"/>
    <tableColumn id="23" xr3:uid="{AE8F65A7-AB1C-494B-AACC-E65F3BC9AB7F}" uniqueName="23" name="Sn3 Double Bonds" queryTableFieldId="23" dataDxfId="370"/>
    <tableColumn id="24" xr3:uid="{41E09910-B902-4269-82AC-936FAF5390A4}" uniqueName="24" name="Short Name" queryTableFieldId="24" dataDxfId="369"/>
    <tableColumn id="25" xr3:uid="{2A36DA47-97A6-440E-B5BA-5A71A668E63A}" uniqueName="25" name="SN1 acyl loss" queryTableFieldId="25" dataDxfId="368"/>
    <tableColumn id="26" xr3:uid="{D3E22274-8F8B-48E3-A314-8EB45A114260}" uniqueName="26" name="SN1-H2O" queryTableFieldId="26" dataDxfId="367"/>
    <tableColumn id="27" xr3:uid="{E466CD7E-D31E-4786-A931-1D837257EE34}" uniqueName="27" name="SN2 acyl loss" queryTableFieldId="27" dataDxfId="366"/>
    <tableColumn id="28" xr3:uid="{09EA1408-6AD6-48C4-968D-DB41E1F57B91}" uniqueName="28" name="SN2-H2O" queryTableFieldId="28" dataDxfId="365"/>
    <tableColumn id="29" xr3:uid="{54E46950-7656-4910-92CE-99ABD3548DA7}" uniqueName="29" name="[M+H]+ Precursor Mass" queryTableFieldId="29" dataDxfId="364"/>
    <tableColumn id="423" xr3:uid="{45A51377-20A1-4505-B895-679C3A934021}" uniqueName="423" name="-H2O" queryTableFieldId="426" dataDxfId="363"/>
    <tableColumn id="424" xr3:uid="{2A546ABA-72E9-42DF-8050-D93C02A869F8}" uniqueName="424" name="-2H2O" queryTableFieldId="425" dataDxfId="362"/>
    <tableColumn id="425" xr3:uid="{AFDB0B54-C194-4570-8CBC-CC7E39A16861}" uniqueName="425" name="-3H2O" queryTableFieldId="424" dataDxfId="361"/>
    <tableColumn id="426" xr3:uid="{6845BFF4-5FA7-40CC-B9E0-E762474F8C54}" uniqueName="426" name="-4H2O" queryTableFieldId="423" dataDxfId="360"/>
    <tableColumn id="30" xr3:uid="{87075179-FCF2-4ADA-AF16-C44D2C8F0186}" uniqueName="30" name="Headloss" queryTableFieldId="30" dataDxfId="359"/>
    <tableColumn id="31" xr3:uid="{4A4D07B9-512E-4E71-B8DA-691D67059B2B}" uniqueName="31" name="-Gly-H2O" queryTableFieldId="31" dataDxfId="358"/>
    <tableColumn id="32" xr3:uid="{D93EECE1-BF78-4D0C-AF50-9AA060A145DE}" uniqueName="32" name="Gly-2H2O" queryTableFieldId="32" dataDxfId="357"/>
    <tableColumn id="33" xr3:uid="{8EF85B13-AA77-49EB-97A0-1FEA37542989}" uniqueName="33" name="-Gly-3H2O" queryTableFieldId="33" dataDxfId="356"/>
    <tableColumn id="34" xr3:uid="{82CE1294-B7FB-4D4E-86B3-D566EE21D032}" uniqueName="34" name="-Gly" queryTableFieldId="34" dataDxfId="355"/>
    <tableColumn id="35" xr3:uid="{A4D75E2C-DE5A-400B-B9F1-9F2C36676CCF}" uniqueName="35" name="-Gly-H2O2" queryTableFieldId="35" dataDxfId="354"/>
    <tableColumn id="36" xr3:uid="{8561A75A-99F5-4A54-8932-BAED570A7CE7}" uniqueName="36" name="4Chain" queryTableFieldId="36" dataDxfId="353"/>
    <tableColumn id="427" xr3:uid="{B25540FF-60AC-46DE-8D22-80953F5305B1}" uniqueName="427" name="Gly--Chain1" queryTableFieldId="435" dataDxfId="352"/>
    <tableColumn id="428" xr3:uid="{C9C60974-3E55-44A0-804E-59C26B514CC3}" uniqueName="428" name="Gly--Chain1-H2O" queryTableFieldId="434" dataDxfId="351"/>
    <tableColumn id="429" xr3:uid="{99DD9C6C-3551-46D2-98A7-0840D12B51A6}" uniqueName="429" name="Gly--Chain1-2H2O" queryTableFieldId="433" dataDxfId="350"/>
    <tableColumn id="430" xr3:uid="{B7713851-1742-45BA-A165-C61B49253C77}" uniqueName="430" name="Gly--Chain1-3H2O" queryTableFieldId="432" dataDxfId="349"/>
    <tableColumn id="431" xr3:uid="{467C5C3F-7110-4E98-A360-217E2DEA520B}" uniqueName="431" name="Gly--Chain1-C3H6O2-H2O" queryTableFieldId="431" dataDxfId="348"/>
    <tableColumn id="432" xr3:uid="{6C0A8BBE-AE0B-405E-ABB4-B67E3A659F94}" uniqueName="432" name="Gly--Chain1-C3H6O2-2H2O" queryTableFieldId="430" dataDxfId="347"/>
    <tableColumn id="433" xr3:uid="{36FC4EFE-5C22-453E-A526-9CFF6F7A2391}" uniqueName="433" name="Gly--Chain1-C3H6O2-3H2O" queryTableFieldId="429" dataDxfId="346"/>
    <tableColumn id="434" xr3:uid="{2380A34B-26BB-4BAD-B937-B628FAA8D89D}" uniqueName="434" name="Gly--Chain1-C3H6O2-4H2O" queryTableFieldId="428" dataDxfId="345"/>
    <tableColumn id="435" xr3:uid="{81CCBF37-9288-4112-9383-E978B408FD8D}" uniqueName="435" name="Gly--Chain1-C3H6O2-4H2O2" queryTableFieldId="427" dataDxfId="344"/>
    <tableColumn id="37" xr3:uid="{54FAE92D-0CFD-4C2E-ACD1-A730A44D1BFF}" uniqueName="37" name="-Chain1" queryTableFieldId="37" dataDxfId="343"/>
    <tableColumn id="38" xr3:uid="{E98ED4BF-BBC4-4747-BBE4-F023A3A9DED1}" uniqueName="38" name="-Chain1-H2O" queryTableFieldId="38" dataDxfId="342"/>
    <tableColumn id="39" xr3:uid="{164EDAB1-DB79-4DD7-AE1A-CB242305EBB4}" uniqueName="39" name="-Chain1-2H2O" queryTableFieldId="39" dataDxfId="341"/>
    <tableColumn id="40" xr3:uid="{CABDB7CE-CE6C-4486-8808-D32F4F573AF9}" uniqueName="40" name="-Chain1-3H2O" queryTableFieldId="40" dataDxfId="340"/>
    <tableColumn id="41" xr3:uid="{A59A4909-00FD-4B0A-B267-D35A4317FDB2}" uniqueName="41" name="-Chain1-C3H6O2-H2O" queryTableFieldId="41" dataDxfId="339"/>
    <tableColumn id="42" xr3:uid="{F2EF0C83-CAAC-4D4E-8CFE-965124A9E46E}" uniqueName="42" name="-Chain1-C3H6O2-2H2O" queryTableFieldId="42" dataDxfId="338"/>
    <tableColumn id="43" xr3:uid="{B7A978F9-AD86-4767-898C-C22EB3169A43}" uniqueName="43" name="-Chain1-C3H6O2-3H2O" queryTableFieldId="43" dataDxfId="337"/>
    <tableColumn id="44" xr3:uid="{C970A415-D78E-408F-84D2-6112C7CE3DCD}" uniqueName="44" name="-Chain1-C3H6O2-4H2O" queryTableFieldId="44" dataDxfId="336"/>
    <tableColumn id="45" xr3:uid="{1AED74B7-C14F-4A99-A0A3-0C400705B586}" uniqueName="45" name="-Chain1-C3H6O2-4H2O2" queryTableFieldId="45" dataDxfId="335"/>
    <tableColumn id="46" xr3:uid="{76F07520-F12A-46EB-BB3B-60D23BBD7575}" uniqueName="46" name="-Chain1-C3H6O2-C3H4O" queryTableFieldId="46" dataDxfId="334"/>
    <tableColumn id="47" xr3:uid="{5F11E234-F183-4911-B4BC-AD1A1C2E9A77}" uniqueName="47" name="-Chain1-C3H6O2-C3H6O2" queryTableFieldId="47" dataDxfId="333"/>
    <tableColumn id="48" xr3:uid="{3723C4FE-B735-4D72-BD7D-EF674047D63A}" uniqueName="48" name="Chain1" queryTableFieldId="48" dataDxfId="332"/>
    <tableColumn id="49" xr3:uid="{567C6CE1-FC85-4C5B-91F5-F88A914CADD8}" uniqueName="49" name="Chain1+H2O" queryTableFieldId="49" dataDxfId="331"/>
    <tableColumn id="436" xr3:uid="{B3C89E39-A3C3-4A8D-B73E-578051FE226E}" uniqueName="436" name="Gly--Chain2" queryTableFieldId="444" dataDxfId="330"/>
    <tableColumn id="437" xr3:uid="{E18684FE-306D-43D5-98DE-F724F9363532}" uniqueName="437" name="Gly--Chain2-H2O" queryTableFieldId="443" dataDxfId="329"/>
    <tableColumn id="438" xr3:uid="{AD5C1D87-E32B-476A-8224-85D5ECF49E84}" uniqueName="438" name="Gly--Chain2-2H2O" queryTableFieldId="442" dataDxfId="328"/>
    <tableColumn id="439" xr3:uid="{9A077CA9-5551-4969-9450-C8BA00C96200}" uniqueName="439" name="Gly--Chain2-3H2O" queryTableFieldId="441" dataDxfId="327"/>
    <tableColumn id="440" xr3:uid="{F618C486-7D6B-4C77-BA0B-2D40AE7373D9}" uniqueName="440" name="Gly--Chain2-C3H6O2-H2O" queryTableFieldId="440" dataDxfId="326"/>
    <tableColumn id="441" xr3:uid="{188B215C-AF08-4465-BDD5-687BEDF4A3F0}" uniqueName="441" name="Gly--Chain2-C3H6O2-2H2O" queryTableFieldId="439" dataDxfId="325"/>
    <tableColumn id="442" xr3:uid="{2B10E5D3-3C91-4094-AE21-E298F8FDDFDC}" uniqueName="442" name="Gly--Chain2-C3H6O2-3H2O" queryTableFieldId="438" dataDxfId="324"/>
    <tableColumn id="443" xr3:uid="{4F0DE492-FD27-4CF7-9554-7E797AA9774A}" uniqueName="443" name="Gly--Chain2-C3H6O2-4H2O" queryTableFieldId="437" dataDxfId="323"/>
    <tableColumn id="444" xr3:uid="{39B2883A-7900-432F-A59C-1785149B8B48}" uniqueName="444" name="Gly--Chain2-C3H6O2-4H2O3" queryTableFieldId="436" dataDxfId="322"/>
    <tableColumn id="50" xr3:uid="{9BDBE28F-FA52-4DAF-9BA8-61F85C7172D4}" uniqueName="50" name="-Chain2" queryTableFieldId="50" dataDxfId="321"/>
    <tableColumn id="51" xr3:uid="{ADF0F697-8C83-443C-8D06-B96679381886}" uniqueName="51" name="-Chain2-H2O" queryTableFieldId="51" dataDxfId="320"/>
    <tableColumn id="52" xr3:uid="{852F4D35-4F31-47C4-ACAB-234B7F7DA4FF}" uniqueName="52" name="-Chain2-2H2O" queryTableFieldId="52" dataDxfId="319"/>
    <tableColumn id="53" xr3:uid="{E29CF5D9-BBFE-4824-821D-2FDAB1609011}" uniqueName="53" name="-Chain2-3H2O" queryTableFieldId="53" dataDxfId="318"/>
    <tableColumn id="54" xr3:uid="{FB4C3F2F-57CC-4C78-8672-A9A89A376933}" uniqueName="54" name="-Chain2-C3H6O2-H2O" queryTableFieldId="54" dataDxfId="317"/>
    <tableColumn id="55" xr3:uid="{31285900-27E2-4E77-BC5F-4AA95B01AB0D}" uniqueName="55" name="-Chain2-C3H6O2-2H2O" queryTableFieldId="55" dataDxfId="316"/>
    <tableColumn id="56" xr3:uid="{0289DEF1-2AD9-4256-8EF8-EB6AC50F32C8}" uniqueName="56" name="-Chain2-C3H6O2-3H2O" queryTableFieldId="56" dataDxfId="315"/>
    <tableColumn id="57" xr3:uid="{829CE60E-EE7A-4BB9-9D93-9426968A2D85}" uniqueName="57" name="-Chain2-C3H6O2-4H2O" queryTableFieldId="57" dataDxfId="314"/>
    <tableColumn id="58" xr3:uid="{97D80460-BC48-4F31-9C29-F3927CC20BF7}" uniqueName="58" name="-Chain2-C3H6O2-4H2O3" queryTableFieldId="58" dataDxfId="313"/>
    <tableColumn id="59" xr3:uid="{D22CFDBC-4B3E-446C-AE2E-915713E559D1}" uniqueName="59" name="-Chain2-C3H6O2-C3H4O" queryTableFieldId="59" dataDxfId="312"/>
    <tableColumn id="60" xr3:uid="{5EFACC36-AC73-4A19-AFE3-7B4D25CBB87B}" uniqueName="60" name="-Chain2-C3H6O2-C3H6O2" queryTableFieldId="60" dataDxfId="311"/>
    <tableColumn id="61" xr3:uid="{FB069B79-40B9-4693-9AF5-76DA6BF8EB78}" uniqueName="61" name="Chain2" queryTableFieldId="61" dataDxfId="310"/>
    <tableColumn id="62" xr3:uid="{FEF89CCF-639B-404C-BEF1-B5EE643F8D06}" uniqueName="62" name="Chain2+H2O" queryTableFieldId="62" dataDxfId="309"/>
    <tableColumn id="63" xr3:uid="{C453A276-2A1A-4F3D-9BD8-95F200FDDB38}" uniqueName="63" name="Glycosyl" queryTableFieldId="63" dataDxfId="308"/>
    <tableColumn id="64" xr3:uid="{16C38DC4-E8F4-4439-8EEF-1B0A280974C8}" uniqueName="64" name="G-Calditol" queryTableFieldId="64" dataDxfId="307"/>
    <tableColumn id="509" xr3:uid="{C4BE1343-2142-4F76-A0E9-C48A9D8C89CD}" uniqueName="509" name="Calditol-H2O" queryTableFieldId="467" dataDxfId="306"/>
    <tableColumn id="510" xr3:uid="{767994BC-6B0F-4AA0-A9F9-8DE5F2986D46}" uniqueName="510" name="Calditol-2H2O" queryTableFieldId="468" dataDxfId="305"/>
    <tableColumn id="65" xr3:uid="{429C38B4-0A1C-44B2-93CA-672BC022D249}" uniqueName="65" name="Calditol-3H2O" queryTableFieldId="65" dataDxfId="304"/>
    <tableColumn id="66" xr3:uid="{93BA3813-D7B8-4258-AE9B-FF507CD6DFB8}" uniqueName="66" name="Chain1-1" queryTableFieldId="66" dataDxfId="303"/>
    <tableColumn id="67" xr3:uid="{31696DEB-9F4F-4ABB-ADEF-04BFDC241B8C}" uniqueName="67" name="Chain1-2" queryTableFieldId="67" dataDxfId="302"/>
    <tableColumn id="68" xr3:uid="{63DB2F75-9FB4-406B-9074-AC128A1CA17C}" uniqueName="68" name="Chain1-3" queryTableFieldId="68" dataDxfId="301"/>
    <tableColumn id="69" xr3:uid="{F98FB7FF-D4C0-4965-A2A9-29B1FDF415D9}" uniqueName="69" name="Chain1-4" queryTableFieldId="69" dataDxfId="300"/>
    <tableColumn id="70" xr3:uid="{AB7DB6DF-70D6-4A10-9D8B-082DB647D31B}" uniqueName="70" name="Chain1-5" queryTableFieldId="70" dataDxfId="299"/>
    <tableColumn id="71" xr3:uid="{38600E5F-D124-4CC7-827A-C8D097EC182A}" uniqueName="71" name="Chain1-6" queryTableFieldId="71" dataDxfId="298"/>
    <tableColumn id="72" xr3:uid="{BC26542C-179E-409B-821B-7DA4F7FB9053}" uniqueName="72" name="Chain1-7" queryTableFieldId="72" dataDxfId="297"/>
    <tableColumn id="73" xr3:uid="{864B6B47-047B-47A1-AF1C-44898BBA37ED}" uniqueName="73" name="Chain1-8" queryTableFieldId="73" dataDxfId="296"/>
    <tableColumn id="74" xr3:uid="{1B1DA9A9-0193-4827-AF0E-880ABBED3EA7}" uniqueName="74" name="Chain1-9" queryTableFieldId="74" dataDxfId="295"/>
    <tableColumn id="75" xr3:uid="{F7C79392-E084-478D-8998-398DBCFCD232}" uniqueName="75" name="Chain1-10" queryTableFieldId="75" dataDxfId="294"/>
    <tableColumn id="76" xr3:uid="{AF60FC26-1CBD-4B5B-A947-D6325754DF23}" uniqueName="76" name="Chain1-11" queryTableFieldId="76" dataDxfId="293"/>
    <tableColumn id="77" xr3:uid="{EC32F81F-5B7A-458F-8A29-0FA861CEE2D5}" uniqueName="77" name="Chain1-12" queryTableFieldId="77" dataDxfId="292"/>
    <tableColumn id="78" xr3:uid="{7D8BC8E6-B58B-43A0-81D1-D833BE5C7629}" uniqueName="78" name="Chain1-13" queryTableFieldId="78" dataDxfId="291"/>
    <tableColumn id="79" xr3:uid="{4C9C2EBF-663C-4E7D-9971-3E1141B7AEFC}" uniqueName="79" name="Chain1-14" queryTableFieldId="79" dataDxfId="290"/>
    <tableColumn id="80" xr3:uid="{4131B933-9AB7-47D7-B90E-0D168478CC4F}" uniqueName="80" name="Chain1-15" queryTableFieldId="80" dataDxfId="289"/>
    <tableColumn id="81" xr3:uid="{BE8139DC-D7DE-4F49-AAEA-AA96094B37EB}" uniqueName="81" name="Chain1-16" queryTableFieldId="81" dataDxfId="288"/>
    <tableColumn id="82" xr3:uid="{2523A00F-D584-4239-A70C-14A0D83F78E5}" uniqueName="82" name="Chain1-17" queryTableFieldId="82" dataDxfId="287"/>
    <tableColumn id="83" xr3:uid="{28F9CE40-8D21-4BC2-BBC3-790216FA5011}" uniqueName="83" name="Chain1-18" queryTableFieldId="83" dataDxfId="286"/>
    <tableColumn id="84" xr3:uid="{B5C44E94-F55F-4ECC-A696-1CB7D7396743}" uniqueName="84" name="Chain1-19" queryTableFieldId="84" dataDxfId="285"/>
    <tableColumn id="85" xr3:uid="{8277D9EE-2227-405C-B3F4-DF9B402C6873}" uniqueName="85" name="Chain1-20" queryTableFieldId="85" dataDxfId="284"/>
    <tableColumn id="86" xr3:uid="{65DA07AC-61A3-4EF7-8177-A1705390D442}" uniqueName="86" name="Chain1-21" queryTableFieldId="86" dataDxfId="283"/>
    <tableColumn id="87" xr3:uid="{F97ECDD4-61D2-4ED3-B331-D5D40E68A1F2}" uniqueName="87" name="Chain1-22" queryTableFieldId="87" dataDxfId="282"/>
    <tableColumn id="88" xr3:uid="{F098A1DD-F99D-4BB7-8364-C3BE06E4FDA8}" uniqueName="88" name="Chain1-23" queryTableFieldId="88" dataDxfId="281"/>
    <tableColumn id="89" xr3:uid="{E8574DB5-E5C2-4280-8CBF-F07B7CF2E9C9}" uniqueName="89" name="Chain1-24" queryTableFieldId="89" dataDxfId="280"/>
    <tableColumn id="90" xr3:uid="{6AD61F94-A555-4201-9945-5E0B1BAD1762}" uniqueName="90" name="Chain1-25" queryTableFieldId="90" dataDxfId="279"/>
    <tableColumn id="91" xr3:uid="{F92F1643-AC98-4C99-83D7-D570AB3B2BDA}" uniqueName="91" name="Chain1-26" queryTableFieldId="91" dataDxfId="278"/>
    <tableColumn id="92" xr3:uid="{100C927B-8823-4ABB-BECC-4A763490DA02}" uniqueName="92" name="Chain1-27" queryTableFieldId="92" dataDxfId="277"/>
    <tableColumn id="93" xr3:uid="{FF1088F3-672B-4DC1-88DB-E3841D73D52D}" uniqueName="93" name="Chain1-28" queryTableFieldId="93" dataDxfId="276"/>
    <tableColumn id="94" xr3:uid="{1F5731EE-3664-4AB2-B484-DB247D21A9B2}" uniqueName="94" name="Chain1-29" queryTableFieldId="94" dataDxfId="275"/>
    <tableColumn id="95" xr3:uid="{6C43652C-7D77-4F3B-B018-7E44875DACBE}" uniqueName="95" name="Chain1-30" queryTableFieldId="95" dataDxfId="274"/>
    <tableColumn id="96" xr3:uid="{AB53839B-7CC4-4D1F-9804-CE2892C582FE}" uniqueName="96" name="Chain1-31" queryTableFieldId="96" dataDxfId="273"/>
    <tableColumn id="97" xr3:uid="{B8BEB027-02A4-4725-87CF-C78CF8A0A51B}" uniqueName="97" name="Chain1-32" queryTableFieldId="97" dataDxfId="272"/>
    <tableColumn id="98" xr3:uid="{23151BB1-590B-4CD6-B14E-1E7FA748AA32}" uniqueName="98" name="Chain1-33" queryTableFieldId="98" dataDxfId="271"/>
    <tableColumn id="99" xr3:uid="{C82E02FC-F426-4098-8944-48D783EDA2A8}" uniqueName="99" name="Chain1-34" queryTableFieldId="99" dataDxfId="270"/>
    <tableColumn id="100" xr3:uid="{508901E2-2A3E-438C-ACED-4CEC19F0E9A3}" uniqueName="100" name="Chain1-35" queryTableFieldId="100" dataDxfId="269"/>
    <tableColumn id="101" xr3:uid="{4209FA15-B450-489C-A428-977D214F50B0}" uniqueName="101" name="Chain1-36" queryTableFieldId="101" dataDxfId="268"/>
    <tableColumn id="102" xr3:uid="{CD5F27D1-EE55-452F-AB20-325BF5471B51}" uniqueName="102" name="Chain1-37" queryTableFieldId="102" dataDxfId="267"/>
    <tableColumn id="103" xr3:uid="{9652B48C-685D-4D1C-84FD-E891863ABF92}" uniqueName="103" name="Chain1-38" queryTableFieldId="103" dataDxfId="266"/>
    <tableColumn id="104" xr3:uid="{61082E08-3C70-4AF6-9F22-29A9B8A670E7}" uniqueName="104" name="Chain1-39" queryTableFieldId="104" dataDxfId="265"/>
    <tableColumn id="105" xr3:uid="{EE840E4D-B25F-44F1-ABC9-079691D299C3}" uniqueName="105" name="Chain1-40" queryTableFieldId="105" dataDxfId="264"/>
    <tableColumn id="106" xr3:uid="{7D263011-BFBD-460C-8AE9-008817A65A8F}" uniqueName="106" name="Chain1-41" queryTableFieldId="106" dataDxfId="263"/>
    <tableColumn id="107" xr3:uid="{6400B16E-23E9-40FA-94F4-AC5990EAE301}" uniqueName="107" name="Chain1-42" queryTableFieldId="107" dataDxfId="262"/>
    <tableColumn id="108" xr3:uid="{2E4EFE50-C5CE-4CC0-A17E-D398CB1BDDB3}" uniqueName="108" name="Chain1-43" queryTableFieldId="108" dataDxfId="261"/>
    <tableColumn id="109" xr3:uid="{FE4F31CD-2B6E-4E6D-AF33-031F07DF61D5}" uniqueName="109" name="Chain1-44" queryTableFieldId="109" dataDxfId="260"/>
    <tableColumn id="110" xr3:uid="{E8C43462-12FF-4F1D-82B8-DF788588A559}" uniqueName="110" name="Chain1-45" queryTableFieldId="110" dataDxfId="259"/>
    <tableColumn id="111" xr3:uid="{655B65AA-4574-4B84-A407-C5780BE19A4F}" uniqueName="111" name="Chain1-46" queryTableFieldId="111" dataDxfId="258"/>
    <tableColumn id="112" xr3:uid="{9347C0D8-9406-483A-9E31-1376B1BBA2F4}" uniqueName="112" name="Chain1-47" queryTableFieldId="112" dataDxfId="257"/>
    <tableColumn id="113" xr3:uid="{7CA34B76-4108-468E-B269-42890C435D56}" uniqueName="113" name="Chain1-48" queryTableFieldId="113" dataDxfId="256"/>
    <tableColumn id="114" xr3:uid="{73927B47-085B-428B-B99D-78A0EC9B8FA7}" uniqueName="114" name="Chain1-49" queryTableFieldId="114" dataDxfId="255"/>
    <tableColumn id="115" xr3:uid="{241D9F3C-E954-4A71-BDD3-E10DE81978F7}" uniqueName="115" name="Chain1-50" queryTableFieldId="115" dataDxfId="254"/>
    <tableColumn id="116" xr3:uid="{E50A04E1-A992-4B53-84A1-8F66F40C555D}" uniqueName="116" name="Chain1-51" queryTableFieldId="116" dataDxfId="253"/>
    <tableColumn id="117" xr3:uid="{BCC35EBF-42E2-48EC-A32F-5C8612BA601D}" uniqueName="117" name="Chain1-52" queryTableFieldId="117" dataDxfId="252"/>
    <tableColumn id="118" xr3:uid="{76081D3D-A17B-4E80-9D2A-EED218CA1BA3}" uniqueName="118" name="Chain1-53" queryTableFieldId="118" dataDxfId="251"/>
    <tableColumn id="119" xr3:uid="{3D64A069-05E5-44D5-85CF-621F41F90A8A}" uniqueName="119" name="Chain1-54" queryTableFieldId="119" dataDxfId="250"/>
    <tableColumn id="120" xr3:uid="{0C984B10-27A7-49F4-8325-BC99421E0626}" uniqueName="120" name="Chain1-55" queryTableFieldId="120" dataDxfId="249"/>
    <tableColumn id="121" xr3:uid="{D06ED884-EE54-49DC-96E3-7FBA3A806DC8}" uniqueName="121" name="Chain1-56" queryTableFieldId="121" dataDxfId="248"/>
    <tableColumn id="122" xr3:uid="{86E01B4F-AD87-42DD-A427-8952C2302B2F}" uniqueName="122" name="Chain1-57" queryTableFieldId="122" dataDxfId="247"/>
    <tableColumn id="123" xr3:uid="{8E0615DC-38FD-4342-86E3-176475A802B1}" uniqueName="123" name="Chain1-58" queryTableFieldId="123" dataDxfId="246"/>
    <tableColumn id="124" xr3:uid="{3EACCF68-DF5A-49B6-8116-33976B97260B}" uniqueName="124" name="Chain1-59" queryTableFieldId="124" dataDxfId="245"/>
    <tableColumn id="125" xr3:uid="{823C615C-5FB7-4D45-92C7-2EDA03E92188}" uniqueName="125" name="Chain1-60" queryTableFieldId="125" dataDxfId="244"/>
    <tableColumn id="146" xr3:uid="{FEA7D52B-5D0B-490B-B06A-B4B620F8D68B}" uniqueName="146" name="Chain2-1" queryTableFieldId="146" dataDxfId="243"/>
    <tableColumn id="147" xr3:uid="{6CB9EE83-E015-474E-8C7B-40BFCCBCD0B4}" uniqueName="147" name="Chain2-2" queryTableFieldId="147" dataDxfId="242"/>
    <tableColumn id="148" xr3:uid="{296FD76C-4FDD-40D0-8C82-B121D2C374D0}" uniqueName="148" name="Chain2-3" queryTableFieldId="148" dataDxfId="241"/>
    <tableColumn id="149" xr3:uid="{6A35DB56-5F13-4635-9CD4-47F6D91D91C9}" uniqueName="149" name="Chain2-4" queryTableFieldId="149" dataDxfId="240"/>
    <tableColumn id="150" xr3:uid="{9B786A13-ED1A-414A-98BB-DF3E35896AD2}" uniqueName="150" name="Chain2-5" queryTableFieldId="150" dataDxfId="239"/>
    <tableColumn id="151" xr3:uid="{14CCCE03-FC59-43B3-8BDF-91B6DA29390E}" uniqueName="151" name="Chain2-6" queryTableFieldId="151" dataDxfId="238"/>
    <tableColumn id="152" xr3:uid="{B3FB3D3B-2B57-435B-8DDD-0D247B461A93}" uniqueName="152" name="Chain2-7" queryTableFieldId="152" dataDxfId="237"/>
    <tableColumn id="153" xr3:uid="{EBC24594-74AB-40B2-ADB3-6BF6A3562C7C}" uniqueName="153" name="Chain2-8" queryTableFieldId="153" dataDxfId="236"/>
    <tableColumn id="154" xr3:uid="{FF94AB33-B3A8-4E81-94CC-B8C5759B1C34}" uniqueName="154" name="Chain2-9" queryTableFieldId="154" dataDxfId="235"/>
    <tableColumn id="155" xr3:uid="{FB9700FE-9927-4E5E-A8DE-4D284E4360D6}" uniqueName="155" name="Chain2-10" queryTableFieldId="155" dataDxfId="234"/>
    <tableColumn id="156" xr3:uid="{BC10E652-008A-4E96-9239-2FCE06A6791C}" uniqueName="156" name="Chain2-11" queryTableFieldId="156" dataDxfId="233"/>
    <tableColumn id="157" xr3:uid="{9182E8C8-CC34-4DDF-B5EC-D868552A92E4}" uniqueName="157" name="Chain2-12" queryTableFieldId="157" dataDxfId="232"/>
    <tableColumn id="158" xr3:uid="{F482A819-67E8-4C1E-8988-755E7D65CD5F}" uniqueName="158" name="Chain2-13" queryTableFieldId="158" dataDxfId="231"/>
    <tableColumn id="159" xr3:uid="{72E70074-5CBD-4F80-AFBC-44CC7E78D107}" uniqueName="159" name="Chain2-14" queryTableFieldId="159" dataDxfId="230"/>
    <tableColumn id="160" xr3:uid="{130D123E-7A3A-4513-9CDB-0F08708F8256}" uniqueName="160" name="Chain2-15" queryTableFieldId="160" dataDxfId="229"/>
    <tableColumn id="161" xr3:uid="{35719F54-873A-441F-874F-FF859B13B086}" uniqueName="161" name="Chain2-16" queryTableFieldId="161" dataDxfId="228"/>
    <tableColumn id="162" xr3:uid="{3D016468-C555-4256-AB96-3A6362FA3E0F}" uniqueName="162" name="Chain2-17" queryTableFieldId="162" dataDxfId="227"/>
    <tableColumn id="163" xr3:uid="{0726F6A8-6C2D-4BDB-912C-785308EFD86F}" uniqueName="163" name="Chain2-18" queryTableFieldId="163" dataDxfId="226"/>
    <tableColumn id="164" xr3:uid="{8ED39A27-9E54-4564-9B0F-2EAD15AF6898}" uniqueName="164" name="Chain2-19" queryTableFieldId="164" dataDxfId="225"/>
    <tableColumn id="165" xr3:uid="{B434B546-50E1-4AE3-AF42-B5F235B02952}" uniqueName="165" name="Chain2-20" queryTableFieldId="165" dataDxfId="224"/>
    <tableColumn id="166" xr3:uid="{697AC2C2-3D78-4B9C-BB2D-077B4240D676}" uniqueName="166" name="Chain2-21" queryTableFieldId="166" dataDxfId="223"/>
    <tableColumn id="167" xr3:uid="{0F70DF4E-DAF8-441A-9F07-31481A049590}" uniqueName="167" name="Chain2-22" queryTableFieldId="167" dataDxfId="222"/>
    <tableColumn id="168" xr3:uid="{D89859FF-5C43-4C7B-A9CF-CBACE226415A}" uniqueName="168" name="Chain2-23" queryTableFieldId="168" dataDxfId="221"/>
    <tableColumn id="169" xr3:uid="{7A2C0848-DF6B-419D-BDFD-ADB46050C2C4}" uniqueName="169" name="Chain2-24" queryTableFieldId="169" dataDxfId="220"/>
    <tableColumn id="170" xr3:uid="{F8F83794-3823-4DF9-B0E7-7BAAA9ABDF9F}" uniqueName="170" name="Chain2-25" queryTableFieldId="170" dataDxfId="219"/>
    <tableColumn id="171" xr3:uid="{D384F1DA-8736-4A0A-8D67-458D2F9D04AA}" uniqueName="171" name="Chain2-26" queryTableFieldId="171" dataDxfId="218"/>
    <tableColumn id="172" xr3:uid="{DC6C1131-D825-47E5-A08B-B26CAE96BD77}" uniqueName="172" name="Chain2-27" queryTableFieldId="172" dataDxfId="217"/>
    <tableColumn id="173" xr3:uid="{D8A18408-C38F-4F8A-9DB0-C5B1A3A1CAC5}" uniqueName="173" name="Chain2-28" queryTableFieldId="173" dataDxfId="216"/>
    <tableColumn id="174" xr3:uid="{7C95E2E2-82FB-4CC8-B0F8-4DA759965E8E}" uniqueName="174" name="Chain2-29" queryTableFieldId="174" dataDxfId="215"/>
    <tableColumn id="175" xr3:uid="{CBCA4427-A3A9-4AE2-AF33-B3A14DE1BB44}" uniqueName="175" name="Chain2-30" queryTableFieldId="175" dataDxfId="214"/>
    <tableColumn id="176" xr3:uid="{C8512DE2-3B41-436D-A272-7C1478A66B3F}" uniqueName="176" name="Chain2-31" queryTableFieldId="176" dataDxfId="213"/>
    <tableColumn id="177" xr3:uid="{09C85532-5B38-4C34-ACC0-B32E855982A4}" uniqueName="177" name="Chain2-32" queryTableFieldId="177" dataDxfId="212"/>
    <tableColumn id="178" xr3:uid="{21E3005E-4AF3-4BD0-B354-823CBE1715D1}" uniqueName="178" name="Chain2-33" queryTableFieldId="178" dataDxfId="211"/>
    <tableColumn id="179" xr3:uid="{16A9A895-B02A-484D-9BA2-5845A3DD93DE}" uniqueName="179" name="Chain2-34" queryTableFieldId="179" dataDxfId="210"/>
    <tableColumn id="180" xr3:uid="{96A842D2-EBBA-443E-ACE5-E093FAECA51F}" uniqueName="180" name="Chain2-35" queryTableFieldId="180" dataDxfId="209"/>
    <tableColumn id="181" xr3:uid="{BAF90617-95EA-4BAC-BC09-1FDABF4BC9E9}" uniqueName="181" name="Chain2-36" queryTableFieldId="181" dataDxfId="208"/>
    <tableColumn id="182" xr3:uid="{800C3C02-AB5B-4FE7-85FB-8830BADA83EC}" uniqueName="182" name="Chain2-37" queryTableFieldId="182" dataDxfId="207"/>
    <tableColumn id="183" xr3:uid="{A9794FED-E9E3-4A70-B11A-BFDE33D63359}" uniqueName="183" name="Chain2-38" queryTableFieldId="183" dataDxfId="206"/>
    <tableColumn id="184" xr3:uid="{76E70DEE-0E64-4603-9E38-A11361246FF0}" uniqueName="184" name="Chain2-39" queryTableFieldId="184" dataDxfId="205"/>
    <tableColumn id="185" xr3:uid="{71CB583C-C66F-4FDB-9E60-E62E62F6B617}" uniqueName="185" name="Chain2-40" queryTableFieldId="185" dataDxfId="204"/>
    <tableColumn id="186" xr3:uid="{E8EAEE63-FA1C-434B-8956-342ECCF6A887}" uniqueName="186" name="Chain2-41" queryTableFieldId="186" dataDxfId="203"/>
    <tableColumn id="187" xr3:uid="{33D80B1F-A637-4E8D-879D-6C5EA17DAA3B}" uniqueName="187" name="Chain2-42" queryTableFieldId="187" dataDxfId="202"/>
    <tableColumn id="188" xr3:uid="{3F586F98-7572-4F44-9BBA-F4A983C9F8BD}" uniqueName="188" name="Chain2-43" queryTableFieldId="188" dataDxfId="201"/>
    <tableColumn id="189" xr3:uid="{F19026E7-E996-46C1-9EE2-FF6354AF7FAF}" uniqueName="189" name="Chain2-44" queryTableFieldId="189" dataDxfId="200"/>
    <tableColumn id="190" xr3:uid="{4B5D6032-FCCB-4145-AC06-68CBDBA900B0}" uniqueName="190" name="Chain2-45" queryTableFieldId="190" dataDxfId="199"/>
    <tableColumn id="191" xr3:uid="{F9508C8C-EF68-482F-A27A-C2E51F77910B}" uniqueName="191" name="Chain2-46" queryTableFieldId="191" dataDxfId="198"/>
    <tableColumn id="192" xr3:uid="{3C7A9C9A-AF88-4952-B3B5-17BA04BB52F0}" uniqueName="192" name="Chain2-47" queryTableFieldId="192" dataDxfId="197"/>
    <tableColumn id="193" xr3:uid="{9717EC2F-3156-44A7-9B00-57B798268AF6}" uniqueName="193" name="Chain2-48" queryTableFieldId="193" dataDxfId="196"/>
    <tableColumn id="194" xr3:uid="{5EE7C078-18C0-458B-B9ED-893F97D30491}" uniqueName="194" name="Chain2-49" queryTableFieldId="194" dataDxfId="195"/>
    <tableColumn id="195" xr3:uid="{79ED37F3-28EC-4DA5-B552-F1874372D854}" uniqueName="195" name="Chain2-50" queryTableFieldId="195" dataDxfId="194"/>
    <tableColumn id="196" xr3:uid="{1623F944-C4BB-41F1-A4B5-D435433A9CEB}" uniqueName="196" name="Chain2-51" queryTableFieldId="196" dataDxfId="193"/>
    <tableColumn id="197" xr3:uid="{8EC543F4-FAF7-443D-ACEA-6DDE5F097BF2}" uniqueName="197" name="Chain2-52" queryTableFieldId="197" dataDxfId="192"/>
    <tableColumn id="198" xr3:uid="{2DFD18A5-AB68-4E72-9C31-A03375DAA30D}" uniqueName="198" name="Chain2-53" queryTableFieldId="198" dataDxfId="191"/>
    <tableColumn id="199" xr3:uid="{AF1C94AE-9BF9-4B58-A086-7EC971A8D381}" uniqueName="199" name="Chain2-54" queryTableFieldId="199" dataDxfId="190"/>
    <tableColumn id="200" xr3:uid="{7B5A3A3F-DDAF-45CE-9993-215BDF8E9E1A}" uniqueName="200" name="Chain2-55" queryTableFieldId="200" dataDxfId="189"/>
    <tableColumn id="201" xr3:uid="{B8EDDA98-EE1D-46FC-99FD-42B10A89C8C1}" uniqueName="201" name="Chain2-56" queryTableFieldId="201" dataDxfId="188"/>
    <tableColumn id="202" xr3:uid="{0D6CEB13-56FC-413E-A3F4-5E5FD73AF189}" uniqueName="202" name="Chain2-57" queryTableFieldId="202" dataDxfId="187"/>
    <tableColumn id="203" xr3:uid="{0E3EA7DA-046A-4FA3-918B-465BA9A6A37A}" uniqueName="203" name="Chain2-58" queryTableFieldId="203" dataDxfId="186"/>
    <tableColumn id="204" xr3:uid="{F927AD17-4BA5-476A-B57E-28833D8DFBF6}" uniqueName="204" name="Chain2-59" queryTableFieldId="204" dataDxfId="185"/>
    <tableColumn id="205" xr3:uid="{2C30B384-35DE-4011-8053-19C50895E047}" uniqueName="205" name="Chain2-60" queryTableFieldId="205" dataDxfId="184"/>
    <tableColumn id="226" xr3:uid="{CC6470B3-8E74-48D1-94AC-E3F349189DAC}" uniqueName="226" name="P-[M+H]+ Precursor Mass" queryTableFieldId="226" dataDxfId="183"/>
    <tableColumn id="463" xr3:uid="{8500F7B6-04C5-4154-9095-F1CB4FAAE9DE}" uniqueName="463" name="P--H2O" queryTableFieldId="466" dataDxfId="182"/>
    <tableColumn id="464" xr3:uid="{BF055A08-C2D3-4325-BF8F-F2319B1548C3}" uniqueName="464" name="P--2H2O" queryTableFieldId="465" dataDxfId="181"/>
    <tableColumn id="465" xr3:uid="{C4E30ADB-DCA1-4C84-BBF0-7A0DC07596E2}" uniqueName="465" name="P--3H2O" queryTableFieldId="464" dataDxfId="180"/>
    <tableColumn id="466" xr3:uid="{7A941841-21B9-4779-B417-772E4811E60F}" uniqueName="466" name="P--4H2O" queryTableFieldId="463" dataDxfId="179"/>
    <tableColumn id="227" xr3:uid="{C18DFBC7-F3B6-462A-A3B4-82947F41C5E1}" uniqueName="227" name="P-Headloss" queryTableFieldId="227" dataDxfId="178"/>
    <tableColumn id="228" xr3:uid="{E49E47B5-7AF6-4D1F-A8DD-1E9CEFFABD00}" uniqueName="228" name="P--Gly-H2O" queryTableFieldId="228" dataDxfId="177"/>
    <tableColumn id="229" xr3:uid="{E1A0611F-090E-4FB1-8975-92E6E3700785}" uniqueName="229" name="P-Gly-2H2O" queryTableFieldId="229" dataDxfId="176"/>
    <tableColumn id="230" xr3:uid="{9891EE0D-E218-4F62-8456-3081070EF384}" uniqueName="230" name="P--Gly-3H2O" queryTableFieldId="230" dataDxfId="175"/>
    <tableColumn id="231" xr3:uid="{872D46F8-0A66-4747-A869-60BAD3A1A29E}" uniqueName="231" name="P--Gly" queryTableFieldId="231" dataDxfId="174"/>
    <tableColumn id="232" xr3:uid="{DFD07A18-20C6-4D07-A0A0-C0BD524A8DA6}" uniqueName="232" name="P--Gly-H2O2" queryTableFieldId="232" dataDxfId="173"/>
    <tableColumn id="233" xr3:uid="{96935F0C-34AC-4E8B-8EC1-3CBBDC7131FD}" uniqueName="233" name="P-4Chain" queryTableFieldId="233" dataDxfId="172"/>
    <tableColumn id="445" xr3:uid="{F8563666-77AD-4CF3-B063-50FA8EE080E4}" uniqueName="445" name="P-Gly--Chain1" queryTableFieldId="453" dataDxfId="171"/>
    <tableColumn id="446" xr3:uid="{EC8C5C92-7EDC-4AD3-8533-A4CADFD283C6}" uniqueName="446" name="P-Gly--Chain1-H2O" queryTableFieldId="452" dataDxfId="170"/>
    <tableColumn id="447" xr3:uid="{10A56FD4-9B1E-48B5-9BFD-D4314A0762AD}" uniqueName="447" name="P-Gly--Chain1-2H2O" queryTableFieldId="451" dataDxfId="169"/>
    <tableColumn id="448" xr3:uid="{77A021A2-B8F5-4D00-9912-3C5B8124CEC6}" uniqueName="448" name="P-Gly--Chain1-3H2O" queryTableFieldId="450" dataDxfId="168"/>
    <tableColumn id="449" xr3:uid="{EC9285A6-446D-4EC4-8DC5-B18EDD0BDEB6}" uniqueName="449" name="P-Gly--Chain1-C3H6O2-H2O" queryTableFieldId="449" dataDxfId="167"/>
    <tableColumn id="450" xr3:uid="{10E4078E-36CA-4CE4-8FBB-CB3C0D2FCD3A}" uniqueName="450" name="P-Gly--Chain1-C3H6O2-2H2O" queryTableFieldId="448" dataDxfId="166"/>
    <tableColumn id="451" xr3:uid="{B532756D-1CA5-4A98-8B26-9E7C1104EF71}" uniqueName="451" name="P-Gly--Chain1-C3H6O2-3H2O" queryTableFieldId="447" dataDxfId="165"/>
    <tableColumn id="452" xr3:uid="{305D91F9-3E86-4D3B-A66A-06FC50DF5D5B}" uniqueName="452" name="P-Gly--Chain1-C3H6O2-4H2O" queryTableFieldId="446" dataDxfId="164"/>
    <tableColumn id="453" xr3:uid="{78BE814F-18C7-4D1C-93DD-18C154CE54E8}" uniqueName="453" name="P-Gly--Chain1-C3H6O2-4H2O2" queryTableFieldId="445" dataDxfId="163"/>
    <tableColumn id="234" xr3:uid="{E1A2EAAD-F93D-4826-927A-654825F9EFE1}" uniqueName="234" name="P--Chain1" queryTableFieldId="234" dataDxfId="162"/>
    <tableColumn id="235" xr3:uid="{8A3A5F7D-3AF0-4340-BD67-6B08082E4EA6}" uniqueName="235" name="P--Chain1-H2O" queryTableFieldId="235" dataDxfId="161"/>
    <tableColumn id="236" xr3:uid="{8CA5EFD2-668F-43A8-ACE7-6458FA315BBC}" uniqueName="236" name="P--Chain1-2H2O" queryTableFieldId="236" dataDxfId="160"/>
    <tableColumn id="237" xr3:uid="{6D405929-0146-4EFF-A1BC-3D25078E708C}" uniqueName="237" name="P--Chain1-3H2O" queryTableFieldId="237" dataDxfId="159"/>
    <tableColumn id="238" xr3:uid="{0BBAB878-1762-4376-A697-B84B2B663382}" uniqueName="238" name="P--Chain1-C3H6O2-H2O" queryTableFieldId="238" dataDxfId="158"/>
    <tableColumn id="239" xr3:uid="{BDB1A803-CA66-4BE2-A2E8-B50895D7EAF0}" uniqueName="239" name="P--Chain1-C3H6O2-2H2O" queryTableFieldId="239" dataDxfId="157"/>
    <tableColumn id="240" xr3:uid="{5CB46678-8C44-4921-91DE-5771BE60DFE0}" uniqueName="240" name="P--Chain1-C3H6O2-3H2O" queryTableFieldId="240" dataDxfId="156"/>
    <tableColumn id="241" xr3:uid="{2EC78D72-4948-40D2-9B79-132366D35AC3}" uniqueName="241" name="P--Chain1-C3H6O2-4H2O" queryTableFieldId="241" dataDxfId="155"/>
    <tableColumn id="242" xr3:uid="{7CEBF355-BDE4-4CFE-AAAE-6529AC02BDEB}" uniqueName="242" name="P--Chain1-C3H6O2-4H2O2" queryTableFieldId="242" dataDxfId="154"/>
    <tableColumn id="243" xr3:uid="{F19A3700-D967-48AA-BA8D-1E7F20C686F1}" uniqueName="243" name="P--Chain1-C3H6O2-C3H4O" queryTableFieldId="243" dataDxfId="153"/>
    <tableColumn id="244" xr3:uid="{2B2EFD1B-411A-4DEB-912C-055054DA5FEE}" uniqueName="244" name="P--Chain1-C3H6O2-C3H6O2" queryTableFieldId="244" dataDxfId="152"/>
    <tableColumn id="245" xr3:uid="{065872A5-A8FD-457E-AD65-C27C04000BB5}" uniqueName="245" name="P-Chain1" queryTableFieldId="245" dataDxfId="151"/>
    <tableColumn id="246" xr3:uid="{0A67D36A-6488-4080-9BD0-2434536ABA5B}" uniqueName="246" name="P-Chain1+H2O" queryTableFieldId="246" dataDxfId="150"/>
    <tableColumn id="454" xr3:uid="{7AEB77A7-C429-481F-82B9-1B2A73CEC017}" uniqueName="454" name="P-Gly--Chain2" queryTableFieldId="462" dataDxfId="149"/>
    <tableColumn id="455" xr3:uid="{4695006F-C83B-4BEC-87D7-B7B3C4A45743}" uniqueName="455" name="P-Gly--Chain2-H2O" queryTableFieldId="461" dataDxfId="148"/>
    <tableColumn id="456" xr3:uid="{0EA83C53-1315-4987-88B5-39780EE1AA94}" uniqueName="456" name="P-Gly--Chain2-2H2O" queryTableFieldId="460" dataDxfId="147"/>
    <tableColumn id="457" xr3:uid="{EA0DCF46-7C6C-4046-AA2B-795F35A27DB5}" uniqueName="457" name="P-Gly--Chain2-3H2O" queryTableFieldId="459" dataDxfId="146"/>
    <tableColumn id="458" xr3:uid="{69E6C6F8-5F4F-4388-8ED2-697137DE3FFC}" uniqueName="458" name="P-Gly--Chain2-C3H6O2-H2O" queryTableFieldId="458" dataDxfId="145"/>
    <tableColumn id="459" xr3:uid="{62C737AA-5CE8-4579-9657-6033F1981FB1}" uniqueName="459" name="P-Gly--Chain2-C3H6O2-2H2O" queryTableFieldId="457" dataDxfId="144"/>
    <tableColumn id="460" xr3:uid="{526A7CA4-749A-40E1-A1B2-E8CC2838112B}" uniqueName="460" name="P-Gly--Chain2-C3H6O2-3H2O" queryTableFieldId="456" dataDxfId="143"/>
    <tableColumn id="461" xr3:uid="{DD1BD75F-6745-4C54-A573-7AE4E537D3A2}" uniqueName="461" name="P-Gly--Chain2-C3H6O2-4H2O" queryTableFieldId="455" dataDxfId="142"/>
    <tableColumn id="462" xr3:uid="{417A5E4B-8A1E-4E56-A224-61B8724A7CE0}" uniqueName="462" name="P-Gly--Chain2-C3H6O2-4H2O3" queryTableFieldId="454" dataDxfId="141"/>
    <tableColumn id="247" xr3:uid="{8776A4EB-CEB4-4BC9-BBDA-6EE9628C0418}" uniqueName="247" name="P--Chain2" queryTableFieldId="247" dataDxfId="140"/>
    <tableColumn id="248" xr3:uid="{9E98F22C-5F85-4B45-ACD0-C0E091777F27}" uniqueName="248" name="P--Chain2-H2O" queryTableFieldId="248" dataDxfId="139"/>
    <tableColumn id="249" xr3:uid="{FCC62317-A6CF-432B-AA09-FDCFC34F7BEF}" uniqueName="249" name="P--Chain2-2H2O" queryTableFieldId="249" dataDxfId="138"/>
    <tableColumn id="250" xr3:uid="{65977622-F668-4731-A564-5D2B1A97A700}" uniqueName="250" name="P--Chain2-3H2O" queryTableFieldId="250" dataDxfId="137"/>
    <tableColumn id="251" xr3:uid="{7F029B10-E48C-43EB-9AA0-9B5A23189E8D}" uniqueName="251" name="P--Chain2-C3H6O2-H2O" queryTableFieldId="251" dataDxfId="136"/>
    <tableColumn id="252" xr3:uid="{BF502C26-6A83-42FC-96C9-2D06CCE61BF8}" uniqueName="252" name="P--Chain2-C3H6O2-2H2O" queryTableFieldId="252" dataDxfId="135"/>
    <tableColumn id="253" xr3:uid="{9492365D-3869-4821-846C-88335BF99584}" uniqueName="253" name="P--Chain2-C3H6O2-3H2O" queryTableFieldId="253" dataDxfId="134"/>
    <tableColumn id="254" xr3:uid="{0BC193C0-2C8C-44DF-9A2D-B42ADE9C26C8}" uniqueName="254" name="P--Chain2-C3H6O2-4H2O" queryTableFieldId="254" dataDxfId="133"/>
    <tableColumn id="255" xr3:uid="{01821C75-372E-4EDF-90DD-FBFAA5DC6C77}" uniqueName="255" name="P--Chain2-C3H6O2-4H2O3" queryTableFieldId="255" dataDxfId="132"/>
    <tableColumn id="256" xr3:uid="{689F0782-240C-4E8A-A0D8-ECFD8B0AD62A}" uniqueName="256" name="P--Chain2-C3H6O2-C3H4O" queryTableFieldId="256" dataDxfId="131"/>
    <tableColumn id="257" xr3:uid="{6D36392E-0F3F-49A8-9361-850C24DA85F4}" uniqueName="257" name="P--Chain2-C3H6O2-C3H6O2" queryTableFieldId="257" dataDxfId="130"/>
    <tableColumn id="258" xr3:uid="{BB8FA104-B296-4091-9A75-44B2667ADCE4}" uniqueName="258" name="P-Chain2" queryTableFieldId="258" dataDxfId="129"/>
    <tableColumn id="259" xr3:uid="{45491D89-A401-4D85-89DA-26D0117868D8}" uniqueName="259" name="P-Chain2+H2O" queryTableFieldId="259" dataDxfId="128"/>
    <tableColumn id="260" xr3:uid="{6CA0A5D4-020E-4614-85BE-9755441F06C5}" uniqueName="260" name="P-Glycosyl" queryTableFieldId="260" dataDxfId="127"/>
    <tableColumn id="261" xr3:uid="{EDC136ED-2BD2-4F30-919E-45F2DFADB007}" uniqueName="261" name="P-G-Calditol" queryTableFieldId="261" dataDxfId="126"/>
    <tableColumn id="513" xr3:uid="{C8EB6048-2E77-4A64-9DBF-5400D400BDBA}" uniqueName="513" name="P-Calditol-H2O" queryTableFieldId="471" dataDxfId="125"/>
    <tableColumn id="514" xr3:uid="{0F343976-8E01-47F6-9D9D-07444F1D7204}" uniqueName="514" name="P-Calditol-2H2O" queryTableFieldId="472" dataDxfId="124"/>
    <tableColumn id="262" xr3:uid="{A40BDBC5-D20A-4FFD-8E87-61D86844DD7A}" uniqueName="262" name="P-Calditol-3H2O" queryTableFieldId="262" dataDxfId="123"/>
    <tableColumn id="263" xr3:uid="{21AB1113-E522-46B1-998F-EAAB1FF021B9}" uniqueName="263" name="P-Calditol-2H2O2" queryTableFieldId="263" dataDxfId="122"/>
    <tableColumn id="264" xr3:uid="{7F0292ED-B254-4995-960C-97F7960D3A5A}" uniqueName="264" name="P-Calditol-3H2O3" queryTableFieldId="264" dataDxfId="121"/>
    <tableColumn id="265" xr3:uid="{67745B73-A243-4014-BF0F-09EA2AD08137}" uniqueName="265" name="P-Chain1-1" queryTableFieldId="265" dataDxfId="120"/>
    <tableColumn id="266" xr3:uid="{CF530C0B-6CDF-4E02-AAB5-7613DDFE3811}" uniqueName="266" name="P-Chain1-2" queryTableFieldId="266" dataDxfId="119"/>
    <tableColumn id="267" xr3:uid="{F7EB9847-8032-4236-9DD9-9CE68E19CCF5}" uniqueName="267" name="P-Chain1-3" queryTableFieldId="267" dataDxfId="118"/>
    <tableColumn id="268" xr3:uid="{86FF3367-6008-4692-9760-FB3FBB53205F}" uniqueName="268" name="P-Chain1-4" queryTableFieldId="268" dataDxfId="117"/>
    <tableColumn id="269" xr3:uid="{E3B39302-9D2C-47DB-95CC-0EFE9A49DD12}" uniqueName="269" name="P-Chain1-5" queryTableFieldId="269" dataDxfId="116"/>
    <tableColumn id="270" xr3:uid="{0BED4ABD-B154-404A-BA3A-08B05C916560}" uniqueName="270" name="P-Chain1-6" queryTableFieldId="270" dataDxfId="115"/>
    <tableColumn id="271" xr3:uid="{851041D2-3385-4425-8FBE-B7178AF1C6AD}" uniqueName="271" name="P-Chain1-7" queryTableFieldId="271" dataDxfId="114"/>
    <tableColumn id="272" xr3:uid="{37F42D02-9355-4D24-9B0E-4297A08E040A}" uniqueName="272" name="P-Chain1-8" queryTableFieldId="272" dataDxfId="113"/>
    <tableColumn id="273" xr3:uid="{52340752-34FC-4E9E-95C1-98692C342FBF}" uniqueName="273" name="P-Chain1-9" queryTableFieldId="273" dataDxfId="112"/>
    <tableColumn id="274" xr3:uid="{552C5427-DD4E-43ED-9035-00D03BA5D3A8}" uniqueName="274" name="P-Chain1-10" queryTableFieldId="274" dataDxfId="111"/>
    <tableColumn id="275" xr3:uid="{4C104C74-EFCE-497F-9D30-113BDAC73B9A}" uniqueName="275" name="P-Chain1-11" queryTableFieldId="275" dataDxfId="110"/>
    <tableColumn id="276" xr3:uid="{58838E6F-85BE-4150-8302-610C478138AD}" uniqueName="276" name="P-Chain1-12" queryTableFieldId="276" dataDxfId="109"/>
    <tableColumn id="277" xr3:uid="{5A9F25E0-9522-458C-B113-72EA49CE1A0D}" uniqueName="277" name="P-Chain1-13" queryTableFieldId="277" dataDxfId="108"/>
    <tableColumn id="278" xr3:uid="{16AE2B74-966D-407D-B7E5-7125F153D8B4}" uniqueName="278" name="P-Chain1-14" queryTableFieldId="278" dataDxfId="107"/>
    <tableColumn id="279" xr3:uid="{63199E4D-1327-4DCB-8950-5436673C3DC0}" uniqueName="279" name="P-Chain1-15" queryTableFieldId="279" dataDxfId="106"/>
    <tableColumn id="280" xr3:uid="{27062A04-61F0-43AE-BBF8-E25C456DF83A}" uniqueName="280" name="P-Chain1-16" queryTableFieldId="280" dataDxfId="105"/>
    <tableColumn id="281" xr3:uid="{E412CC2B-D6B3-4E22-AADA-A1CD6835997E}" uniqueName="281" name="P-Chain1-17" queryTableFieldId="281" dataDxfId="104"/>
    <tableColumn id="282" xr3:uid="{4F32F322-2D2A-463D-A80A-AA78BD61263B}" uniqueName="282" name="P-Chain1-18" queryTableFieldId="282" dataDxfId="103"/>
    <tableColumn id="283" xr3:uid="{FC675059-B7D5-45DA-A537-B7C3EE98D932}" uniqueName="283" name="P-Chain1-19" queryTableFieldId="283" dataDxfId="102"/>
    <tableColumn id="284" xr3:uid="{BD30AC4A-7811-4817-8097-9006983894AB}" uniqueName="284" name="P-Chain1-20" queryTableFieldId="284" dataDxfId="101"/>
    <tableColumn id="285" xr3:uid="{D72AA02D-FA5F-4B7F-B400-5D867F00C4BF}" uniqueName="285" name="P-Chain1-21" queryTableFieldId="285" dataDxfId="100"/>
    <tableColumn id="286" xr3:uid="{07A3E305-5E23-43C7-9BBA-E9DB0F028B90}" uniqueName="286" name="P-Chain1-22" queryTableFieldId="286" dataDxfId="99"/>
    <tableColumn id="287" xr3:uid="{9330B428-DA57-4736-8548-2EBC1122DBC0}" uniqueName="287" name="P-Chain1-23" queryTableFieldId="287" dataDxfId="98"/>
    <tableColumn id="288" xr3:uid="{B28A286F-0DDF-4FE1-8387-E2189ED1A9EC}" uniqueName="288" name="P-Chain1-24" queryTableFieldId="288" dataDxfId="97"/>
    <tableColumn id="289" xr3:uid="{35B1C4BD-26D2-403A-A27A-3E8C55ED47AF}" uniqueName="289" name="P-Chain1-25" queryTableFieldId="289" dataDxfId="96"/>
    <tableColumn id="290" xr3:uid="{2DB9DA66-7205-499E-AD2D-7D8FF493D1A8}" uniqueName="290" name="P-Chain1-26" queryTableFieldId="290" dataDxfId="95"/>
    <tableColumn id="291" xr3:uid="{3D2118B0-40E8-4774-A230-DB4670646B0C}" uniqueName="291" name="P-Chain1-27" queryTableFieldId="291" dataDxfId="94"/>
    <tableColumn id="292" xr3:uid="{492FD5ED-E1AE-4DFE-8C54-C49D83D6D163}" uniqueName="292" name="P-Chain1-28" queryTableFieldId="292" dataDxfId="93"/>
    <tableColumn id="293" xr3:uid="{E3D2F078-2320-4E44-8FF3-9781D48DA90C}" uniqueName="293" name="P-Chain1-29" queryTableFieldId="293" dataDxfId="92"/>
    <tableColumn id="294" xr3:uid="{6C154BAD-5244-4834-AA55-F4E140681B12}" uniqueName="294" name="P-Chain1-30" queryTableFieldId="294" dataDxfId="91"/>
    <tableColumn id="295" xr3:uid="{97B81EB3-8936-4691-B253-4355B5B4DCA5}" uniqueName="295" name="P-Chain1-31" queryTableFieldId="295" dataDxfId="90"/>
    <tableColumn id="296" xr3:uid="{66B588DE-DB70-4C9A-ADA1-30C1351BAE42}" uniqueName="296" name="P-Chain1-32" queryTableFieldId="296" dataDxfId="89"/>
    <tableColumn id="297" xr3:uid="{CBFB4AFB-119B-4ACA-960C-821A80264F3C}" uniqueName="297" name="P-Chain1-33" queryTableFieldId="297" dataDxfId="88"/>
    <tableColumn id="298" xr3:uid="{B17A424B-A125-4B7F-A82C-562E3B5543EF}" uniqueName="298" name="P-Chain1-34" queryTableFieldId="298" dataDxfId="87"/>
    <tableColumn id="299" xr3:uid="{3C4EF523-A96E-4E89-A24C-8F495D14DFEA}" uniqueName="299" name="P-Chain1-35" queryTableFieldId="299" dataDxfId="86"/>
    <tableColumn id="300" xr3:uid="{E5F0C097-D7D0-4D0E-BF61-2AF96DDB2833}" uniqueName="300" name="P-Chain1-36" queryTableFieldId="300" dataDxfId="85"/>
    <tableColumn id="301" xr3:uid="{8265B39B-8FE2-4135-9796-892B1384F109}" uniqueName="301" name="P-Chain1-37" queryTableFieldId="301" dataDxfId="84"/>
    <tableColumn id="302" xr3:uid="{50FA4E15-FEA3-4CC1-B7E9-BE2DD9E14340}" uniqueName="302" name="P-Chain1-38" queryTableFieldId="302" dataDxfId="83"/>
    <tableColumn id="303" xr3:uid="{78C5D351-C9DA-47D1-851B-D754F7E24E07}" uniqueName="303" name="P-Chain1-39" queryTableFieldId="303" dataDxfId="82"/>
    <tableColumn id="304" xr3:uid="{6964276F-C857-4174-A621-BB4A70DF6FBE}" uniqueName="304" name="P-Chain1-40" queryTableFieldId="304" dataDxfId="81"/>
    <tableColumn id="305" xr3:uid="{CF4E1957-3DB9-4501-A7DA-051888DB76E4}" uniqueName="305" name="P-Chain1-41" queryTableFieldId="305" dataDxfId="80"/>
    <tableColumn id="306" xr3:uid="{914E2477-5F19-4909-A6E1-C5D8B6F62CA4}" uniqueName="306" name="P-Chain1-42" queryTableFieldId="306" dataDxfId="79"/>
    <tableColumn id="307" xr3:uid="{8EE783FD-7859-4A7F-9EE7-A9C892F54089}" uniqueName="307" name="P-Chain1-43" queryTableFieldId="307" dataDxfId="78"/>
    <tableColumn id="308" xr3:uid="{859B00E4-D0AB-42FD-A4B3-08E5BD3E9269}" uniqueName="308" name="P-Chain1-44" queryTableFieldId="308" dataDxfId="77"/>
    <tableColumn id="309" xr3:uid="{8C5500F6-B4D3-48BF-9B22-D438DE05AF0E}" uniqueName="309" name="P-Chain1-45" queryTableFieldId="309" dataDxfId="76"/>
    <tableColumn id="310" xr3:uid="{DC30DBC5-876F-46E1-A25D-1A5EF7F44697}" uniqueName="310" name="P-Chain1-46" queryTableFieldId="310" dataDxfId="75"/>
    <tableColumn id="311" xr3:uid="{7D759F6A-95EF-4C86-851C-824DEBB4C21F}" uniqueName="311" name="P-Chain1-47" queryTableFieldId="311" dataDxfId="74"/>
    <tableColumn id="312" xr3:uid="{23C6B580-E226-4484-AEF0-1CAA57BCFFC1}" uniqueName="312" name="P-Chain1-48" queryTableFieldId="312" dataDxfId="73"/>
    <tableColumn id="313" xr3:uid="{79BD3ECB-BD71-45C8-9EA7-81FD6C21783C}" uniqueName="313" name="P-Chain1-49" queryTableFieldId="313" dataDxfId="72"/>
    <tableColumn id="314" xr3:uid="{B32688AB-BB54-46B2-AA99-8553C31F9719}" uniqueName="314" name="P-Chain1-50" queryTableFieldId="314" dataDxfId="71"/>
    <tableColumn id="315" xr3:uid="{B2E94BD4-1242-432F-9DB1-546F6799F723}" uniqueName="315" name="P-Chain1-51" queryTableFieldId="315" dataDxfId="70"/>
    <tableColumn id="316" xr3:uid="{A019AC76-4AE6-4221-A58C-2F0B5C267003}" uniqueName="316" name="P-Chain1-52" queryTableFieldId="316" dataDxfId="69"/>
    <tableColumn id="317" xr3:uid="{84F2D3C6-E6AB-447F-B01B-D5A0C6D2138E}" uniqueName="317" name="P-Chain1-53" queryTableFieldId="317" dataDxfId="68"/>
    <tableColumn id="318" xr3:uid="{3D6A13C3-20D9-4804-B269-E6844FD5606E}" uniqueName="318" name="P-Chain1-54" queryTableFieldId="318" dataDxfId="67"/>
    <tableColumn id="319" xr3:uid="{DD987C0B-1761-47EC-96FA-E894ECB9B27A}" uniqueName="319" name="P-Chain1-55" queryTableFieldId="319" dataDxfId="66"/>
    <tableColumn id="320" xr3:uid="{002A09A0-5C7D-4DFD-9B0B-67B34FFDB25B}" uniqueName="320" name="P-Chain1-56" queryTableFieldId="320" dataDxfId="65"/>
    <tableColumn id="321" xr3:uid="{FB281754-1C5A-4287-8B4E-36605FE9219C}" uniqueName="321" name="P-Chain1-57" queryTableFieldId="321" dataDxfId="64"/>
    <tableColumn id="322" xr3:uid="{FB066C7C-22F6-4619-931D-BBE0C4E4DFF6}" uniqueName="322" name="P-Chain1-58" queryTableFieldId="322" dataDxfId="63"/>
    <tableColumn id="343" xr3:uid="{8F5B70E3-9196-43B7-885C-F49E4F770A0E}" uniqueName="343" name="P-Chain1-59" queryTableFieldId="343" dataDxfId="62"/>
    <tableColumn id="344" xr3:uid="{44A1D455-31DE-48FF-AA15-263C2A243E37}" uniqueName="344" name="P-Chain1-60" queryTableFieldId="344" dataDxfId="61"/>
    <tableColumn id="345" xr3:uid="{1570901A-13A2-43F2-934F-5B4A86971697}" uniqueName="345" name="P-Chain2-1" queryTableFieldId="345" dataDxfId="60"/>
    <tableColumn id="346" xr3:uid="{0854DEB5-3EC2-486B-8DF2-5F1CE4C00BC5}" uniqueName="346" name="P-Chain2-2" queryTableFieldId="346" dataDxfId="59"/>
    <tableColumn id="347" xr3:uid="{89477A3B-8206-407F-86C0-D0C975DBBDC5}" uniqueName="347" name="P-Chain2-3" queryTableFieldId="347" dataDxfId="58"/>
    <tableColumn id="348" xr3:uid="{8BDFD3C7-DF6A-47DE-AF1E-23B5434AB205}" uniqueName="348" name="P-Chain2-4" queryTableFieldId="348" dataDxfId="57"/>
    <tableColumn id="349" xr3:uid="{93786B18-FE46-4B0B-89D4-8C12B8DC92A4}" uniqueName="349" name="P-Chain2-5" queryTableFieldId="349" dataDxfId="56"/>
    <tableColumn id="350" xr3:uid="{E8F76BC4-B326-4733-B4B0-59C2271FD85A}" uniqueName="350" name="P-Chain2-6" queryTableFieldId="350" dataDxfId="55"/>
    <tableColumn id="351" xr3:uid="{59F90A4D-5A47-4372-98CF-A3E626F09D20}" uniqueName="351" name="P-Chain2-7" queryTableFieldId="351" dataDxfId="54"/>
    <tableColumn id="352" xr3:uid="{DA2E3B6E-5190-4918-A71C-85B6D4E5178E}" uniqueName="352" name="P-Chain2-8" queryTableFieldId="352" dataDxfId="53"/>
    <tableColumn id="353" xr3:uid="{B3FB9D88-101F-4512-8C49-664930B97390}" uniqueName="353" name="P-Chain2-9" queryTableFieldId="353" dataDxfId="52"/>
    <tableColumn id="354" xr3:uid="{6A89F87A-5722-439F-BCF6-C409CF124D56}" uniqueName="354" name="P-Chain2-10" queryTableFieldId="354" dataDxfId="51"/>
    <tableColumn id="355" xr3:uid="{D3F562C5-A3EB-4BA1-8140-DC9DC000C193}" uniqueName="355" name="P-Chain2-11" queryTableFieldId="355" dataDxfId="50"/>
    <tableColumn id="356" xr3:uid="{DF729865-2822-4B22-8D2F-E97F102EE066}" uniqueName="356" name="P-Chain2-12" queryTableFieldId="356" dataDxfId="49"/>
    <tableColumn id="357" xr3:uid="{6CADC201-037A-413B-B381-4779DE8687D6}" uniqueName="357" name="P-Chain2-13" queryTableFieldId="357" dataDxfId="48"/>
    <tableColumn id="358" xr3:uid="{C43605F1-2CA4-4678-8E3E-58C256CA871F}" uniqueName="358" name="P-Chain2-14" queryTableFieldId="358" dataDxfId="47"/>
    <tableColumn id="359" xr3:uid="{28E6DA60-6F41-4416-8B53-9E3C44300A04}" uniqueName="359" name="P-Chain2-15" queryTableFieldId="359" dataDxfId="46"/>
    <tableColumn id="360" xr3:uid="{FA330D0C-49FD-4ED8-9134-6ECD451DDED6}" uniqueName="360" name="P-Chain2-16" queryTableFieldId="360" dataDxfId="45"/>
    <tableColumn id="361" xr3:uid="{5D040B4A-478E-47EE-AA1E-8FCE79C41E4A}" uniqueName="361" name="P-Chain2-17" queryTableFieldId="361" dataDxfId="44"/>
    <tableColumn id="362" xr3:uid="{9E5D4A75-68CF-45EB-846A-ED2FE14269D8}" uniqueName="362" name="P-Chain2-18" queryTableFieldId="362" dataDxfId="43"/>
    <tableColumn id="363" xr3:uid="{9FF46281-2C48-4A6E-B283-D518F40C775C}" uniqueName="363" name="P-Chain2-19" queryTableFieldId="363" dataDxfId="42"/>
    <tableColumn id="364" xr3:uid="{309E22FC-60F2-4974-9D42-6864E774260F}" uniqueName="364" name="P-Chain2-20" queryTableFieldId="364" dataDxfId="41"/>
    <tableColumn id="365" xr3:uid="{1C3BDAC4-08B4-4B86-AE10-1F16809D1F60}" uniqueName="365" name="P-Chain2-21" queryTableFieldId="365" dataDxfId="40"/>
    <tableColumn id="366" xr3:uid="{A6B0DB02-5AEB-4FD9-82D4-7E8199E702F4}" uniqueName="366" name="P-Chain2-22" queryTableFieldId="366" dataDxfId="39"/>
    <tableColumn id="367" xr3:uid="{60DD3E22-287B-4BEF-9B96-1CE0D6DA4B09}" uniqueName="367" name="P-Chain2-23" queryTableFieldId="367" dataDxfId="38"/>
    <tableColumn id="368" xr3:uid="{E4D8046D-9FA4-460F-AA2D-5AF62BCCF139}" uniqueName="368" name="P-Chain2-24" queryTableFieldId="368" dataDxfId="37"/>
    <tableColumn id="369" xr3:uid="{67AB3B08-EDB3-4543-9C12-B28B19C07DB9}" uniqueName="369" name="P-Chain2-25" queryTableFieldId="369" dataDxfId="36"/>
    <tableColumn id="370" xr3:uid="{ED6838D3-C218-4034-A32B-2592D43BC833}" uniqueName="370" name="P-Chain2-26" queryTableFieldId="370" dataDxfId="35"/>
    <tableColumn id="371" xr3:uid="{F30BD7B8-BAF6-4D32-ADFF-6E385FB071D4}" uniqueName="371" name="P-Chain2-27" queryTableFieldId="371" dataDxfId="34"/>
    <tableColumn id="372" xr3:uid="{DDE2047C-45FE-443A-8789-B51A074AA76B}" uniqueName="372" name="P-Chain2-28" queryTableFieldId="372" dataDxfId="33"/>
    <tableColumn id="373" xr3:uid="{9E94A298-07C0-4775-9D7C-1DC0B5B22C15}" uniqueName="373" name="P-Chain2-29" queryTableFieldId="373" dataDxfId="32"/>
    <tableColumn id="374" xr3:uid="{A7A9414F-0A8A-41DA-B565-0672C9E27DBD}" uniqueName="374" name="P-Chain2-30" queryTableFieldId="374" dataDxfId="31"/>
    <tableColumn id="375" xr3:uid="{E2F45B2B-E44D-44D5-A4E4-66A714855410}" uniqueName="375" name="P-Chain2-31" queryTableFieldId="375" dataDxfId="30"/>
    <tableColumn id="376" xr3:uid="{FADB244C-8BC2-4F94-B4D5-9C62C3869B69}" uniqueName="376" name="P-Chain2-32" queryTableFieldId="376" dataDxfId="29"/>
    <tableColumn id="377" xr3:uid="{7B239335-E1AA-492C-927F-0540FF4E7CF8}" uniqueName="377" name="P-Chain2-33" queryTableFieldId="377" dataDxfId="28"/>
    <tableColumn id="378" xr3:uid="{86872B1A-38FF-4891-9A82-38EC8C15ED74}" uniqueName="378" name="P-Chain2-34" queryTableFieldId="378" dataDxfId="27"/>
    <tableColumn id="379" xr3:uid="{460A9F12-C373-4BD4-8FD6-DAA34B62CB37}" uniqueName="379" name="P-Chain2-35" queryTableFieldId="379" dataDxfId="26"/>
    <tableColumn id="380" xr3:uid="{17C9A3A7-8A35-4BBF-B3E4-5CBA240C72AF}" uniqueName="380" name="P-Chain2-36" queryTableFieldId="380" dataDxfId="25"/>
    <tableColumn id="381" xr3:uid="{3EB18C45-D792-4475-AD56-EB15AF75826D}" uniqueName="381" name="P-Chain2-37" queryTableFieldId="381" dataDxfId="24"/>
    <tableColumn id="382" xr3:uid="{2FC18D61-A3F9-475D-8F3E-43D1D38D9107}" uniqueName="382" name="P-Chain2-38" queryTableFieldId="382" dataDxfId="23"/>
    <tableColumn id="383" xr3:uid="{1F376B2F-04C7-433D-AF7D-8B83DD273836}" uniqueName="383" name="P-Chain2-39" queryTableFieldId="383" dataDxfId="22"/>
    <tableColumn id="384" xr3:uid="{6224BB02-7E1E-464A-B960-509D7281758E}" uniqueName="384" name="P-Chain2-40" queryTableFieldId="384" dataDxfId="21"/>
    <tableColumn id="385" xr3:uid="{29A2FFBB-77A4-4878-A280-578FC33C1A53}" uniqueName="385" name="P-Chain2-41" queryTableFieldId="385" dataDxfId="20"/>
    <tableColumn id="386" xr3:uid="{2AF21988-FF56-4C0A-8F50-B6A3C44AC2B6}" uniqueName="386" name="P-Chain2-42" queryTableFieldId="386" dataDxfId="19"/>
    <tableColumn id="387" xr3:uid="{5586F8D8-4DCC-44DD-9DAB-B4B838D6FE70}" uniqueName="387" name="P-Chain2-43" queryTableFieldId="387" dataDxfId="18"/>
    <tableColumn id="388" xr3:uid="{26F866D5-C007-44E3-A7D7-1C85025EE058}" uniqueName="388" name="P-Chain2-44" queryTableFieldId="388" dataDxfId="17"/>
    <tableColumn id="389" xr3:uid="{F66745EC-E597-4BCD-8002-5D9572D0686B}" uniqueName="389" name="P-Chain2-45" queryTableFieldId="389" dataDxfId="16"/>
    <tableColumn id="390" xr3:uid="{DAA1C146-9983-4CBC-8B3F-6B5446D8A8BD}" uniqueName="390" name="P-Chain2-46" queryTableFieldId="390" dataDxfId="15"/>
    <tableColumn id="391" xr3:uid="{ECD60174-C0DE-4C07-8C48-921D16001F16}" uniqueName="391" name="P-Chain2-47" queryTableFieldId="391" dataDxfId="14"/>
    <tableColumn id="392" xr3:uid="{0D4CCA1A-58D8-4C77-B600-3F720B448AD5}" uniqueName="392" name="P-Chain2-48" queryTableFieldId="392" dataDxfId="13"/>
    <tableColumn id="393" xr3:uid="{C10B2695-4A53-4D1A-9D0F-D59D19D32620}" uniqueName="393" name="P-Chain2-49" queryTableFieldId="393" dataDxfId="12"/>
    <tableColumn id="394" xr3:uid="{E3DACB19-B8CE-4DEE-A336-0283CA8454CA}" uniqueName="394" name="P-Chain2-50" queryTableFieldId="394" dataDxfId="11"/>
    <tableColumn id="395" xr3:uid="{170F7229-4B38-47E6-83C5-2F45D29304E2}" uniqueName="395" name="P-Chain2-51" queryTableFieldId="395" dataDxfId="10"/>
    <tableColumn id="396" xr3:uid="{DD6161EE-6B47-4640-9743-E563AB08577F}" uniqueName="396" name="P-Chain2-52" queryTableFieldId="396" dataDxfId="9"/>
    <tableColumn id="397" xr3:uid="{0E9EF4B4-0BF4-4C45-975F-734281BAB72C}" uniqueName="397" name="P-Chain2-53" queryTableFieldId="397" dataDxfId="8"/>
    <tableColumn id="398" xr3:uid="{E4B5F10D-BB0B-47DA-98DF-EFAD23F56CEE}" uniqueName="398" name="P-Chain2-54" queryTableFieldId="398" dataDxfId="7"/>
    <tableColumn id="399" xr3:uid="{A5DB51F1-503C-42BF-A8A3-5DF2EF72CCD2}" uniqueName="399" name="P-Chain2-55" queryTableFieldId="399" dataDxfId="6"/>
    <tableColumn id="400" xr3:uid="{B9F45540-AFA7-4EBD-A4A3-8A019ECA7B7E}" uniqueName="400" name="P-Chain2-56" queryTableFieldId="400" dataDxfId="5"/>
    <tableColumn id="401" xr3:uid="{001F8BBC-856B-41A7-9437-A4A41A142864}" uniqueName="401" name="P-Chain2-57" queryTableFieldId="401" dataDxfId="4"/>
    <tableColumn id="402" xr3:uid="{101CF304-F54E-457B-89A0-B526A32272EE}" uniqueName="402" name="P-Chain2-58" queryTableFieldId="402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主题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4"/>
  <dimension ref="A1:Q80"/>
  <sheetViews>
    <sheetView tabSelected="1" zoomScaleNormal="100" workbookViewId="0">
      <selection activeCell="H17" sqref="H17"/>
    </sheetView>
  </sheetViews>
  <sheetFormatPr defaultRowHeight="12.75" x14ac:dyDescent="0.2"/>
  <cols>
    <col min="1" max="1" width="18.85546875" customWidth="1"/>
    <col min="6" max="6" width="11.28515625" customWidth="1"/>
    <col min="8" max="8" width="10.5703125" customWidth="1"/>
    <col min="9" max="9" width="23" customWidth="1"/>
    <col min="15" max="15" width="17.28515625" customWidth="1"/>
  </cols>
  <sheetData>
    <row r="1" spans="1:17" s="4" customFormat="1" ht="14.25" x14ac:dyDescent="0.2">
      <c r="A1" s="4" t="s">
        <v>454</v>
      </c>
      <c r="B1" s="4" t="s">
        <v>455</v>
      </c>
      <c r="C1" s="4" t="s">
        <v>456</v>
      </c>
      <c r="D1" s="4" t="s">
        <v>457</v>
      </c>
      <c r="E1" s="4" t="s">
        <v>458</v>
      </c>
      <c r="F1" s="4" t="s">
        <v>459</v>
      </c>
      <c r="G1" s="4" t="s">
        <v>33</v>
      </c>
      <c r="H1" s="4" t="s">
        <v>460</v>
      </c>
      <c r="I1" s="4" t="s">
        <v>469</v>
      </c>
      <c r="M1" s="4" t="s">
        <v>27</v>
      </c>
      <c r="N1" s="4" t="s">
        <v>28</v>
      </c>
      <c r="O1" s="4" t="s">
        <v>29</v>
      </c>
      <c r="P1" s="4" t="s">
        <v>30</v>
      </c>
    </row>
    <row r="2" spans="1:17" s="4" customFormat="1" ht="14.25" x14ac:dyDescent="0.2">
      <c r="A2" s="4" t="s">
        <v>38</v>
      </c>
      <c r="B2" s="4" t="s">
        <v>73</v>
      </c>
      <c r="C2" s="4" t="s">
        <v>74</v>
      </c>
      <c r="D2" s="4" t="s">
        <v>75</v>
      </c>
      <c r="E2" s="4">
        <v>-1</v>
      </c>
      <c r="F2" s="4">
        <v>30.92</v>
      </c>
      <c r="G2" s="4">
        <v>26.130199999999999</v>
      </c>
      <c r="H2" s="4" t="s">
        <v>76</v>
      </c>
      <c r="M2" s="4" t="s">
        <v>36</v>
      </c>
      <c r="N2" s="4" t="s">
        <v>24</v>
      </c>
      <c r="O2" s="4" t="s">
        <v>31</v>
      </c>
      <c r="P2" s="4" t="str" cm="1">
        <f t="array" ref="P2">compoundadd(compoundadd(O2,"C6H8O4"),Q2)</f>
        <v>C6H12O6</v>
      </c>
      <c r="Q2" s="4" t="s">
        <v>31</v>
      </c>
    </row>
    <row r="3" spans="1:17" s="4" customFormat="1" ht="14.25" x14ac:dyDescent="0.2">
      <c r="A3" s="4" t="s">
        <v>39</v>
      </c>
      <c r="B3" s="4" t="s">
        <v>77</v>
      </c>
      <c r="C3" s="4" t="s">
        <v>78</v>
      </c>
      <c r="D3" s="4" t="s">
        <v>79</v>
      </c>
      <c r="E3" s="4">
        <v>-1</v>
      </c>
      <c r="F3" s="4">
        <v>31.42</v>
      </c>
      <c r="G3" s="4">
        <v>25.740100000000002</v>
      </c>
      <c r="H3" s="4" t="s">
        <v>80</v>
      </c>
      <c r="M3" s="4" t="s">
        <v>241</v>
      </c>
      <c r="N3" s="4" t="s">
        <v>24</v>
      </c>
      <c r="O3" s="4" t="s">
        <v>244</v>
      </c>
      <c r="P3" s="4" t="str" cm="1">
        <f t="array" ref="P3">compoundadd(compoundadd(O3,"C6H8O4"),Q3)</f>
        <v>C12H22O11</v>
      </c>
      <c r="Q3" s="4" t="s">
        <v>31</v>
      </c>
    </row>
    <row r="4" spans="1:17" s="4" customFormat="1" ht="14.25" x14ac:dyDescent="0.2">
      <c r="A4" s="4" t="s">
        <v>407</v>
      </c>
      <c r="B4" s="4" t="s">
        <v>81</v>
      </c>
      <c r="C4" s="4" t="s">
        <v>82</v>
      </c>
      <c r="D4" s="4" t="s">
        <v>408</v>
      </c>
      <c r="E4" s="4">
        <v>-1</v>
      </c>
      <c r="F4" s="4">
        <v>31.68</v>
      </c>
      <c r="G4" s="4">
        <v>25.35</v>
      </c>
      <c r="H4" s="4" t="s">
        <v>83</v>
      </c>
      <c r="M4" s="4" t="s">
        <v>242</v>
      </c>
      <c r="N4" s="4" t="s">
        <v>24</v>
      </c>
      <c r="O4" s="4" t="s">
        <v>25</v>
      </c>
      <c r="P4" s="4" t="str" cm="1">
        <f t="array" ref="P4">compoundadd(compoundadd(O4,"C6H8O4"),Q4)</f>
        <v>C18H32O16</v>
      </c>
      <c r="Q4" s="4" t="s">
        <v>31</v>
      </c>
    </row>
    <row r="5" spans="1:17" s="4" customFormat="1" ht="14.25" x14ac:dyDescent="0.2">
      <c r="A5" s="4" t="s">
        <v>409</v>
      </c>
      <c r="B5" s="4" t="s">
        <v>81</v>
      </c>
      <c r="C5" s="4" t="s">
        <v>84</v>
      </c>
      <c r="D5" s="4" t="s">
        <v>410</v>
      </c>
      <c r="E5" s="4">
        <v>-1</v>
      </c>
      <c r="F5" s="4">
        <v>31.49</v>
      </c>
      <c r="G5" s="4">
        <v>25.35</v>
      </c>
      <c r="H5" s="4" t="s">
        <v>85</v>
      </c>
      <c r="M5" s="4" t="s">
        <v>243</v>
      </c>
      <c r="N5" s="4" t="s">
        <v>406</v>
      </c>
      <c r="O5" s="4" t="s">
        <v>26</v>
      </c>
      <c r="P5" s="4" t="str" cm="1">
        <f t="array" ref="P5">compoundadd(compoundadd(O5,"C6H8O4"),Q5)</f>
        <v>C12H22O11</v>
      </c>
      <c r="Q5" s="4" t="s">
        <v>31</v>
      </c>
    </row>
    <row r="6" spans="1:17" s="4" customFormat="1" ht="14.25" x14ac:dyDescent="0.2">
      <c r="A6" s="4" t="s">
        <v>411</v>
      </c>
      <c r="B6" s="4" t="s">
        <v>86</v>
      </c>
      <c r="C6" s="4" t="s">
        <v>87</v>
      </c>
      <c r="D6" s="4" t="s">
        <v>412</v>
      </c>
      <c r="E6" s="4">
        <v>-1</v>
      </c>
      <c r="F6" s="4">
        <v>31.9</v>
      </c>
      <c r="G6" s="4">
        <v>24.959900000000001</v>
      </c>
      <c r="H6" s="4" t="s">
        <v>88</v>
      </c>
    </row>
    <row r="7" spans="1:17" s="4" customFormat="1" ht="14.25" x14ac:dyDescent="0.2">
      <c r="A7" s="4" t="s">
        <v>413</v>
      </c>
      <c r="B7" s="4" t="s">
        <v>86</v>
      </c>
      <c r="C7" s="4" t="s">
        <v>89</v>
      </c>
      <c r="D7" s="4" t="s">
        <v>414</v>
      </c>
      <c r="E7" s="4">
        <v>-1</v>
      </c>
      <c r="F7" s="4">
        <v>31.63</v>
      </c>
      <c r="G7" s="4">
        <v>24.959900000000001</v>
      </c>
      <c r="H7" s="4" t="s">
        <v>90</v>
      </c>
    </row>
    <row r="8" spans="1:17" s="4" customFormat="1" ht="14.25" x14ac:dyDescent="0.2">
      <c r="A8" s="4" t="s">
        <v>415</v>
      </c>
      <c r="B8" s="4" t="s">
        <v>91</v>
      </c>
      <c r="C8" s="4" t="s">
        <v>92</v>
      </c>
      <c r="D8" s="4" t="s">
        <v>416</v>
      </c>
      <c r="E8" s="4">
        <v>-1</v>
      </c>
      <c r="F8" s="4">
        <v>32.93</v>
      </c>
      <c r="G8" s="4">
        <v>24.569800000000001</v>
      </c>
      <c r="H8" s="4" t="s">
        <v>93</v>
      </c>
    </row>
    <row r="9" spans="1:17" s="4" customFormat="1" ht="14.25" x14ac:dyDescent="0.2">
      <c r="A9" s="4" t="s">
        <v>417</v>
      </c>
      <c r="B9" s="4" t="s">
        <v>91</v>
      </c>
      <c r="C9" s="4" t="s">
        <v>94</v>
      </c>
      <c r="D9" s="4" t="s">
        <v>418</v>
      </c>
      <c r="E9" s="4">
        <v>-1</v>
      </c>
      <c r="F9" s="4">
        <v>32.65</v>
      </c>
      <c r="G9" s="4">
        <v>24.569800000000001</v>
      </c>
      <c r="H9" s="4" t="s">
        <v>95</v>
      </c>
    </row>
    <row r="10" spans="1:17" s="4" customFormat="1" ht="14.25" x14ac:dyDescent="0.2">
      <c r="A10" s="4" t="s">
        <v>419</v>
      </c>
      <c r="B10" s="4" t="s">
        <v>91</v>
      </c>
      <c r="C10" s="4" t="s">
        <v>96</v>
      </c>
      <c r="D10" s="4" t="s">
        <v>420</v>
      </c>
      <c r="E10" s="4">
        <v>-1</v>
      </c>
      <c r="F10" s="4">
        <v>32.229999999999997</v>
      </c>
      <c r="G10" s="4">
        <v>24.569800000000001</v>
      </c>
      <c r="H10" s="4" t="s">
        <v>97</v>
      </c>
    </row>
    <row r="11" spans="1:17" s="4" customFormat="1" ht="14.25" x14ac:dyDescent="0.2">
      <c r="A11" s="4" t="s">
        <v>421</v>
      </c>
      <c r="B11" s="4" t="s">
        <v>98</v>
      </c>
      <c r="C11" s="4" t="s">
        <v>99</v>
      </c>
      <c r="D11" s="4" t="s">
        <v>422</v>
      </c>
      <c r="E11" s="4">
        <v>-1</v>
      </c>
      <c r="F11" s="4">
        <v>33.15</v>
      </c>
      <c r="G11" s="4">
        <v>24.1797</v>
      </c>
      <c r="H11" s="4" t="s">
        <v>100</v>
      </c>
    </row>
    <row r="12" spans="1:17" s="4" customFormat="1" ht="14.25" x14ac:dyDescent="0.2">
      <c r="A12" s="4" t="s">
        <v>423</v>
      </c>
      <c r="B12" s="4" t="s">
        <v>98</v>
      </c>
      <c r="C12" s="4" t="s">
        <v>101</v>
      </c>
      <c r="D12" s="4" t="s">
        <v>424</v>
      </c>
      <c r="E12" s="4">
        <v>-1</v>
      </c>
      <c r="F12" s="4">
        <v>32.729999999999997</v>
      </c>
      <c r="G12" s="4">
        <v>24.1797</v>
      </c>
      <c r="H12" s="4" t="s">
        <v>102</v>
      </c>
    </row>
    <row r="13" spans="1:17" s="4" customFormat="1" ht="14.25" x14ac:dyDescent="0.2">
      <c r="A13" s="4" t="s">
        <v>425</v>
      </c>
      <c r="B13" s="4" t="s">
        <v>103</v>
      </c>
      <c r="C13" s="4" t="s">
        <v>104</v>
      </c>
      <c r="D13" s="4" t="s">
        <v>426</v>
      </c>
      <c r="E13" s="4">
        <v>-1</v>
      </c>
      <c r="F13" s="4">
        <v>33.35</v>
      </c>
      <c r="G13" s="4">
        <v>23.7896</v>
      </c>
      <c r="H13" s="4" t="s">
        <v>105</v>
      </c>
    </row>
    <row r="14" spans="1:17" s="4" customFormat="1" ht="14.25" x14ac:dyDescent="0.2">
      <c r="A14" s="4" t="s">
        <v>427</v>
      </c>
      <c r="B14" s="4" t="s">
        <v>103</v>
      </c>
      <c r="C14" s="4" t="s">
        <v>106</v>
      </c>
      <c r="D14" s="4" t="s">
        <v>428</v>
      </c>
      <c r="E14" s="4">
        <v>-1</v>
      </c>
      <c r="F14" s="4">
        <v>33.130000000000003</v>
      </c>
      <c r="G14" s="4">
        <v>23.7896</v>
      </c>
      <c r="H14" s="4" t="s">
        <v>107</v>
      </c>
    </row>
    <row r="15" spans="1:17" s="4" customFormat="1" ht="14.25" x14ac:dyDescent="0.2">
      <c r="A15" s="4" t="s">
        <v>40</v>
      </c>
      <c r="B15" s="4" t="s">
        <v>108</v>
      </c>
      <c r="C15" s="4" t="s">
        <v>109</v>
      </c>
      <c r="D15" s="4" t="s">
        <v>429</v>
      </c>
      <c r="E15" s="4">
        <v>-1</v>
      </c>
      <c r="F15" s="4">
        <v>33.49</v>
      </c>
      <c r="G15" s="4">
        <v>23.3995</v>
      </c>
      <c r="H15" s="4" t="s">
        <v>110</v>
      </c>
    </row>
    <row r="16" spans="1:17" s="4" customFormat="1" ht="14.25" x14ac:dyDescent="0.2">
      <c r="A16" s="4" t="s">
        <v>41</v>
      </c>
      <c r="B16" s="4" t="s">
        <v>111</v>
      </c>
      <c r="C16" s="4" t="s">
        <v>112</v>
      </c>
      <c r="D16" s="4" t="s">
        <v>430</v>
      </c>
      <c r="E16" s="4">
        <v>-1</v>
      </c>
      <c r="F16" s="4">
        <v>33.72</v>
      </c>
      <c r="G16" s="4">
        <v>23.009399999999999</v>
      </c>
      <c r="H16" s="4" t="s">
        <v>113</v>
      </c>
    </row>
    <row r="17" spans="1:8" s="4" customFormat="1" ht="14.25" x14ac:dyDescent="0.2">
      <c r="A17" s="4" t="s">
        <v>42</v>
      </c>
      <c r="B17" s="4" t="s">
        <v>98</v>
      </c>
      <c r="C17" s="4" t="s">
        <v>114</v>
      </c>
      <c r="D17" s="4" t="s">
        <v>431</v>
      </c>
      <c r="E17" s="4">
        <v>-1</v>
      </c>
      <c r="F17" s="4">
        <v>32.6</v>
      </c>
      <c r="G17" s="4">
        <v>24.323799999999999</v>
      </c>
      <c r="H17" s="4" t="s">
        <v>115</v>
      </c>
    </row>
    <row r="18" spans="1:8" s="4" customFormat="1" ht="14.25" x14ac:dyDescent="0.2">
      <c r="A18" s="4" t="s">
        <v>125</v>
      </c>
      <c r="B18" s="4" t="s">
        <v>126</v>
      </c>
      <c r="C18" s="4" t="s">
        <v>127</v>
      </c>
      <c r="D18" s="4" t="s">
        <v>128</v>
      </c>
      <c r="E18" s="4">
        <v>-1</v>
      </c>
      <c r="F18" s="4">
        <v>24.77</v>
      </c>
      <c r="G18" s="4">
        <v>21.778600000000001</v>
      </c>
      <c r="H18" s="4" t="s">
        <v>129</v>
      </c>
    </row>
    <row r="19" spans="1:8" s="4" customFormat="1" ht="14.25" x14ac:dyDescent="0.2">
      <c r="A19" s="4" t="s">
        <v>130</v>
      </c>
      <c r="B19" s="4" t="s">
        <v>131</v>
      </c>
      <c r="C19" s="4" t="s">
        <v>132</v>
      </c>
      <c r="D19" s="4" t="s">
        <v>133</v>
      </c>
      <c r="E19" s="4">
        <v>-1</v>
      </c>
      <c r="F19" s="4">
        <v>25.6</v>
      </c>
      <c r="G19" s="4">
        <v>21.388500000000001</v>
      </c>
      <c r="H19" s="4" t="s">
        <v>134</v>
      </c>
    </row>
    <row r="20" spans="1:8" s="4" customFormat="1" ht="14.25" x14ac:dyDescent="0.2">
      <c r="A20" s="4" t="s">
        <v>432</v>
      </c>
      <c r="B20" s="4" t="s">
        <v>135</v>
      </c>
      <c r="C20" s="4" t="s">
        <v>136</v>
      </c>
      <c r="D20" s="4" t="s">
        <v>137</v>
      </c>
      <c r="E20" s="4">
        <v>-1</v>
      </c>
      <c r="F20" s="4">
        <v>26.09</v>
      </c>
      <c r="G20" s="4">
        <v>20.9984</v>
      </c>
      <c r="H20" s="4" t="s">
        <v>138</v>
      </c>
    </row>
    <row r="21" spans="1:8" s="4" customFormat="1" ht="14.25" x14ac:dyDescent="0.2">
      <c r="A21" s="4" t="s">
        <v>433</v>
      </c>
      <c r="B21" s="4" t="s">
        <v>135</v>
      </c>
      <c r="C21" s="4" t="s">
        <v>139</v>
      </c>
      <c r="D21" s="4" t="s">
        <v>140</v>
      </c>
      <c r="E21" s="4">
        <v>-1</v>
      </c>
      <c r="F21" s="4">
        <v>26.08</v>
      </c>
      <c r="G21" s="4">
        <v>20.9984</v>
      </c>
      <c r="H21" s="4" t="s">
        <v>141</v>
      </c>
    </row>
    <row r="22" spans="1:8" s="4" customFormat="1" ht="14.25" x14ac:dyDescent="0.2">
      <c r="A22" s="4" t="s">
        <v>434</v>
      </c>
      <c r="B22" s="4" t="s">
        <v>142</v>
      </c>
      <c r="C22" s="4" t="s">
        <v>143</v>
      </c>
      <c r="D22" s="4" t="s">
        <v>144</v>
      </c>
      <c r="E22" s="4">
        <v>-1</v>
      </c>
      <c r="F22" s="4">
        <v>26.59</v>
      </c>
      <c r="G22" s="4">
        <v>20.6083</v>
      </c>
      <c r="H22" s="4" t="s">
        <v>145</v>
      </c>
    </row>
    <row r="23" spans="1:8" s="4" customFormat="1" ht="14.25" x14ac:dyDescent="0.2">
      <c r="A23" s="4" t="s">
        <v>435</v>
      </c>
      <c r="B23" s="4" t="s">
        <v>142</v>
      </c>
      <c r="C23" s="4" t="s">
        <v>146</v>
      </c>
      <c r="D23" s="4" t="s">
        <v>147</v>
      </c>
      <c r="E23" s="4">
        <v>-1</v>
      </c>
      <c r="F23" s="4">
        <v>26.41</v>
      </c>
      <c r="G23" s="4">
        <v>20.6083</v>
      </c>
      <c r="H23" s="4" t="s">
        <v>148</v>
      </c>
    </row>
    <row r="24" spans="1:8" s="4" customFormat="1" ht="14.25" x14ac:dyDescent="0.2">
      <c r="A24" s="4" t="s">
        <v>436</v>
      </c>
      <c r="B24" s="4" t="s">
        <v>149</v>
      </c>
      <c r="C24" s="4" t="s">
        <v>150</v>
      </c>
      <c r="D24" s="4" t="s">
        <v>151</v>
      </c>
      <c r="E24" s="4">
        <v>-1</v>
      </c>
      <c r="F24" s="4">
        <v>27.14</v>
      </c>
      <c r="G24" s="4">
        <v>20.2182</v>
      </c>
      <c r="H24" s="4" t="s">
        <v>152</v>
      </c>
    </row>
    <row r="25" spans="1:8" s="4" customFormat="1" ht="14.25" x14ac:dyDescent="0.2">
      <c r="A25" s="4" t="s">
        <v>437</v>
      </c>
      <c r="B25" s="4" t="s">
        <v>149</v>
      </c>
      <c r="C25" s="4" t="s">
        <v>153</v>
      </c>
      <c r="D25" s="4" t="s">
        <v>154</v>
      </c>
      <c r="E25" s="4">
        <v>-1</v>
      </c>
      <c r="F25" s="4">
        <v>26.94</v>
      </c>
      <c r="G25" s="4">
        <v>20.2182</v>
      </c>
      <c r="H25" s="4" t="s">
        <v>155</v>
      </c>
    </row>
    <row r="26" spans="1:8" s="4" customFormat="1" ht="14.25" x14ac:dyDescent="0.2">
      <c r="A26" s="4" t="s">
        <v>438</v>
      </c>
      <c r="B26" s="4" t="s">
        <v>149</v>
      </c>
      <c r="C26" s="4" t="s">
        <v>156</v>
      </c>
      <c r="D26" s="4" t="s">
        <v>157</v>
      </c>
      <c r="E26" s="4">
        <v>-1</v>
      </c>
      <c r="F26" s="4">
        <v>26.6</v>
      </c>
      <c r="G26" s="4">
        <v>20.2182</v>
      </c>
      <c r="H26" s="4" t="s">
        <v>158</v>
      </c>
    </row>
    <row r="27" spans="1:8" s="4" customFormat="1" ht="14.25" x14ac:dyDescent="0.2">
      <c r="A27" s="4" t="s">
        <v>439</v>
      </c>
      <c r="B27" s="4" t="s">
        <v>159</v>
      </c>
      <c r="C27" s="4" t="s">
        <v>160</v>
      </c>
      <c r="D27" s="4" t="s">
        <v>161</v>
      </c>
      <c r="E27" s="4">
        <v>-1</v>
      </c>
      <c r="F27" s="4">
        <v>27.53</v>
      </c>
      <c r="G27" s="4">
        <v>19.828099999999999</v>
      </c>
      <c r="H27" s="4" t="s">
        <v>162</v>
      </c>
    </row>
    <row r="28" spans="1:8" s="4" customFormat="1" ht="14.25" x14ac:dyDescent="0.2">
      <c r="A28" s="4" t="s">
        <v>440</v>
      </c>
      <c r="B28" s="4" t="s">
        <v>159</v>
      </c>
      <c r="C28" s="4" t="s">
        <v>163</v>
      </c>
      <c r="D28" s="4" t="s">
        <v>164</v>
      </c>
      <c r="E28" s="4">
        <v>-1</v>
      </c>
      <c r="F28" s="4">
        <v>27.2</v>
      </c>
      <c r="G28" s="4">
        <v>19.828099999999999</v>
      </c>
      <c r="H28" s="4" t="s">
        <v>165</v>
      </c>
    </row>
    <row r="29" spans="1:8" s="4" customFormat="1" ht="14.25" x14ac:dyDescent="0.2">
      <c r="A29" s="4" t="s">
        <v>441</v>
      </c>
      <c r="B29" s="4" t="s">
        <v>166</v>
      </c>
      <c r="C29" s="4" t="s">
        <v>167</v>
      </c>
      <c r="D29" s="4" t="s">
        <v>168</v>
      </c>
      <c r="E29" s="4">
        <v>-1</v>
      </c>
      <c r="F29" s="4">
        <v>27.81</v>
      </c>
      <c r="G29" s="4">
        <v>19.437999999999999</v>
      </c>
      <c r="H29" s="4" t="s">
        <v>169</v>
      </c>
    </row>
    <row r="30" spans="1:8" s="4" customFormat="1" ht="14.25" x14ac:dyDescent="0.2">
      <c r="A30" s="4" t="s">
        <v>442</v>
      </c>
      <c r="B30" s="4" t="s">
        <v>166</v>
      </c>
      <c r="C30" s="4" t="s">
        <v>170</v>
      </c>
      <c r="D30" s="4" t="s">
        <v>171</v>
      </c>
      <c r="E30" s="4">
        <v>-1</v>
      </c>
      <c r="F30" s="4">
        <v>27.77</v>
      </c>
      <c r="G30" s="4">
        <v>19.437999999999999</v>
      </c>
      <c r="H30" s="4" t="s">
        <v>172</v>
      </c>
    </row>
    <row r="31" spans="1:8" s="4" customFormat="1" ht="14.25" x14ac:dyDescent="0.2">
      <c r="A31" s="4" t="s">
        <v>173</v>
      </c>
      <c r="B31" s="4" t="s">
        <v>174</v>
      </c>
      <c r="C31" s="4" t="s">
        <v>175</v>
      </c>
      <c r="D31" s="4" t="s">
        <v>176</v>
      </c>
      <c r="E31" s="4">
        <v>-1</v>
      </c>
      <c r="F31" s="4">
        <v>28.1</v>
      </c>
      <c r="G31" s="4">
        <v>19.047899999999998</v>
      </c>
      <c r="H31" s="4" t="s">
        <v>177</v>
      </c>
    </row>
    <row r="32" spans="1:8" s="4" customFormat="1" ht="14.25" x14ac:dyDescent="0.2">
      <c r="A32" s="4" t="s">
        <v>178</v>
      </c>
      <c r="B32" s="4" t="s">
        <v>179</v>
      </c>
      <c r="C32" s="4" t="s">
        <v>180</v>
      </c>
      <c r="D32" s="4" t="s">
        <v>181</v>
      </c>
      <c r="E32" s="4">
        <v>-1</v>
      </c>
      <c r="F32" s="4">
        <v>28.41</v>
      </c>
      <c r="G32" s="4">
        <v>18.657800000000002</v>
      </c>
      <c r="H32" s="4" t="s">
        <v>182</v>
      </c>
    </row>
    <row r="33" spans="1:12" s="4" customFormat="1" ht="14.25" x14ac:dyDescent="0.2">
      <c r="A33" s="4" t="s">
        <v>183</v>
      </c>
      <c r="B33" s="4" t="s">
        <v>159</v>
      </c>
      <c r="C33" s="4" t="s">
        <v>184</v>
      </c>
      <c r="D33" s="4" t="s">
        <v>185</v>
      </c>
      <c r="E33" s="4">
        <v>-1</v>
      </c>
      <c r="F33" s="4">
        <v>27.28</v>
      </c>
      <c r="G33" s="4">
        <v>19.972200000000001</v>
      </c>
      <c r="H33" s="4" t="s">
        <v>186</v>
      </c>
    </row>
    <row r="34" spans="1:12" s="4" customFormat="1" ht="14.25" x14ac:dyDescent="0.2">
      <c r="A34" s="4" t="s">
        <v>187</v>
      </c>
      <c r="B34" s="4" t="s">
        <v>116</v>
      </c>
      <c r="C34" s="4" t="s">
        <v>188</v>
      </c>
      <c r="D34" s="4" t="s">
        <v>189</v>
      </c>
      <c r="E34" s="4">
        <v>-1</v>
      </c>
      <c r="F34" s="4">
        <v>26.8</v>
      </c>
      <c r="G34" s="4">
        <v>23.3428</v>
      </c>
      <c r="H34" s="4" t="s">
        <v>190</v>
      </c>
    </row>
    <row r="35" spans="1:12" s="4" customFormat="1" ht="14.25" x14ac:dyDescent="0.2">
      <c r="A35" s="4" t="s">
        <v>191</v>
      </c>
      <c r="B35" s="4" t="s">
        <v>117</v>
      </c>
      <c r="C35" s="4" t="s">
        <v>192</v>
      </c>
      <c r="D35" s="4" t="s">
        <v>193</v>
      </c>
      <c r="E35" s="4">
        <v>-1</v>
      </c>
      <c r="F35" s="4">
        <v>27.24</v>
      </c>
      <c r="G35" s="4">
        <v>22.9527</v>
      </c>
      <c r="H35" s="4" t="s">
        <v>194</v>
      </c>
    </row>
    <row r="36" spans="1:12" s="4" customFormat="1" ht="14.25" x14ac:dyDescent="0.2">
      <c r="A36" s="4" t="s">
        <v>443</v>
      </c>
      <c r="B36" s="4" t="s">
        <v>118</v>
      </c>
      <c r="C36" s="4" t="s">
        <v>195</v>
      </c>
      <c r="D36" s="4" t="s">
        <v>196</v>
      </c>
      <c r="E36" s="4">
        <v>-1</v>
      </c>
      <c r="F36" s="4">
        <v>27.62</v>
      </c>
      <c r="G36" s="4">
        <v>22.5626</v>
      </c>
      <c r="H36" s="4" t="s">
        <v>197</v>
      </c>
    </row>
    <row r="37" spans="1:12" s="4" customFormat="1" ht="14.25" x14ac:dyDescent="0.2">
      <c r="A37" s="4" t="s">
        <v>444</v>
      </c>
      <c r="B37" s="4" t="s">
        <v>118</v>
      </c>
      <c r="C37" s="4" t="s">
        <v>198</v>
      </c>
      <c r="D37" s="4" t="s">
        <v>199</v>
      </c>
      <c r="E37" s="4">
        <v>-1</v>
      </c>
      <c r="F37" s="4">
        <v>27.54</v>
      </c>
      <c r="G37" s="4">
        <v>22.5626</v>
      </c>
      <c r="H37" s="4" t="s">
        <v>200</v>
      </c>
    </row>
    <row r="38" spans="1:12" s="4" customFormat="1" ht="14.25" x14ac:dyDescent="0.2">
      <c r="A38" s="4" t="s">
        <v>445</v>
      </c>
      <c r="B38" s="4" t="s">
        <v>119</v>
      </c>
      <c r="C38" s="4" t="s">
        <v>201</v>
      </c>
      <c r="D38" s="4" t="s">
        <v>202</v>
      </c>
      <c r="E38" s="4">
        <v>-1</v>
      </c>
      <c r="F38" s="4">
        <v>27.91</v>
      </c>
      <c r="G38" s="4">
        <v>22.172499999999999</v>
      </c>
      <c r="H38" s="4" t="s">
        <v>203</v>
      </c>
    </row>
    <row r="39" spans="1:12" s="4" customFormat="1" ht="14.25" x14ac:dyDescent="0.2">
      <c r="A39" s="4" t="s">
        <v>446</v>
      </c>
      <c r="B39" s="4" t="s">
        <v>119</v>
      </c>
      <c r="C39" s="4" t="s">
        <v>204</v>
      </c>
      <c r="D39" s="4" t="s">
        <v>205</v>
      </c>
      <c r="E39" s="4">
        <v>-1</v>
      </c>
      <c r="F39" s="4">
        <v>27.66</v>
      </c>
      <c r="G39" s="4">
        <v>22.172499999999999</v>
      </c>
      <c r="H39" s="4" t="s">
        <v>206</v>
      </c>
    </row>
    <row r="40" spans="1:12" s="4" customFormat="1" ht="14.25" x14ac:dyDescent="0.2">
      <c r="A40" s="4" t="s">
        <v>447</v>
      </c>
      <c r="B40" s="4" t="s">
        <v>120</v>
      </c>
      <c r="C40" s="4" t="s">
        <v>207</v>
      </c>
      <c r="D40" s="4" t="s">
        <v>208</v>
      </c>
      <c r="E40" s="4">
        <v>-1</v>
      </c>
      <c r="F40" s="4">
        <v>28.34</v>
      </c>
      <c r="G40" s="4">
        <v>21.782399999999999</v>
      </c>
      <c r="H40" s="4" t="s">
        <v>209</v>
      </c>
    </row>
    <row r="41" spans="1:12" s="4" customFormat="1" ht="14.25" x14ac:dyDescent="0.2">
      <c r="A41" s="4" t="s">
        <v>448</v>
      </c>
      <c r="B41" s="4" t="s">
        <v>120</v>
      </c>
      <c r="C41" s="4" t="s">
        <v>210</v>
      </c>
      <c r="D41" s="4" t="s">
        <v>211</v>
      </c>
      <c r="E41" s="4">
        <v>-1</v>
      </c>
      <c r="F41" s="4">
        <v>28.11</v>
      </c>
      <c r="G41" s="4">
        <v>21.782399999999999</v>
      </c>
      <c r="H41" s="4" t="s">
        <v>212</v>
      </c>
      <c r="L41" s="38"/>
    </row>
    <row r="42" spans="1:12" s="4" customFormat="1" ht="14.25" x14ac:dyDescent="0.2">
      <c r="A42" s="4" t="s">
        <v>449</v>
      </c>
      <c r="B42" s="4" t="s">
        <v>120</v>
      </c>
      <c r="C42" s="4" t="s">
        <v>213</v>
      </c>
      <c r="D42" s="4" t="s">
        <v>214</v>
      </c>
      <c r="E42" s="4">
        <v>-1</v>
      </c>
      <c r="F42" s="4">
        <v>27.69</v>
      </c>
      <c r="G42" s="4">
        <v>21.782399999999999</v>
      </c>
      <c r="H42" s="4" t="s">
        <v>215</v>
      </c>
      <c r="L42" s="38"/>
    </row>
    <row r="43" spans="1:12" s="4" customFormat="1" ht="14.25" x14ac:dyDescent="0.2">
      <c r="A43" s="4" t="s">
        <v>450</v>
      </c>
      <c r="B43" s="4" t="s">
        <v>121</v>
      </c>
      <c r="C43" s="4" t="s">
        <v>216</v>
      </c>
      <c r="D43" s="4" t="s">
        <v>217</v>
      </c>
      <c r="E43" s="4">
        <v>-1</v>
      </c>
      <c r="F43" s="4">
        <v>28.5</v>
      </c>
      <c r="G43" s="4">
        <v>21.392299999999999</v>
      </c>
      <c r="H43" s="4" t="s">
        <v>218</v>
      </c>
      <c r="L43" s="38"/>
    </row>
    <row r="44" spans="1:12" s="4" customFormat="1" ht="14.25" x14ac:dyDescent="0.2">
      <c r="A44" s="4" t="s">
        <v>451</v>
      </c>
      <c r="B44" s="4" t="s">
        <v>121</v>
      </c>
      <c r="C44" s="4" t="s">
        <v>219</v>
      </c>
      <c r="D44" s="4" t="s">
        <v>220</v>
      </c>
      <c r="E44" s="4">
        <v>-1</v>
      </c>
      <c r="F44" s="4">
        <v>28.11</v>
      </c>
      <c r="G44" s="4">
        <v>21.392299999999999</v>
      </c>
      <c r="H44" s="4" t="s">
        <v>221</v>
      </c>
    </row>
    <row r="45" spans="1:12" s="4" customFormat="1" ht="14.25" x14ac:dyDescent="0.2">
      <c r="A45" s="4" t="s">
        <v>452</v>
      </c>
      <c r="B45" s="4" t="s">
        <v>122</v>
      </c>
      <c r="C45" s="4" t="s">
        <v>222</v>
      </c>
      <c r="D45" s="4" t="s">
        <v>223</v>
      </c>
      <c r="E45" s="4">
        <v>-1</v>
      </c>
      <c r="F45" s="4">
        <v>28.69</v>
      </c>
      <c r="G45" s="4">
        <v>21.002199999999998</v>
      </c>
      <c r="H45" s="4" t="s">
        <v>224</v>
      </c>
    </row>
    <row r="46" spans="1:12" s="4" customFormat="1" ht="14.25" x14ac:dyDescent="0.2">
      <c r="A46" s="4" t="s">
        <v>453</v>
      </c>
      <c r="B46" s="4" t="s">
        <v>122</v>
      </c>
      <c r="C46" s="4" t="s">
        <v>225</v>
      </c>
      <c r="D46" s="4" t="s">
        <v>226</v>
      </c>
      <c r="E46" s="4">
        <v>-1</v>
      </c>
      <c r="F46" s="4">
        <v>28.54</v>
      </c>
      <c r="G46" s="4">
        <v>21.002199999999998</v>
      </c>
      <c r="H46" s="4" t="s">
        <v>227</v>
      </c>
    </row>
    <row r="47" spans="1:12" s="4" customFormat="1" ht="14.25" x14ac:dyDescent="0.2">
      <c r="A47" s="4" t="s">
        <v>228</v>
      </c>
      <c r="B47" s="4" t="s">
        <v>123</v>
      </c>
      <c r="C47" s="4" t="s">
        <v>229</v>
      </c>
      <c r="D47" s="4" t="s">
        <v>230</v>
      </c>
      <c r="E47" s="4">
        <v>-1</v>
      </c>
      <c r="F47" s="4">
        <v>29.3</v>
      </c>
      <c r="G47" s="4">
        <v>20.612100000000002</v>
      </c>
      <c r="H47" s="4" t="s">
        <v>231</v>
      </c>
    </row>
    <row r="48" spans="1:12" s="4" customFormat="1" ht="14.25" x14ac:dyDescent="0.2">
      <c r="A48" s="4" t="s">
        <v>232</v>
      </c>
      <c r="B48" s="4" t="s">
        <v>124</v>
      </c>
      <c r="C48" s="4" t="s">
        <v>233</v>
      </c>
      <c r="D48" s="4" t="s">
        <v>234</v>
      </c>
      <c r="E48" s="4">
        <v>-1</v>
      </c>
      <c r="F48" s="4">
        <v>29.51</v>
      </c>
      <c r="G48" s="4">
        <v>20.222000000000001</v>
      </c>
      <c r="H48" s="4" t="s">
        <v>235</v>
      </c>
    </row>
    <row r="49" spans="1:15" s="4" customFormat="1" ht="14.25" x14ac:dyDescent="0.2">
      <c r="A49" s="4" t="s">
        <v>236</v>
      </c>
      <c r="B49" s="4" t="s">
        <v>121</v>
      </c>
      <c r="C49" s="4" t="s">
        <v>237</v>
      </c>
      <c r="D49" s="4" t="s">
        <v>238</v>
      </c>
      <c r="E49" s="4">
        <v>-1</v>
      </c>
      <c r="F49" s="4">
        <v>28.13</v>
      </c>
      <c r="G49" s="4">
        <v>21.5364</v>
      </c>
      <c r="H49" s="4" t="s">
        <v>239</v>
      </c>
    </row>
    <row r="50" spans="1:15" s="4" customFormat="1" ht="14.25" x14ac:dyDescent="0.2">
      <c r="N50"/>
      <c r="O50"/>
    </row>
    <row r="51" spans="1:15" s="4" customFormat="1" ht="14.25" x14ac:dyDescent="0.2">
      <c r="N51"/>
      <c r="O51"/>
    </row>
    <row r="52" spans="1:15" s="4" customFormat="1" ht="14.25" x14ac:dyDescent="0.2">
      <c r="N52"/>
      <c r="O52"/>
    </row>
    <row r="53" spans="1:15" s="4" customFormat="1" ht="14.25" x14ac:dyDescent="0.2">
      <c r="N53"/>
      <c r="O53"/>
    </row>
    <row r="54" spans="1:15" s="4" customFormat="1" ht="14.25" x14ac:dyDescent="0.2">
      <c r="N54"/>
      <c r="O54"/>
    </row>
    <row r="55" spans="1:15" s="4" customFormat="1" ht="14.25" x14ac:dyDescent="0.2">
      <c r="N55"/>
      <c r="O55"/>
    </row>
    <row r="56" spans="1:15" s="4" customFormat="1" ht="14.25" x14ac:dyDescent="0.2">
      <c r="N56"/>
      <c r="O56"/>
    </row>
    <row r="57" spans="1:15" s="4" customFormat="1" ht="14.25" x14ac:dyDescent="0.2">
      <c r="N57"/>
      <c r="O57"/>
    </row>
    <row r="58" spans="1:15" s="4" customFormat="1" ht="14.25" x14ac:dyDescent="0.2">
      <c r="N58"/>
      <c r="O58"/>
    </row>
    <row r="59" spans="1:15" s="4" customFormat="1" ht="14.25" x14ac:dyDescent="0.2">
      <c r="N59"/>
      <c r="O59"/>
    </row>
    <row r="60" spans="1:15" s="4" customFormat="1" ht="14.25" x14ac:dyDescent="0.2">
      <c r="L60" s="38"/>
      <c r="N60"/>
      <c r="O60"/>
    </row>
    <row r="61" spans="1:15" s="4" customFormat="1" ht="14.25" x14ac:dyDescent="0.2">
      <c r="N61"/>
      <c r="O61"/>
    </row>
    <row r="62" spans="1:15" s="4" customFormat="1" ht="14.25" x14ac:dyDescent="0.2">
      <c r="N62"/>
      <c r="O62"/>
    </row>
    <row r="63" spans="1:15" s="4" customFormat="1" ht="14.25" x14ac:dyDescent="0.2">
      <c r="N63"/>
      <c r="O63"/>
    </row>
    <row r="64" spans="1:15" s="4" customFormat="1" ht="14.25" x14ac:dyDescent="0.2">
      <c r="N64"/>
      <c r="O64"/>
    </row>
    <row r="65" spans="13:17" s="4" customFormat="1" ht="14.25" x14ac:dyDescent="0.2">
      <c r="N65"/>
      <c r="O65"/>
    </row>
    <row r="66" spans="13:17" s="4" customFormat="1" ht="14.25" x14ac:dyDescent="0.2">
      <c r="N66"/>
      <c r="O66"/>
    </row>
    <row r="67" spans="13:17" s="4" customFormat="1" ht="14.25" x14ac:dyDescent="0.2">
      <c r="N67"/>
      <c r="O67"/>
    </row>
    <row r="68" spans="13:17" s="4" customFormat="1" ht="14.25" x14ac:dyDescent="0.2">
      <c r="N68"/>
      <c r="O68"/>
    </row>
    <row r="69" spans="13:17" s="4" customFormat="1" ht="14.25" x14ac:dyDescent="0.2">
      <c r="N69"/>
      <c r="O69"/>
    </row>
    <row r="70" spans="13:17" s="4" customFormat="1" ht="14.25" x14ac:dyDescent="0.2">
      <c r="N70"/>
      <c r="O70"/>
    </row>
    <row r="71" spans="13:17" s="4" customFormat="1" ht="14.25" x14ac:dyDescent="0.2">
      <c r="N71"/>
      <c r="O71"/>
    </row>
    <row r="72" spans="13:17" s="4" customFormat="1" ht="14.25" x14ac:dyDescent="0.2">
      <c r="N72"/>
      <c r="O72"/>
    </row>
    <row r="73" spans="13:17" s="4" customFormat="1" ht="14.25" x14ac:dyDescent="0.2">
      <c r="N73"/>
      <c r="O73"/>
    </row>
    <row r="74" spans="13:17" s="4" customFormat="1" ht="14.25" x14ac:dyDescent="0.2">
      <c r="N74"/>
      <c r="O74"/>
    </row>
    <row r="75" spans="13:17" s="4" customFormat="1" ht="14.25" x14ac:dyDescent="0.2">
      <c r="N75"/>
      <c r="O75"/>
    </row>
    <row r="76" spans="13:17" s="4" customFormat="1" ht="14.25" x14ac:dyDescent="0.2">
      <c r="N76"/>
      <c r="O76"/>
    </row>
    <row r="77" spans="13:17" s="4" customFormat="1" ht="14.25" x14ac:dyDescent="0.2">
      <c r="N77"/>
      <c r="O77"/>
    </row>
    <row r="78" spans="13:17" s="4" customFormat="1" ht="14.25" x14ac:dyDescent="0.2">
      <c r="N78"/>
      <c r="O78"/>
    </row>
    <row r="79" spans="13:17" s="4" customFormat="1" ht="14.25" x14ac:dyDescent="0.2">
      <c r="M79"/>
      <c r="N79"/>
      <c r="O79"/>
      <c r="P79"/>
      <c r="Q79"/>
    </row>
    <row r="80" spans="13:17" s="4" customFormat="1" ht="14.25" x14ac:dyDescent="0.2">
      <c r="M80"/>
      <c r="N80"/>
      <c r="O80"/>
      <c r="P80"/>
      <c r="Q80"/>
    </row>
  </sheetData>
  <phoneticPr fontId="8" type="noConversion"/>
  <pageMargins left="0.75" right="0.75" top="1" bottom="1" header="0.5" footer="0.5"/>
  <pageSetup orientation="portrait" horizontalDpi="120" verticalDpi="72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5F3A0-2285-4062-80C2-3C617C023B04}">
  <dimension ref="A1"/>
  <sheetViews>
    <sheetView workbookViewId="0"/>
  </sheetViews>
  <sheetFormatPr defaultRowHeight="12.75" x14ac:dyDescent="0.2"/>
  <sheetData/>
  <phoneticPr fontId="1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5"/>
  <dimension ref="A1:B3"/>
  <sheetViews>
    <sheetView zoomScaleNormal="100" workbookViewId="0">
      <selection activeCell="G17" sqref="G17"/>
    </sheetView>
  </sheetViews>
  <sheetFormatPr defaultRowHeight="12.75" x14ac:dyDescent="0.2"/>
  <cols>
    <col min="1" max="1" width="8.42578125" customWidth="1"/>
    <col min="2" max="2" width="6" customWidth="1"/>
    <col min="3" max="3" width="21.5703125" customWidth="1"/>
    <col min="4" max="4" width="5.140625" customWidth="1"/>
    <col min="5" max="5" width="9.85546875" customWidth="1"/>
    <col min="6" max="6" width="3.42578125" customWidth="1"/>
  </cols>
  <sheetData>
    <row r="1" spans="1:2" s="3" customFormat="1" ht="14.25" x14ac:dyDescent="0.2">
      <c r="A1" s="3">
        <v>4</v>
      </c>
      <c r="B1" s="3" t="s">
        <v>250</v>
      </c>
    </row>
    <row r="2" spans="1:2" s="3" customFormat="1" ht="14.25" x14ac:dyDescent="0.2">
      <c r="A2" s="3">
        <f t="shared" ref="A2:A3" ca="1" si="0">_xlfn.IFNA(_xlfn.SHEET(B2&amp;B$1),0)</f>
        <v>5</v>
      </c>
      <c r="B2" s="3" t="s">
        <v>400</v>
      </c>
    </row>
    <row r="3" spans="1:2" s="3" customFormat="1" ht="14.25" x14ac:dyDescent="0.2">
      <c r="A3" s="3">
        <f t="shared" ca="1" si="0"/>
        <v>6</v>
      </c>
      <c r="B3" s="3" t="s">
        <v>401</v>
      </c>
    </row>
  </sheetData>
  <phoneticPr fontId="8" type="noConversion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BBE11-0F5C-4DA5-8C62-E7DD7CE7694B}">
  <sheetPr codeName="Sheet4"/>
  <dimension ref="A1:LV68"/>
  <sheetViews>
    <sheetView zoomScaleNormal="100" workbookViewId="0">
      <pane ySplit="6" topLeftCell="A7" activePane="bottomLeft" state="frozen"/>
      <selection activeCell="J3" sqref="J3"/>
      <selection pane="bottomLeft" activeCell="J16" sqref="J16"/>
    </sheetView>
  </sheetViews>
  <sheetFormatPr defaultRowHeight="12.75" x14ac:dyDescent="0.2"/>
  <cols>
    <col min="1" max="1" width="6.140625" bestFit="1" customWidth="1"/>
    <col min="2" max="2" width="10.85546875" bestFit="1" customWidth="1"/>
    <col min="3" max="3" width="6.5703125" bestFit="1" customWidth="1"/>
    <col min="4" max="4" width="8.85546875" bestFit="1" customWidth="1"/>
    <col min="5" max="5" width="7.42578125" bestFit="1" customWidth="1"/>
    <col min="6" max="6" width="6.42578125" bestFit="1" customWidth="1"/>
    <col min="7" max="7" width="9.28515625" bestFit="1" customWidth="1"/>
    <col min="8" max="8" width="5.42578125" bestFit="1" customWidth="1"/>
    <col min="9" max="10" width="7.140625" bestFit="1" customWidth="1"/>
    <col min="11" max="11" width="9.85546875" bestFit="1" customWidth="1"/>
    <col min="12" max="12" width="7.28515625" bestFit="1" customWidth="1"/>
    <col min="13" max="13" width="11.85546875" bestFit="1" customWidth="1"/>
    <col min="14" max="14" width="6.5703125" bestFit="1" customWidth="1"/>
    <col min="15" max="16" width="5.42578125" bestFit="1" customWidth="1"/>
    <col min="17" max="18" width="6.7109375" bestFit="1" customWidth="1"/>
    <col min="19" max="19" width="14.42578125" bestFit="1" customWidth="1"/>
    <col min="20" max="20" width="18.140625" bestFit="1" customWidth="1"/>
    <col min="21" max="21" width="18.5703125" bestFit="1" customWidth="1"/>
    <col min="22" max="22" width="18.140625" bestFit="1" customWidth="1"/>
    <col min="23" max="23" width="18.5703125" bestFit="1" customWidth="1"/>
    <col min="24" max="24" width="12.140625" bestFit="1" customWidth="1"/>
    <col min="25" max="25" width="13.7109375" bestFit="1" customWidth="1"/>
    <col min="26" max="26" width="10.5703125" bestFit="1" customWidth="1"/>
    <col min="27" max="27" width="13.7109375" bestFit="1" customWidth="1"/>
    <col min="28" max="28" width="10.5703125" bestFit="1" customWidth="1"/>
    <col min="29" max="29" width="23.140625" bestFit="1" customWidth="1"/>
    <col min="30" max="35" width="11.85546875" bestFit="1" customWidth="1"/>
    <col min="36" max="36" width="10.5703125" bestFit="1" customWidth="1"/>
    <col min="37" max="37" width="12.85546875" bestFit="1" customWidth="1"/>
    <col min="38" max="39" width="14" bestFit="1" customWidth="1"/>
    <col min="40" max="40" width="21.140625" bestFit="1" customWidth="1"/>
    <col min="41" max="44" width="22.140625" bestFit="1" customWidth="1"/>
    <col min="45" max="45" width="23.5703125" bestFit="1" customWidth="1"/>
    <col min="46" max="46" width="24.5703125" bestFit="1" customWidth="1"/>
    <col min="47" max="47" width="10.5703125" bestFit="1" customWidth="1"/>
    <col min="48" max="48" width="12.85546875" bestFit="1" customWidth="1"/>
    <col min="49" max="49" width="10.5703125" bestFit="1" customWidth="1"/>
    <col min="50" max="50" width="12.85546875" bestFit="1" customWidth="1"/>
    <col min="51" max="52" width="14" bestFit="1" customWidth="1"/>
    <col min="53" max="53" width="21.140625" bestFit="1" customWidth="1"/>
    <col min="54" max="57" width="22.140625" bestFit="1" customWidth="1"/>
    <col min="58" max="58" width="23.5703125" bestFit="1" customWidth="1"/>
    <col min="59" max="59" width="24.5703125" bestFit="1" customWidth="1"/>
    <col min="60" max="60" width="10.5703125" bestFit="1" customWidth="1"/>
    <col min="61" max="61" width="12.85546875" bestFit="1" customWidth="1"/>
    <col min="62" max="69" width="9.42578125" bestFit="1" customWidth="1"/>
    <col min="70" max="121" width="10.5703125" bestFit="1" customWidth="1"/>
    <col min="122" max="129" width="9.42578125" bestFit="1" customWidth="1"/>
    <col min="130" max="181" width="10.5703125" bestFit="1" customWidth="1"/>
    <col min="182" max="182" width="23.140625" bestFit="1" customWidth="1"/>
    <col min="183" max="188" width="11" bestFit="1" customWidth="1"/>
    <col min="189" max="189" width="9.85546875" bestFit="1" customWidth="1"/>
    <col min="190" max="190" width="12.85546875" bestFit="1" customWidth="1"/>
    <col min="191" max="192" width="14" bestFit="1" customWidth="1"/>
    <col min="193" max="193" width="21.140625" bestFit="1" customWidth="1"/>
    <col min="194" max="197" width="22.140625" bestFit="1" customWidth="1"/>
    <col min="198" max="198" width="23.5703125" bestFit="1" customWidth="1"/>
    <col min="199" max="199" width="24.5703125" bestFit="1" customWidth="1"/>
    <col min="200" max="200" width="9.85546875" bestFit="1" customWidth="1"/>
    <col min="201" max="201" width="12.85546875" bestFit="1" customWidth="1"/>
    <col min="202" max="202" width="9.85546875" bestFit="1" customWidth="1"/>
    <col min="203" max="203" width="12.85546875" bestFit="1" customWidth="1"/>
    <col min="204" max="205" width="14" bestFit="1" customWidth="1"/>
    <col min="206" max="206" width="21.140625" bestFit="1" customWidth="1"/>
    <col min="207" max="210" width="22.140625" bestFit="1" customWidth="1"/>
    <col min="211" max="211" width="23.5703125" bestFit="1" customWidth="1"/>
    <col min="212" max="212" width="24.5703125" bestFit="1" customWidth="1"/>
    <col min="213" max="213" width="9.85546875" bestFit="1" customWidth="1"/>
    <col min="214" max="214" width="12.85546875" bestFit="1" customWidth="1"/>
    <col min="215" max="222" width="9.42578125" bestFit="1" customWidth="1"/>
    <col min="223" max="223" width="10.5703125" bestFit="1" customWidth="1"/>
    <col min="224" max="274" width="10.42578125" bestFit="1" customWidth="1"/>
    <col min="275" max="282" width="9.42578125" bestFit="1" customWidth="1"/>
    <col min="283" max="283" width="10.5703125" bestFit="1" customWidth="1"/>
    <col min="284" max="334" width="10.42578125" bestFit="1" customWidth="1"/>
  </cols>
  <sheetData>
    <row r="1" spans="1:334" s="4" customFormat="1" ht="14.25" x14ac:dyDescent="0.2">
      <c r="A1" s="4" t="s">
        <v>16</v>
      </c>
      <c r="B1" s="4">
        <f>(COUNTA(6:6)-28)/2</f>
        <v>153</v>
      </c>
    </row>
    <row r="2" spans="1:334" s="4" customFormat="1" ht="14.25" x14ac:dyDescent="0.2">
      <c r="A2" s="4" t="s">
        <v>472</v>
      </c>
      <c r="B2" s="4" t="s">
        <v>37</v>
      </c>
      <c r="C2" s="4" t="str">
        <f>VLOOKUP(B2,Statistics!M:P,2,FALSE)</f>
        <v>Yoshinaga, M. Y., et al. (2011). "Systematic fragmentation patterns of archaeal intact polar lipids by high-performance liquid chromatography/electrospray ionization ion-trap mass spectrometry." Rapid Communications in Mass Spectrometry 25(23): 3563-3574.</v>
      </c>
    </row>
    <row r="3" spans="1:334" s="4" customFormat="1" ht="14.25" x14ac:dyDescent="0.2">
      <c r="A3" s="4" t="s">
        <v>473</v>
      </c>
      <c r="B3" s="4" t="s">
        <v>471</v>
      </c>
      <c r="X3"/>
      <c r="Y3"/>
      <c r="Z3"/>
      <c r="AA3"/>
      <c r="AB3"/>
      <c r="AC3"/>
      <c r="AD3"/>
      <c r="AE3"/>
      <c r="AF3"/>
      <c r="AG3"/>
      <c r="AH3"/>
      <c r="AI3"/>
      <c r="AJ3"/>
      <c r="AK3"/>
    </row>
    <row r="4" spans="1:334" s="4" customFormat="1" ht="14.25" x14ac:dyDescent="0.2">
      <c r="X4"/>
      <c r="Y4"/>
      <c r="Z4"/>
      <c r="AA4"/>
      <c r="AB4"/>
      <c r="AC4"/>
      <c r="AD4"/>
      <c r="AE4"/>
      <c r="AF4"/>
      <c r="AG4"/>
      <c r="AH4"/>
      <c r="AI4"/>
      <c r="AJ4"/>
      <c r="AK4"/>
    </row>
    <row r="5" spans="1:334" s="4" customFormat="1" ht="14.25" x14ac:dyDescent="0.2">
      <c r="D5" s="4" t="str">
        <f>VLOOKUP(B2,Statistics!M:P,4,FALSE)</f>
        <v>C6H12O6</v>
      </c>
      <c r="E5" s="5"/>
      <c r="F5" s="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M5" s="6"/>
      <c r="AN5" s="6"/>
      <c r="AO5" s="6"/>
      <c r="AP5" s="6"/>
      <c r="AQ5" s="6"/>
      <c r="AR5" s="6"/>
      <c r="AS5" s="6"/>
      <c r="AT5" s="6"/>
      <c r="AU5" s="6"/>
      <c r="FZ5" s="6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/>
      <c r="HH5" s="6"/>
      <c r="HI5" s="6"/>
      <c r="HJ5" s="6"/>
      <c r="HK5" s="6"/>
      <c r="HL5" s="6"/>
      <c r="HM5" s="6"/>
      <c r="HN5" s="6"/>
      <c r="HO5" s="6"/>
      <c r="HP5" s="6"/>
      <c r="HQ5" s="6"/>
      <c r="HR5" s="6"/>
      <c r="HS5" s="6"/>
      <c r="HT5" s="6"/>
      <c r="HU5" s="6"/>
      <c r="HV5" s="6"/>
      <c r="HW5" s="6"/>
      <c r="HX5" s="6"/>
      <c r="HY5" s="6"/>
      <c r="HZ5" s="6"/>
      <c r="IA5" s="6"/>
      <c r="IB5" s="6"/>
      <c r="IC5" s="6"/>
      <c r="ID5" s="6"/>
      <c r="IE5" s="6"/>
      <c r="IF5" s="6"/>
      <c r="IG5" s="6"/>
      <c r="IH5" s="6"/>
      <c r="II5" s="6"/>
      <c r="IJ5" s="6"/>
      <c r="IK5" s="6"/>
      <c r="IL5" s="6"/>
      <c r="IM5" s="6"/>
      <c r="IN5" s="6"/>
      <c r="IO5" s="6"/>
      <c r="IP5" s="6"/>
      <c r="IQ5" s="6"/>
      <c r="IR5" s="6"/>
      <c r="IS5" s="6"/>
      <c r="IT5" s="6"/>
      <c r="IU5" s="6"/>
      <c r="IV5" s="6"/>
      <c r="IW5" s="6"/>
      <c r="IX5" s="6"/>
      <c r="IY5" s="6"/>
      <c r="IZ5" s="6"/>
      <c r="JA5" s="6"/>
      <c r="JB5" s="6"/>
      <c r="JC5" s="6"/>
      <c r="JD5" s="6"/>
      <c r="JE5" s="6"/>
      <c r="JF5" s="6"/>
      <c r="JG5" s="6"/>
      <c r="JH5" s="6"/>
      <c r="JI5" s="6"/>
      <c r="JJ5" s="6"/>
      <c r="JK5" s="6"/>
      <c r="JL5" s="6"/>
      <c r="JM5" s="6"/>
      <c r="JN5" s="6"/>
      <c r="JO5" s="6"/>
      <c r="JP5" s="6"/>
      <c r="JQ5" s="6"/>
      <c r="JR5" s="6"/>
      <c r="JS5" s="6"/>
      <c r="JT5" s="6"/>
      <c r="JU5" s="6"/>
      <c r="JV5" s="6"/>
      <c r="JW5" s="6"/>
      <c r="JX5" s="6"/>
      <c r="JY5" s="6"/>
      <c r="JZ5" s="6"/>
      <c r="KA5" s="6"/>
      <c r="KB5" s="6"/>
      <c r="KC5" s="6"/>
      <c r="KD5" s="6"/>
      <c r="KE5" s="6"/>
      <c r="KF5" s="6"/>
      <c r="KG5" s="6"/>
      <c r="KH5" s="6"/>
      <c r="KI5" s="6"/>
      <c r="KJ5" s="6"/>
      <c r="KK5" s="6"/>
      <c r="KL5" s="6"/>
      <c r="KM5" s="6"/>
      <c r="KN5" s="6"/>
      <c r="KO5" s="6"/>
      <c r="KP5" s="6"/>
      <c r="KQ5" s="6"/>
      <c r="KR5" s="6"/>
      <c r="KS5" s="6"/>
      <c r="KT5" s="6"/>
      <c r="KU5" s="6"/>
      <c r="KV5" s="6"/>
      <c r="KW5" s="6"/>
      <c r="KX5" s="6"/>
      <c r="KY5" s="6"/>
      <c r="KZ5" s="6"/>
      <c r="LA5" s="6"/>
      <c r="LB5" s="6"/>
      <c r="LC5" s="6"/>
      <c r="LD5" s="6"/>
      <c r="LE5" s="6"/>
      <c r="LF5" s="6"/>
      <c r="LG5" s="6"/>
      <c r="LH5" s="6"/>
      <c r="LI5" s="6"/>
      <c r="LJ5" s="6"/>
      <c r="LK5" s="6"/>
      <c r="LL5" s="6"/>
      <c r="LM5" s="6"/>
      <c r="LN5" s="6"/>
      <c r="LO5" s="6"/>
      <c r="LP5" s="6"/>
      <c r="LQ5" s="6"/>
      <c r="LR5" s="6"/>
      <c r="LS5" s="6"/>
      <c r="LT5" s="6"/>
      <c r="LU5" s="6"/>
      <c r="LV5" s="6"/>
    </row>
    <row r="6" spans="1:334" s="15" customFormat="1" ht="15" x14ac:dyDescent="0.2">
      <c r="A6" s="7" t="s">
        <v>6</v>
      </c>
      <c r="B6" s="8" t="s">
        <v>7</v>
      </c>
      <c r="C6" s="7" t="s">
        <v>15</v>
      </c>
      <c r="D6" s="7" t="s">
        <v>32</v>
      </c>
      <c r="E6" s="7" t="s">
        <v>14</v>
      </c>
      <c r="F6" s="9" t="s">
        <v>461</v>
      </c>
      <c r="G6" s="10" t="s">
        <v>462</v>
      </c>
      <c r="H6" s="9" t="s">
        <v>463</v>
      </c>
      <c r="I6" s="9" t="s">
        <v>464</v>
      </c>
      <c r="J6" s="10" t="s">
        <v>21</v>
      </c>
      <c r="K6" s="9" t="s">
        <v>465</v>
      </c>
      <c r="L6" s="11" t="s">
        <v>23</v>
      </c>
      <c r="M6" s="7" t="s">
        <v>405</v>
      </c>
      <c r="N6" s="7" t="s">
        <v>22</v>
      </c>
      <c r="O6" s="7" t="s">
        <v>17</v>
      </c>
      <c r="P6" s="7" t="s">
        <v>18</v>
      </c>
      <c r="Q6" s="7" t="s">
        <v>43</v>
      </c>
      <c r="R6" s="7" t="s">
        <v>44</v>
      </c>
      <c r="S6" s="7" t="s">
        <v>240</v>
      </c>
      <c r="T6" s="7" t="s">
        <v>10</v>
      </c>
      <c r="U6" s="7" t="s">
        <v>12</v>
      </c>
      <c r="V6" s="7" t="s">
        <v>11</v>
      </c>
      <c r="W6" s="7" t="s">
        <v>13</v>
      </c>
      <c r="X6" s="7" t="s">
        <v>0</v>
      </c>
      <c r="Y6" s="12" t="s">
        <v>2</v>
      </c>
      <c r="Z6" s="12" t="s">
        <v>4</v>
      </c>
      <c r="AA6" s="12" t="s">
        <v>3</v>
      </c>
      <c r="AB6" s="12" t="s">
        <v>5</v>
      </c>
      <c r="AC6" s="13" t="s">
        <v>1</v>
      </c>
      <c r="AD6" s="14" t="s">
        <v>34</v>
      </c>
      <c r="AE6" s="14" t="s">
        <v>35</v>
      </c>
      <c r="AF6" s="14" t="s">
        <v>45</v>
      </c>
      <c r="AG6" s="14" t="s">
        <v>46</v>
      </c>
      <c r="AH6" s="14" t="s">
        <v>47</v>
      </c>
      <c r="AI6" s="14" t="s">
        <v>72</v>
      </c>
      <c r="AJ6" s="14" t="s">
        <v>48</v>
      </c>
      <c r="AK6" s="14" t="s">
        <v>49</v>
      </c>
      <c r="AL6" s="14" t="s">
        <v>51</v>
      </c>
      <c r="AM6" s="14" t="s">
        <v>50</v>
      </c>
      <c r="AN6" s="14" t="s">
        <v>52</v>
      </c>
      <c r="AO6" s="14" t="s">
        <v>53</v>
      </c>
      <c r="AP6" s="14" t="s">
        <v>54</v>
      </c>
      <c r="AQ6" s="14" t="s">
        <v>55</v>
      </c>
      <c r="AR6" s="14" t="s">
        <v>466</v>
      </c>
      <c r="AS6" s="14" t="s">
        <v>57</v>
      </c>
      <c r="AT6" s="14" t="s">
        <v>58</v>
      </c>
      <c r="AU6" s="14" t="s">
        <v>56</v>
      </c>
      <c r="AV6" s="14" t="s">
        <v>59</v>
      </c>
      <c r="AW6" s="14" t="s">
        <v>60</v>
      </c>
      <c r="AX6" s="14" t="s">
        <v>61</v>
      </c>
      <c r="AY6" s="14" t="s">
        <v>62</v>
      </c>
      <c r="AZ6" s="14" t="s">
        <v>63</v>
      </c>
      <c r="BA6" s="14" t="s">
        <v>64</v>
      </c>
      <c r="BB6" s="14" t="s">
        <v>65</v>
      </c>
      <c r="BC6" s="14" t="s">
        <v>66</v>
      </c>
      <c r="BD6" s="14" t="s">
        <v>67</v>
      </c>
      <c r="BE6" s="14" t="s">
        <v>467</v>
      </c>
      <c r="BF6" s="14" t="s">
        <v>68</v>
      </c>
      <c r="BG6" s="14" t="s">
        <v>69</v>
      </c>
      <c r="BH6" s="14" t="s">
        <v>252</v>
      </c>
      <c r="BI6" s="14" t="s">
        <v>71</v>
      </c>
      <c r="BJ6" s="14" t="s">
        <v>251</v>
      </c>
      <c r="BK6" s="14" t="s">
        <v>253</v>
      </c>
      <c r="BL6" s="14" t="s">
        <v>254</v>
      </c>
      <c r="BM6" s="14" t="s">
        <v>255</v>
      </c>
      <c r="BN6" s="14" t="s">
        <v>256</v>
      </c>
      <c r="BO6" s="14" t="s">
        <v>257</v>
      </c>
      <c r="BP6" s="14" t="s">
        <v>258</v>
      </c>
      <c r="BQ6" s="14" t="s">
        <v>259</v>
      </c>
      <c r="BR6" s="14" t="s">
        <v>260</v>
      </c>
      <c r="BS6" s="14" t="s">
        <v>261</v>
      </c>
      <c r="BT6" s="14" t="s">
        <v>262</v>
      </c>
      <c r="BU6" s="14" t="s">
        <v>263</v>
      </c>
      <c r="BV6" s="14" t="s">
        <v>264</v>
      </c>
      <c r="BW6" s="14" t="s">
        <v>265</v>
      </c>
      <c r="BX6" s="14" t="s">
        <v>266</v>
      </c>
      <c r="BY6" s="14" t="s">
        <v>267</v>
      </c>
      <c r="BZ6" s="14" t="s">
        <v>268</v>
      </c>
      <c r="CA6" s="14" t="s">
        <v>269</v>
      </c>
      <c r="CB6" s="14" t="s">
        <v>270</v>
      </c>
      <c r="CC6" s="14" t="s">
        <v>271</v>
      </c>
      <c r="CD6" s="14" t="s">
        <v>272</v>
      </c>
      <c r="CE6" s="14" t="s">
        <v>273</v>
      </c>
      <c r="CF6" s="14" t="s">
        <v>274</v>
      </c>
      <c r="CG6" s="14" t="s">
        <v>275</v>
      </c>
      <c r="CH6" s="14" t="s">
        <v>276</v>
      </c>
      <c r="CI6" s="14" t="s">
        <v>277</v>
      </c>
      <c r="CJ6" s="14" t="s">
        <v>278</v>
      </c>
      <c r="CK6" s="14" t="s">
        <v>279</v>
      </c>
      <c r="CL6" s="14" t="s">
        <v>280</v>
      </c>
      <c r="CM6" s="14" t="s">
        <v>281</v>
      </c>
      <c r="CN6" s="14" t="s">
        <v>282</v>
      </c>
      <c r="CO6" s="14" t="s">
        <v>283</v>
      </c>
      <c r="CP6" s="14" t="s">
        <v>284</v>
      </c>
      <c r="CQ6" s="14" t="s">
        <v>285</v>
      </c>
      <c r="CR6" s="14" t="s">
        <v>286</v>
      </c>
      <c r="CS6" s="14" t="s">
        <v>287</v>
      </c>
      <c r="CT6" s="14" t="s">
        <v>288</v>
      </c>
      <c r="CU6" s="14" t="s">
        <v>289</v>
      </c>
      <c r="CV6" s="14" t="s">
        <v>290</v>
      </c>
      <c r="CW6" s="14" t="s">
        <v>291</v>
      </c>
      <c r="CX6" s="14" t="s">
        <v>292</v>
      </c>
      <c r="CY6" s="14" t="s">
        <v>293</v>
      </c>
      <c r="CZ6" s="14" t="s">
        <v>294</v>
      </c>
      <c r="DA6" s="14" t="s">
        <v>295</v>
      </c>
      <c r="DB6" s="14" t="s">
        <v>296</v>
      </c>
      <c r="DC6" s="14" t="s">
        <v>297</v>
      </c>
      <c r="DD6" s="14" t="s">
        <v>298</v>
      </c>
      <c r="DE6" s="14" t="s">
        <v>299</v>
      </c>
      <c r="DF6" s="14" t="s">
        <v>300</v>
      </c>
      <c r="DG6" s="14" t="s">
        <v>301</v>
      </c>
      <c r="DH6" s="14" t="s">
        <v>302</v>
      </c>
      <c r="DI6" s="14" t="s">
        <v>354</v>
      </c>
      <c r="DJ6" s="14" t="s">
        <v>355</v>
      </c>
      <c r="DK6" s="14" t="s">
        <v>356</v>
      </c>
      <c r="DL6" s="14" t="s">
        <v>357</v>
      </c>
      <c r="DM6" s="14" t="s">
        <v>358</v>
      </c>
      <c r="DN6" s="14" t="s">
        <v>359</v>
      </c>
      <c r="DO6" s="14" t="s">
        <v>360</v>
      </c>
      <c r="DP6" s="14" t="s">
        <v>361</v>
      </c>
      <c r="DQ6" s="14" t="s">
        <v>362</v>
      </c>
      <c r="DR6" s="14" t="s">
        <v>303</v>
      </c>
      <c r="DS6" s="14" t="s">
        <v>304</v>
      </c>
      <c r="DT6" s="14" t="s">
        <v>305</v>
      </c>
      <c r="DU6" s="14" t="s">
        <v>306</v>
      </c>
      <c r="DV6" s="14" t="s">
        <v>307</v>
      </c>
      <c r="DW6" s="14" t="s">
        <v>308</v>
      </c>
      <c r="DX6" s="14" t="s">
        <v>309</v>
      </c>
      <c r="DY6" s="14" t="s">
        <v>310</v>
      </c>
      <c r="DZ6" s="14" t="s">
        <v>311</v>
      </c>
      <c r="EA6" s="14" t="s">
        <v>312</v>
      </c>
      <c r="EB6" s="14" t="s">
        <v>313</v>
      </c>
      <c r="EC6" s="14" t="s">
        <v>314</v>
      </c>
      <c r="ED6" s="14" t="s">
        <v>315</v>
      </c>
      <c r="EE6" s="14" t="s">
        <v>316</v>
      </c>
      <c r="EF6" s="14" t="s">
        <v>317</v>
      </c>
      <c r="EG6" s="14" t="s">
        <v>318</v>
      </c>
      <c r="EH6" s="14" t="s">
        <v>319</v>
      </c>
      <c r="EI6" s="14" t="s">
        <v>320</v>
      </c>
      <c r="EJ6" s="14" t="s">
        <v>321</v>
      </c>
      <c r="EK6" s="14" t="s">
        <v>322</v>
      </c>
      <c r="EL6" s="14" t="s">
        <v>323</v>
      </c>
      <c r="EM6" s="14" t="s">
        <v>324</v>
      </c>
      <c r="EN6" s="14" t="s">
        <v>325</v>
      </c>
      <c r="EO6" s="14" t="s">
        <v>326</v>
      </c>
      <c r="EP6" s="14" t="s">
        <v>327</v>
      </c>
      <c r="EQ6" s="14" t="s">
        <v>328</v>
      </c>
      <c r="ER6" s="14" t="s">
        <v>329</v>
      </c>
      <c r="ES6" s="14" t="s">
        <v>330</v>
      </c>
      <c r="ET6" s="14" t="s">
        <v>331</v>
      </c>
      <c r="EU6" s="14" t="s">
        <v>332</v>
      </c>
      <c r="EV6" s="14" t="s">
        <v>333</v>
      </c>
      <c r="EW6" s="14" t="s">
        <v>334</v>
      </c>
      <c r="EX6" s="14" t="s">
        <v>335</v>
      </c>
      <c r="EY6" s="14" t="s">
        <v>336</v>
      </c>
      <c r="EZ6" s="14" t="s">
        <v>337</v>
      </c>
      <c r="FA6" s="14" t="s">
        <v>338</v>
      </c>
      <c r="FB6" s="14" t="s">
        <v>339</v>
      </c>
      <c r="FC6" s="14" t="s">
        <v>340</v>
      </c>
      <c r="FD6" s="14" t="s">
        <v>341</v>
      </c>
      <c r="FE6" s="14" t="s">
        <v>342</v>
      </c>
      <c r="FF6" s="14" t="s">
        <v>343</v>
      </c>
      <c r="FG6" s="14" t="s">
        <v>344</v>
      </c>
      <c r="FH6" s="14" t="s">
        <v>345</v>
      </c>
      <c r="FI6" s="14" t="s">
        <v>346</v>
      </c>
      <c r="FJ6" s="14" t="s">
        <v>347</v>
      </c>
      <c r="FK6" s="14" t="s">
        <v>348</v>
      </c>
      <c r="FL6" s="14" t="s">
        <v>349</v>
      </c>
      <c r="FM6" s="14" t="s">
        <v>350</v>
      </c>
      <c r="FN6" s="14" t="s">
        <v>351</v>
      </c>
      <c r="FO6" s="14" t="s">
        <v>352</v>
      </c>
      <c r="FP6" s="14" t="s">
        <v>353</v>
      </c>
      <c r="FQ6" s="14" t="s">
        <v>363</v>
      </c>
      <c r="FR6" s="14" t="s">
        <v>364</v>
      </c>
      <c r="FS6" s="14" t="s">
        <v>365</v>
      </c>
      <c r="FT6" s="14" t="s">
        <v>366</v>
      </c>
      <c r="FU6" s="14" t="s">
        <v>367</v>
      </c>
      <c r="FV6" s="14" t="s">
        <v>368</v>
      </c>
      <c r="FW6" s="14" t="s">
        <v>369</v>
      </c>
      <c r="FX6" s="14" t="s">
        <v>370</v>
      </c>
      <c r="FY6" s="14" t="s">
        <v>371</v>
      </c>
      <c r="FZ6" s="40" t="s">
        <v>474</v>
      </c>
      <c r="GA6" s="41" t="s">
        <v>475</v>
      </c>
      <c r="GB6" s="41" t="s">
        <v>476</v>
      </c>
      <c r="GC6" s="41" t="s">
        <v>477</v>
      </c>
      <c r="GD6" s="41" t="s">
        <v>483</v>
      </c>
      <c r="GE6" s="41" t="s">
        <v>480</v>
      </c>
      <c r="GF6" s="41" t="s">
        <v>485</v>
      </c>
      <c r="GG6" s="41" t="s">
        <v>495</v>
      </c>
      <c r="GH6" s="41" t="s">
        <v>496</v>
      </c>
      <c r="GI6" s="41" t="s">
        <v>497</v>
      </c>
      <c r="GJ6" s="41" t="s">
        <v>498</v>
      </c>
      <c r="GK6" s="41" t="s">
        <v>499</v>
      </c>
      <c r="GL6" s="41" t="s">
        <v>500</v>
      </c>
      <c r="GM6" s="41" t="s">
        <v>501</v>
      </c>
      <c r="GN6" s="41" t="s">
        <v>502</v>
      </c>
      <c r="GO6" s="41" t="s">
        <v>659</v>
      </c>
      <c r="GP6" s="41" t="s">
        <v>504</v>
      </c>
      <c r="GQ6" s="41" t="s">
        <v>505</v>
      </c>
      <c r="GR6" s="41" t="s">
        <v>506</v>
      </c>
      <c r="GS6" s="41" t="s">
        <v>507</v>
      </c>
      <c r="GT6" s="41" t="s">
        <v>517</v>
      </c>
      <c r="GU6" s="41" t="s">
        <v>518</v>
      </c>
      <c r="GV6" s="41" t="s">
        <v>519</v>
      </c>
      <c r="GW6" s="41" t="s">
        <v>520</v>
      </c>
      <c r="GX6" s="41" t="s">
        <v>521</v>
      </c>
      <c r="GY6" s="41" t="s">
        <v>522</v>
      </c>
      <c r="GZ6" s="41" t="s">
        <v>523</v>
      </c>
      <c r="HA6" s="41" t="s">
        <v>524</v>
      </c>
      <c r="HB6" s="41" t="s">
        <v>660</v>
      </c>
      <c r="HC6" s="41" t="s">
        <v>526</v>
      </c>
      <c r="HD6" s="41" t="s">
        <v>527</v>
      </c>
      <c r="HE6" s="41" t="s">
        <v>528</v>
      </c>
      <c r="HF6" s="41" t="s">
        <v>529</v>
      </c>
      <c r="HG6" s="41" t="s">
        <v>535</v>
      </c>
      <c r="HH6" s="41" t="s">
        <v>536</v>
      </c>
      <c r="HI6" s="41" t="s">
        <v>537</v>
      </c>
      <c r="HJ6" s="41" t="s">
        <v>538</v>
      </c>
      <c r="HK6" s="41" t="s">
        <v>539</v>
      </c>
      <c r="HL6" s="41" t="s">
        <v>540</v>
      </c>
      <c r="HM6" s="41" t="s">
        <v>541</v>
      </c>
      <c r="HN6" s="41" t="s">
        <v>542</v>
      </c>
      <c r="HO6" s="41" t="s">
        <v>543</v>
      </c>
      <c r="HP6" s="41" t="s">
        <v>544</v>
      </c>
      <c r="HQ6" s="41" t="s">
        <v>545</v>
      </c>
      <c r="HR6" s="41" t="s">
        <v>546</v>
      </c>
      <c r="HS6" s="41" t="s">
        <v>547</v>
      </c>
      <c r="HT6" s="41" t="s">
        <v>548</v>
      </c>
      <c r="HU6" s="41" t="s">
        <v>549</v>
      </c>
      <c r="HV6" s="41" t="s">
        <v>550</v>
      </c>
      <c r="HW6" s="41" t="s">
        <v>551</v>
      </c>
      <c r="HX6" s="41" t="s">
        <v>552</v>
      </c>
      <c r="HY6" s="41" t="s">
        <v>553</v>
      </c>
      <c r="HZ6" s="41" t="s">
        <v>554</v>
      </c>
      <c r="IA6" s="41" t="s">
        <v>555</v>
      </c>
      <c r="IB6" s="41" t="s">
        <v>556</v>
      </c>
      <c r="IC6" s="41" t="s">
        <v>557</v>
      </c>
      <c r="ID6" s="41" t="s">
        <v>558</v>
      </c>
      <c r="IE6" s="41" t="s">
        <v>559</v>
      </c>
      <c r="IF6" s="41" t="s">
        <v>560</v>
      </c>
      <c r="IG6" s="41" t="s">
        <v>561</v>
      </c>
      <c r="IH6" s="41" t="s">
        <v>562</v>
      </c>
      <c r="II6" s="41" t="s">
        <v>563</v>
      </c>
      <c r="IJ6" s="41" t="s">
        <v>564</v>
      </c>
      <c r="IK6" s="41" t="s">
        <v>565</v>
      </c>
      <c r="IL6" s="41" t="s">
        <v>566</v>
      </c>
      <c r="IM6" s="41" t="s">
        <v>567</v>
      </c>
      <c r="IN6" s="41" t="s">
        <v>568</v>
      </c>
      <c r="IO6" s="41" t="s">
        <v>569</v>
      </c>
      <c r="IP6" s="41" t="s">
        <v>570</v>
      </c>
      <c r="IQ6" s="41" t="s">
        <v>571</v>
      </c>
      <c r="IR6" s="41" t="s">
        <v>572</v>
      </c>
      <c r="IS6" s="41" t="s">
        <v>573</v>
      </c>
      <c r="IT6" s="41" t="s">
        <v>574</v>
      </c>
      <c r="IU6" s="41" t="s">
        <v>575</v>
      </c>
      <c r="IV6" s="41" t="s">
        <v>576</v>
      </c>
      <c r="IW6" s="41" t="s">
        <v>577</v>
      </c>
      <c r="IX6" s="41" t="s">
        <v>578</v>
      </c>
      <c r="IY6" s="41" t="s">
        <v>579</v>
      </c>
      <c r="IZ6" s="41" t="s">
        <v>580</v>
      </c>
      <c r="JA6" s="41" t="s">
        <v>581</v>
      </c>
      <c r="JB6" s="41" t="s">
        <v>582</v>
      </c>
      <c r="JC6" s="41" t="s">
        <v>583</v>
      </c>
      <c r="JD6" s="41" t="s">
        <v>584</v>
      </c>
      <c r="JE6" s="41" t="s">
        <v>585</v>
      </c>
      <c r="JF6" s="41" t="s">
        <v>586</v>
      </c>
      <c r="JG6" s="41" t="s">
        <v>587</v>
      </c>
      <c r="JH6" s="41" t="s">
        <v>588</v>
      </c>
      <c r="JI6" s="41" t="s">
        <v>589</v>
      </c>
      <c r="JJ6" s="41" t="s">
        <v>590</v>
      </c>
      <c r="JK6" s="41" t="s">
        <v>591</v>
      </c>
      <c r="JL6" s="41" t="s">
        <v>592</v>
      </c>
      <c r="JM6" s="41" t="s">
        <v>593</v>
      </c>
      <c r="JN6" s="41" t="s">
        <v>594</v>
      </c>
      <c r="JO6" s="41" t="s">
        <v>595</v>
      </c>
      <c r="JP6" s="41" t="s">
        <v>596</v>
      </c>
      <c r="JQ6" s="41" t="s">
        <v>597</v>
      </c>
      <c r="JR6" s="41" t="s">
        <v>598</v>
      </c>
      <c r="JS6" s="41" t="s">
        <v>599</v>
      </c>
      <c r="JT6" s="41" t="s">
        <v>600</v>
      </c>
      <c r="JU6" s="41" t="s">
        <v>601</v>
      </c>
      <c r="JV6" s="41" t="s">
        <v>602</v>
      </c>
      <c r="JW6" s="41" t="s">
        <v>603</v>
      </c>
      <c r="JX6" s="41" t="s">
        <v>604</v>
      </c>
      <c r="JY6" s="41" t="s">
        <v>605</v>
      </c>
      <c r="JZ6" s="41" t="s">
        <v>606</v>
      </c>
      <c r="KA6" s="41" t="s">
        <v>607</v>
      </c>
      <c r="KB6" s="41" t="s">
        <v>608</v>
      </c>
      <c r="KC6" s="41" t="s">
        <v>609</v>
      </c>
      <c r="KD6" s="41" t="s">
        <v>610</v>
      </c>
      <c r="KE6" s="41" t="s">
        <v>611</v>
      </c>
      <c r="KF6" s="41" t="s">
        <v>612</v>
      </c>
      <c r="KG6" s="41" t="s">
        <v>613</v>
      </c>
      <c r="KH6" s="41" t="s">
        <v>614</v>
      </c>
      <c r="KI6" s="41" t="s">
        <v>615</v>
      </c>
      <c r="KJ6" s="41" t="s">
        <v>616</v>
      </c>
      <c r="KK6" s="41" t="s">
        <v>617</v>
      </c>
      <c r="KL6" s="41" t="s">
        <v>618</v>
      </c>
      <c r="KM6" s="41" t="s">
        <v>619</v>
      </c>
      <c r="KN6" s="41" t="s">
        <v>620</v>
      </c>
      <c r="KO6" s="41" t="s">
        <v>621</v>
      </c>
      <c r="KP6" s="41" t="s">
        <v>622</v>
      </c>
      <c r="KQ6" s="41" t="s">
        <v>623</v>
      </c>
      <c r="KR6" s="41" t="s">
        <v>624</v>
      </c>
      <c r="KS6" s="41" t="s">
        <v>625</v>
      </c>
      <c r="KT6" s="41" t="s">
        <v>626</v>
      </c>
      <c r="KU6" s="41" t="s">
        <v>627</v>
      </c>
      <c r="KV6" s="41" t="s">
        <v>628</v>
      </c>
      <c r="KW6" s="41" t="s">
        <v>629</v>
      </c>
      <c r="KX6" s="41" t="s">
        <v>630</v>
      </c>
      <c r="KY6" s="41" t="s">
        <v>631</v>
      </c>
      <c r="KZ6" s="41" t="s">
        <v>632</v>
      </c>
      <c r="LA6" s="41" t="s">
        <v>633</v>
      </c>
      <c r="LB6" s="41" t="s">
        <v>634</v>
      </c>
      <c r="LC6" s="41" t="s">
        <v>635</v>
      </c>
      <c r="LD6" s="41" t="s">
        <v>636</v>
      </c>
      <c r="LE6" s="41" t="s">
        <v>637</v>
      </c>
      <c r="LF6" s="41" t="s">
        <v>638</v>
      </c>
      <c r="LG6" s="41" t="s">
        <v>639</v>
      </c>
      <c r="LH6" s="41" t="s">
        <v>640</v>
      </c>
      <c r="LI6" s="41" t="s">
        <v>641</v>
      </c>
      <c r="LJ6" s="41" t="s">
        <v>642</v>
      </c>
      <c r="LK6" s="41" t="s">
        <v>643</v>
      </c>
      <c r="LL6" s="41" t="s">
        <v>644</v>
      </c>
      <c r="LM6" s="41" t="s">
        <v>645</v>
      </c>
      <c r="LN6" s="41" t="s">
        <v>646</v>
      </c>
      <c r="LO6" s="41" t="s">
        <v>647</v>
      </c>
      <c r="LP6" s="41" t="s">
        <v>648</v>
      </c>
      <c r="LQ6" s="41" t="s">
        <v>649</v>
      </c>
      <c r="LR6" s="41" t="s">
        <v>650</v>
      </c>
      <c r="LS6" s="41" t="s">
        <v>651</v>
      </c>
      <c r="LT6" s="41" t="s">
        <v>652</v>
      </c>
      <c r="LU6" s="41" t="s">
        <v>657</v>
      </c>
      <c r="LV6" s="41" t="s">
        <v>658</v>
      </c>
    </row>
    <row r="7" spans="1:334" s="4" customFormat="1" ht="14.25" x14ac:dyDescent="0.2">
      <c r="A7" s="16">
        <v>1</v>
      </c>
      <c r="B7" s="17" t="s">
        <v>679</v>
      </c>
      <c r="C7" s="18" t="s">
        <v>38</v>
      </c>
      <c r="D7" s="18" t="s">
        <v>73</v>
      </c>
      <c r="E7" s="18" t="s">
        <v>38</v>
      </c>
      <c r="F7" s="19" t="s">
        <v>74</v>
      </c>
      <c r="G7" s="19" t="s">
        <v>75</v>
      </c>
      <c r="H7" s="20">
        <v>-1</v>
      </c>
      <c r="I7" s="21">
        <v>30.92</v>
      </c>
      <c r="J7" s="22">
        <v>26.130199999999999</v>
      </c>
      <c r="K7" s="20" t="s">
        <v>76</v>
      </c>
      <c r="L7" s="18">
        <v>0</v>
      </c>
      <c r="M7" s="18">
        <v>1</v>
      </c>
      <c r="N7" s="18" t="s">
        <v>38</v>
      </c>
      <c r="O7" s="23">
        <v>0</v>
      </c>
      <c r="P7" s="23">
        <v>0</v>
      </c>
      <c r="Q7" s="23">
        <v>0</v>
      </c>
      <c r="R7" s="23">
        <v>0</v>
      </c>
      <c r="S7" s="23">
        <v>0</v>
      </c>
      <c r="T7" s="23">
        <v>40</v>
      </c>
      <c r="U7" s="23">
        <v>0</v>
      </c>
      <c r="V7" s="23">
        <v>40</v>
      </c>
      <c r="W7" s="23">
        <v>0</v>
      </c>
      <c r="X7" s="18" t="s">
        <v>38</v>
      </c>
      <c r="Y7" s="17">
        <v>740.68979325600014</v>
      </c>
      <c r="Z7" s="17">
        <v>722.67923325600009</v>
      </c>
      <c r="AA7" s="17">
        <v>740.68979325600014</v>
      </c>
      <c r="AB7" s="17">
        <v>722.67923325600009</v>
      </c>
      <c r="AC7" s="17">
        <v>1302.3232132560001</v>
      </c>
      <c r="AD7" s="17">
        <v>1284.3126485720002</v>
      </c>
      <c r="AE7" s="17">
        <v>1266.3020838880002</v>
      </c>
      <c r="AF7" s="17">
        <v>1248.2915192040002</v>
      </c>
      <c r="AG7" s="17">
        <v>1228.2864338236002</v>
      </c>
      <c r="AH7" s="17">
        <v>1210.2758691396002</v>
      </c>
      <c r="AI7" s="17">
        <v>1118.2285250232003</v>
      </c>
      <c r="AJ7" s="17">
        <v>743.71286068000018</v>
      </c>
      <c r="AK7" s="17">
        <v>725.7022959960002</v>
      </c>
      <c r="AL7" s="17">
        <v>707.69173131200023</v>
      </c>
      <c r="AM7" s="17">
        <v>689.68116662800026</v>
      </c>
      <c r="AN7" s="17">
        <v>669.67608124760022</v>
      </c>
      <c r="AO7" s="17">
        <v>651.66551656360025</v>
      </c>
      <c r="AP7" s="17">
        <v>633.65495187960028</v>
      </c>
      <c r="AQ7" s="17">
        <v>615.6443871956003</v>
      </c>
      <c r="AR7" s="17">
        <v>597.63382251160033</v>
      </c>
      <c r="AS7" s="17">
        <v>613.64986649920024</v>
      </c>
      <c r="AT7" s="17">
        <v>595.63930181520027</v>
      </c>
      <c r="AU7" s="17">
        <v>557.60252757600006</v>
      </c>
      <c r="AV7" s="17">
        <v>575.61309226000003</v>
      </c>
      <c r="AW7" s="17">
        <v>743.71286068000018</v>
      </c>
      <c r="AX7" s="17">
        <v>725.7022959960002</v>
      </c>
      <c r="AY7" s="17">
        <v>707.69173131200023</v>
      </c>
      <c r="AZ7" s="17">
        <v>689.68116662800026</v>
      </c>
      <c r="BA7" s="17">
        <v>669.67608124760022</v>
      </c>
      <c r="BB7" s="17">
        <v>651.66551656360025</v>
      </c>
      <c r="BC7" s="17">
        <v>633.65495187960028</v>
      </c>
      <c r="BD7" s="17">
        <v>615.6443871956003</v>
      </c>
      <c r="BE7" s="17">
        <v>597.63382251160033</v>
      </c>
      <c r="BF7" s="17">
        <v>613.64986649920024</v>
      </c>
      <c r="BG7" s="17">
        <v>595.63930181520027</v>
      </c>
      <c r="BH7" s="17">
        <v>557.60252757600006</v>
      </c>
      <c r="BI7" s="17">
        <v>575.61309226000003</v>
      </c>
      <c r="BJ7" s="17">
        <v>55.0547752254</v>
      </c>
      <c r="BK7" s="17">
        <v>57.070425289800006</v>
      </c>
      <c r="BL7" s="17">
        <v>69.070425289799999</v>
      </c>
      <c r="BM7" s="17">
        <v>71.086075354200005</v>
      </c>
      <c r="BN7" s="17">
        <v>83.086075354200005</v>
      </c>
      <c r="BO7" s="17">
        <v>85.101725418599997</v>
      </c>
      <c r="BP7" s="17">
        <v>97.101725418599997</v>
      </c>
      <c r="BQ7" s="17">
        <v>99.117375483000004</v>
      </c>
      <c r="BR7" s="17">
        <v>111.117375483</v>
      </c>
      <c r="BS7" s="17">
        <v>113.13302554740001</v>
      </c>
      <c r="BT7" s="17">
        <v>125.13302554740001</v>
      </c>
      <c r="BU7" s="17">
        <v>127.1486756118</v>
      </c>
      <c r="BV7" s="17">
        <v>139.1486756118</v>
      </c>
      <c r="BW7" s="17">
        <v>141.16432567620001</v>
      </c>
      <c r="BX7" s="17">
        <v>153.16432567620001</v>
      </c>
      <c r="BY7" s="17">
        <v>155.17997574060001</v>
      </c>
      <c r="BZ7" s="17">
        <v>167.17997574060001</v>
      </c>
      <c r="CA7" s="17">
        <v>169.19562580499999</v>
      </c>
      <c r="CB7" s="17">
        <v>181.19562580499999</v>
      </c>
      <c r="CC7" s="17">
        <v>183.2112758694</v>
      </c>
      <c r="CD7" s="17">
        <v>195.2112758694</v>
      </c>
      <c r="CE7" s="17">
        <v>197.2269259338</v>
      </c>
      <c r="CF7" s="17">
        <v>209.2269259338</v>
      </c>
      <c r="CG7" s="17">
        <v>211.24257599820001</v>
      </c>
      <c r="CH7" s="17">
        <v>223.24257599820001</v>
      </c>
      <c r="CI7" s="17">
        <v>225.25822606260002</v>
      </c>
      <c r="CJ7" s="17">
        <v>237.25822606260002</v>
      </c>
      <c r="CK7" s="17">
        <v>239.27387612699999</v>
      </c>
      <c r="CL7" s="17">
        <v>251.27387612699999</v>
      </c>
      <c r="CM7" s="17">
        <v>253.2895261914</v>
      </c>
      <c r="CN7" s="17">
        <v>265.2895261914</v>
      </c>
      <c r="CO7" s="17">
        <v>267.30517625580001</v>
      </c>
      <c r="CP7" s="17">
        <v>279.30517625580001</v>
      </c>
      <c r="CQ7" s="17">
        <v>281.32082632020001</v>
      </c>
      <c r="CR7" s="17">
        <v>293.32082632020001</v>
      </c>
      <c r="CS7" s="17">
        <v>295.33647638460002</v>
      </c>
      <c r="CT7" s="17">
        <v>307.33647638460002</v>
      </c>
      <c r="CU7" s="17">
        <v>309.35212644900002</v>
      </c>
      <c r="CV7" s="17">
        <v>321.35212644900002</v>
      </c>
      <c r="CW7" s="17">
        <v>323.36777651340003</v>
      </c>
      <c r="CX7" s="17">
        <v>335.36777651340003</v>
      </c>
      <c r="CY7" s="17">
        <v>337.38342657779998</v>
      </c>
      <c r="CZ7" s="17">
        <v>349.38342657779998</v>
      </c>
      <c r="DA7" s="17">
        <v>351.39907664219999</v>
      </c>
      <c r="DB7" s="17">
        <v>363.39907664219999</v>
      </c>
      <c r="DC7" s="17">
        <v>365.41472670659999</v>
      </c>
      <c r="DD7" s="17">
        <v>377.41472670659999</v>
      </c>
      <c r="DE7" s="17">
        <v>379.430376771</v>
      </c>
      <c r="DF7" s="17">
        <v>391.430376771</v>
      </c>
      <c r="DG7" s="17">
        <v>393.4460268354</v>
      </c>
      <c r="DH7" s="17">
        <v>405.4460268354</v>
      </c>
      <c r="DI7" s="17">
        <v>407.46167689980001</v>
      </c>
      <c r="DJ7" s="17">
        <v>419.46167689980001</v>
      </c>
      <c r="DK7" s="17">
        <v>421.47732696420002</v>
      </c>
      <c r="DL7" s="17">
        <v>433.47732696420002</v>
      </c>
      <c r="DM7" s="17">
        <v>435.49297702860002</v>
      </c>
      <c r="DN7" s="17">
        <v>447.49297702860002</v>
      </c>
      <c r="DO7" s="17">
        <v>449.50862709300003</v>
      </c>
      <c r="DP7" s="17">
        <v>461.50862709300003</v>
      </c>
      <c r="DQ7" s="17">
        <v>463.52427715739998</v>
      </c>
      <c r="DR7" s="17">
        <v>55.0547752254</v>
      </c>
      <c r="DS7" s="17">
        <v>57.070425289800006</v>
      </c>
      <c r="DT7" s="17">
        <v>69.070425289799999</v>
      </c>
      <c r="DU7" s="17">
        <v>71.086075354200005</v>
      </c>
      <c r="DV7" s="17">
        <v>83.086075354200005</v>
      </c>
      <c r="DW7" s="17">
        <v>85.101725418599997</v>
      </c>
      <c r="DX7" s="17">
        <v>97.101725418599997</v>
      </c>
      <c r="DY7" s="17">
        <v>99.117375483000004</v>
      </c>
      <c r="DZ7" s="17">
        <v>111.117375483</v>
      </c>
      <c r="EA7" s="17">
        <v>113.13302554740001</v>
      </c>
      <c r="EB7" s="17">
        <v>125.13302554740001</v>
      </c>
      <c r="EC7" s="17">
        <v>127.1486756118</v>
      </c>
      <c r="ED7" s="17">
        <v>139.1486756118</v>
      </c>
      <c r="EE7" s="17">
        <v>141.16432567620001</v>
      </c>
      <c r="EF7" s="17">
        <v>153.16432567620001</v>
      </c>
      <c r="EG7" s="17">
        <v>155.17997574060001</v>
      </c>
      <c r="EH7" s="17">
        <v>167.17997574060001</v>
      </c>
      <c r="EI7" s="17">
        <v>169.19562580499999</v>
      </c>
      <c r="EJ7" s="17">
        <v>181.19562580499999</v>
      </c>
      <c r="EK7" s="17">
        <v>183.2112758694</v>
      </c>
      <c r="EL7" s="17">
        <v>195.2112758694</v>
      </c>
      <c r="EM7" s="17">
        <v>197.2269259338</v>
      </c>
      <c r="EN7" s="17">
        <v>209.2269259338</v>
      </c>
      <c r="EO7" s="17">
        <v>211.24257599820001</v>
      </c>
      <c r="EP7" s="17">
        <v>223.24257599820001</v>
      </c>
      <c r="EQ7" s="17">
        <v>225.25822606260002</v>
      </c>
      <c r="ER7" s="17">
        <v>237.25822606260002</v>
      </c>
      <c r="ES7" s="17">
        <v>239.27387612699999</v>
      </c>
      <c r="ET7" s="17">
        <v>251.27387612699999</v>
      </c>
      <c r="EU7" s="17">
        <v>253.2895261914</v>
      </c>
      <c r="EV7" s="17">
        <v>265.2895261914</v>
      </c>
      <c r="EW7" s="17">
        <v>267.30517625580001</v>
      </c>
      <c r="EX7" s="17">
        <v>279.30517625580001</v>
      </c>
      <c r="EY7" s="17">
        <v>281.32082632020001</v>
      </c>
      <c r="EZ7" s="17">
        <v>293.32082632020001</v>
      </c>
      <c r="FA7" s="17">
        <v>295.33647638460002</v>
      </c>
      <c r="FB7" s="17">
        <v>307.33647638460002</v>
      </c>
      <c r="FC7" s="17">
        <v>309.35212644900002</v>
      </c>
      <c r="FD7" s="17">
        <v>321.35212644900002</v>
      </c>
      <c r="FE7" s="17">
        <v>323.36777651340003</v>
      </c>
      <c r="FF7" s="17">
        <v>335.36777651340003</v>
      </c>
      <c r="FG7" s="17">
        <v>337.38342657779998</v>
      </c>
      <c r="FH7" s="17">
        <v>349.38342657779998</v>
      </c>
      <c r="FI7" s="17">
        <v>351.39907664219999</v>
      </c>
      <c r="FJ7" s="17">
        <v>363.39907664219999</v>
      </c>
      <c r="FK7" s="17">
        <v>365.41472670659999</v>
      </c>
      <c r="FL7" s="17">
        <v>377.41472670659999</v>
      </c>
      <c r="FM7" s="17">
        <v>379.430376771</v>
      </c>
      <c r="FN7" s="17">
        <v>391.430376771</v>
      </c>
      <c r="FO7" s="17">
        <v>393.4460268354</v>
      </c>
      <c r="FP7" s="17">
        <v>405.4460268354</v>
      </c>
      <c r="FQ7" s="17">
        <v>407.46167689980001</v>
      </c>
      <c r="FR7" s="17">
        <v>419.46167689980001</v>
      </c>
      <c r="FS7" s="17">
        <v>421.47732696420002</v>
      </c>
      <c r="FT7" s="17">
        <v>433.47732696420002</v>
      </c>
      <c r="FU7" s="17">
        <v>435.49297702860002</v>
      </c>
      <c r="FV7" s="17">
        <v>447.49297702860002</v>
      </c>
      <c r="FW7" s="17">
        <v>449.50862709300003</v>
      </c>
      <c r="FX7" s="17">
        <v>461.50862709300003</v>
      </c>
      <c r="FY7" s="17">
        <v>463.52427715739998</v>
      </c>
      <c r="FZ7" s="17">
        <v>160</v>
      </c>
      <c r="GA7" s="17">
        <v>20</v>
      </c>
      <c r="GB7" s="17">
        <v>2.5</v>
      </c>
      <c r="GC7" s="17">
        <v>1.25</v>
      </c>
      <c r="GD7" s="17">
        <v>12</v>
      </c>
      <c r="GE7" s="17">
        <v>2</v>
      </c>
      <c r="GF7" s="17">
        <v>0</v>
      </c>
      <c r="GG7" s="17">
        <v>80</v>
      </c>
      <c r="GH7" s="17">
        <v>44.444444444444443</v>
      </c>
      <c r="GI7" s="17">
        <v>31.111111111111107</v>
      </c>
      <c r="GJ7" s="17">
        <v>10.370370370370368</v>
      </c>
      <c r="GK7" s="17">
        <v>40</v>
      </c>
      <c r="GL7" s="17">
        <v>40</v>
      </c>
      <c r="GM7" s="17">
        <v>20</v>
      </c>
      <c r="GN7" s="17">
        <v>40</v>
      </c>
      <c r="GO7" s="17">
        <v>8</v>
      </c>
      <c r="GP7" s="17">
        <v>15</v>
      </c>
      <c r="GQ7" s="17">
        <v>3.75</v>
      </c>
      <c r="GR7" s="17">
        <v>18</v>
      </c>
      <c r="GS7" s="17">
        <v>9</v>
      </c>
      <c r="GT7" s="17">
        <v>80</v>
      </c>
      <c r="GU7" s="17">
        <v>44.444444444444443</v>
      </c>
      <c r="GV7" s="17">
        <v>31.111111111111107</v>
      </c>
      <c r="GW7" s="17">
        <v>10.370370370370368</v>
      </c>
      <c r="GX7" s="17">
        <v>40</v>
      </c>
      <c r="GY7" s="17">
        <v>40</v>
      </c>
      <c r="GZ7" s="17">
        <v>20</v>
      </c>
      <c r="HA7" s="17">
        <v>40</v>
      </c>
      <c r="HB7" s="17">
        <v>8</v>
      </c>
      <c r="HC7" s="17">
        <v>15</v>
      </c>
      <c r="HD7" s="17">
        <v>3.75</v>
      </c>
      <c r="HE7" s="17">
        <v>18</v>
      </c>
      <c r="HF7" s="17">
        <v>9</v>
      </c>
      <c r="HG7" s="17">
        <v>3.125</v>
      </c>
      <c r="HH7" s="17">
        <v>17.634217114246702</v>
      </c>
      <c r="HI7" s="17">
        <v>9.5367431640625</v>
      </c>
      <c r="HJ7" s="17">
        <v>38.737824305871641</v>
      </c>
      <c r="HK7" s="17">
        <v>23.73046875</v>
      </c>
      <c r="HL7" s="17">
        <v>49.957498862084663</v>
      </c>
      <c r="HM7" s="17">
        <v>51.2908935546875</v>
      </c>
      <c r="HN7" s="17">
        <v>11.299044151115158</v>
      </c>
      <c r="HO7" s="17">
        <v>100</v>
      </c>
      <c r="HP7" s="17">
        <v>12.768263541192534</v>
      </c>
      <c r="HQ7" s="17">
        <v>81.014023322061405</v>
      </c>
      <c r="HR7" s="17">
        <v>13.370960400546201</v>
      </c>
      <c r="HS7" s="17">
        <v>65.132027498296409</v>
      </c>
      <c r="HT7" s="17">
        <v>15.112938097405555</v>
      </c>
      <c r="HU7" s="17">
        <v>51.93403908250599</v>
      </c>
      <c r="HV7" s="17">
        <v>17</v>
      </c>
      <c r="HW7" s="17">
        <v>41.044225466741565</v>
      </c>
      <c r="HX7" s="17">
        <v>15.112938097405555</v>
      </c>
      <c r="HY7" s="17">
        <v>32.127687206130908</v>
      </c>
      <c r="HZ7" s="17">
        <v>13.370960400546201</v>
      </c>
      <c r="IA7" s="17">
        <v>24.887371388049534</v>
      </c>
      <c r="IB7" s="17">
        <v>11.768263541192534</v>
      </c>
      <c r="IC7" s="17">
        <v>19.061106045638713</v>
      </c>
      <c r="ID7" s="17">
        <v>10.299044151115158</v>
      </c>
      <c r="IE7" s="17">
        <v>14.418755615669616</v>
      </c>
      <c r="IF7" s="17">
        <v>8.9574988620846607</v>
      </c>
      <c r="IG7" s="17">
        <v>10.759497440753508</v>
      </c>
      <c r="IH7" s="17">
        <v>7.7378243058716416</v>
      </c>
      <c r="II7" s="17">
        <v>7.9092193158983397</v>
      </c>
      <c r="IJ7" s="17">
        <v>6.6342171142467024</v>
      </c>
      <c r="IK7" s="17">
        <v>5.7180380794114836</v>
      </c>
      <c r="IL7" s="17">
        <v>5.6408739189804269</v>
      </c>
      <c r="IM7" s="17">
        <v>4.0579392481486094</v>
      </c>
      <c r="IN7" s="17">
        <v>4.7519913518434231</v>
      </c>
      <c r="IO7" s="17">
        <v>2.8205376971088865</v>
      </c>
      <c r="IP7" s="17">
        <v>3.9617660446062817</v>
      </c>
      <c r="IQ7" s="17">
        <v>1.9149593833762957</v>
      </c>
      <c r="IR7" s="17">
        <v>3.2643946290395984</v>
      </c>
      <c r="IS7" s="17">
        <v>1.2658441144072095</v>
      </c>
      <c r="IT7" s="17">
        <v>2.6540737369139733</v>
      </c>
      <c r="IU7" s="17">
        <v>0.81146936066415609</v>
      </c>
      <c r="IV7" s="17">
        <v>2.125</v>
      </c>
      <c r="IW7" s="17">
        <v>0.50199511259579543</v>
      </c>
      <c r="IX7" s="17">
        <v>1.6713700500682751</v>
      </c>
      <c r="IY7" s="17">
        <v>0.29782978196310489</v>
      </c>
      <c r="IZ7" s="17">
        <v>1.2873805188893952</v>
      </c>
      <c r="JA7" s="17">
        <v>0.16811714751177356</v>
      </c>
      <c r="JB7" s="17">
        <v>0.9672280382339552</v>
      </c>
      <c r="JC7" s="17">
        <v>8.9344344990804431E-2</v>
      </c>
      <c r="JD7" s="17">
        <v>0.70510923987255336</v>
      </c>
      <c r="JE7" s="17">
        <v>4.4070901517326351E-2</v>
      </c>
      <c r="JF7" s="17">
        <v>0.49522075557578521</v>
      </c>
      <c r="JG7" s="17">
        <v>1.9778814287612648E-2</v>
      </c>
      <c r="JH7" s="17">
        <v>0.33175921711424688</v>
      </c>
      <c r="JI7" s="17">
        <v>7.8436736343093037E-3</v>
      </c>
      <c r="JJ7" s="17">
        <v>0.20892125625853425</v>
      </c>
      <c r="JK7" s="17">
        <v>2.6268304298714619E-3</v>
      </c>
      <c r="JL7" s="17">
        <v>0.1209035047792444</v>
      </c>
      <c r="JM7" s="17">
        <v>6.8860783620822423E-4</v>
      </c>
      <c r="JN7" s="17">
        <v>6.1902594446973151E-2</v>
      </c>
      <c r="JO7" s="17">
        <v>3.125</v>
      </c>
      <c r="JP7" s="17">
        <v>17.634217114246702</v>
      </c>
      <c r="JQ7" s="17">
        <v>9.5367431640625</v>
      </c>
      <c r="JR7" s="17">
        <v>38.737824305871641</v>
      </c>
      <c r="JS7" s="17">
        <v>23.73046875</v>
      </c>
      <c r="JT7" s="17">
        <v>49.957498862084663</v>
      </c>
      <c r="JU7" s="17">
        <v>51.2908935546875</v>
      </c>
      <c r="JV7" s="17">
        <v>11.299044151115158</v>
      </c>
      <c r="JW7" s="17">
        <v>100</v>
      </c>
      <c r="JX7" s="17">
        <v>12.768263541192534</v>
      </c>
      <c r="JY7" s="17">
        <v>81.014023322061405</v>
      </c>
      <c r="JZ7" s="17">
        <v>13.370960400546201</v>
      </c>
      <c r="KA7" s="17">
        <v>65.132027498296409</v>
      </c>
      <c r="KB7" s="17">
        <v>15.112938097405555</v>
      </c>
      <c r="KC7" s="17">
        <v>51.93403908250599</v>
      </c>
      <c r="KD7" s="17">
        <v>17</v>
      </c>
      <c r="KE7" s="17">
        <v>41.044225466741565</v>
      </c>
      <c r="KF7" s="17">
        <v>15.112938097405555</v>
      </c>
      <c r="KG7" s="17">
        <v>32.127687206130908</v>
      </c>
      <c r="KH7" s="17">
        <v>13.370960400546201</v>
      </c>
      <c r="KI7" s="17">
        <v>24.887371388049534</v>
      </c>
      <c r="KJ7" s="17">
        <v>11.768263541192534</v>
      </c>
      <c r="KK7" s="17">
        <v>19.061106045638713</v>
      </c>
      <c r="KL7" s="17">
        <v>10.299044151115158</v>
      </c>
      <c r="KM7" s="17">
        <v>14.418755615669616</v>
      </c>
      <c r="KN7" s="17">
        <v>8.9574988620846607</v>
      </c>
      <c r="KO7" s="17">
        <v>10.759497440753508</v>
      </c>
      <c r="KP7" s="17">
        <v>7.7378243058716416</v>
      </c>
      <c r="KQ7" s="17">
        <v>7.9092193158983397</v>
      </c>
      <c r="KR7" s="17">
        <v>6.6342171142467024</v>
      </c>
      <c r="KS7" s="17">
        <v>5.7180380794114836</v>
      </c>
      <c r="KT7" s="17">
        <v>5.6408739189804269</v>
      </c>
      <c r="KU7" s="17">
        <v>4.0579392481486094</v>
      </c>
      <c r="KV7" s="17">
        <v>4.7519913518434231</v>
      </c>
      <c r="KW7" s="17">
        <v>2.8205376971088865</v>
      </c>
      <c r="KX7" s="17">
        <v>3.9617660446062817</v>
      </c>
      <c r="KY7" s="17">
        <v>1.9149593833762957</v>
      </c>
      <c r="KZ7" s="17">
        <v>3.2643946290395984</v>
      </c>
      <c r="LA7" s="17">
        <v>1.2658441144072095</v>
      </c>
      <c r="LB7" s="17">
        <v>2.6540737369139733</v>
      </c>
      <c r="LC7" s="17">
        <v>0.81146936066415609</v>
      </c>
      <c r="LD7" s="17">
        <v>2.125</v>
      </c>
      <c r="LE7" s="17">
        <v>0.50199511259579543</v>
      </c>
      <c r="LF7" s="17">
        <v>1.6713700500682751</v>
      </c>
      <c r="LG7" s="17">
        <v>0.29782978196310489</v>
      </c>
      <c r="LH7" s="17">
        <v>1.2873805188893952</v>
      </c>
      <c r="LI7" s="17">
        <v>0.16811714751177356</v>
      </c>
      <c r="LJ7" s="17">
        <v>0.9672280382339552</v>
      </c>
      <c r="LK7" s="17">
        <v>8.9344344990804431E-2</v>
      </c>
      <c r="LL7" s="17">
        <v>0.70510923987255336</v>
      </c>
      <c r="LM7" s="17">
        <v>4.4070901517326351E-2</v>
      </c>
      <c r="LN7" s="17">
        <v>0.49522075557578521</v>
      </c>
      <c r="LO7" s="17">
        <v>1.9778814287612648E-2</v>
      </c>
      <c r="LP7" s="17">
        <v>0.33175921711424688</v>
      </c>
      <c r="LQ7" s="17">
        <v>7.8436736343093037E-3</v>
      </c>
      <c r="LR7" s="17">
        <v>0.20892125625853425</v>
      </c>
      <c r="LS7" s="17">
        <v>2.6268304298714619E-3</v>
      </c>
      <c r="LT7" s="17">
        <v>0.1209035047792444</v>
      </c>
      <c r="LU7" s="17">
        <v>6.8860783620822423E-4</v>
      </c>
      <c r="LV7" s="17">
        <v>6.1902594446973151E-2</v>
      </c>
    </row>
    <row r="8" spans="1:334" s="4" customFormat="1" ht="14.25" x14ac:dyDescent="0.2">
      <c r="A8" s="16">
        <v>2</v>
      </c>
      <c r="B8" s="17" t="s">
        <v>680</v>
      </c>
      <c r="C8" s="18" t="s">
        <v>39</v>
      </c>
      <c r="D8" s="18" t="s">
        <v>77</v>
      </c>
      <c r="E8" s="18" t="s">
        <v>39</v>
      </c>
      <c r="F8" s="19" t="s">
        <v>78</v>
      </c>
      <c r="G8" s="19" t="s">
        <v>79</v>
      </c>
      <c r="H8" s="20">
        <v>-1</v>
      </c>
      <c r="I8" s="21">
        <v>31.42</v>
      </c>
      <c r="J8" s="22">
        <v>25.740100000000002</v>
      </c>
      <c r="K8" s="20" t="s">
        <v>80</v>
      </c>
      <c r="L8" s="18">
        <v>0</v>
      </c>
      <c r="M8" s="18">
        <v>1</v>
      </c>
      <c r="N8" s="18" t="s">
        <v>39</v>
      </c>
      <c r="O8" s="23">
        <v>0</v>
      </c>
      <c r="P8" s="23">
        <v>0</v>
      </c>
      <c r="Q8" s="23">
        <v>1</v>
      </c>
      <c r="R8" s="23">
        <v>0</v>
      </c>
      <c r="S8" s="23">
        <v>0</v>
      </c>
      <c r="T8" s="23">
        <v>40</v>
      </c>
      <c r="U8" s="23">
        <v>0</v>
      </c>
      <c r="V8" s="23">
        <v>40</v>
      </c>
      <c r="W8" s="23">
        <v>0</v>
      </c>
      <c r="X8" s="18" t="s">
        <v>39</v>
      </c>
      <c r="Y8" s="17">
        <v>738.67414319160014</v>
      </c>
      <c r="Z8" s="17">
        <v>720.66358319160008</v>
      </c>
      <c r="AA8" s="17">
        <v>738.67414319160014</v>
      </c>
      <c r="AB8" s="17">
        <v>720.66358319160008</v>
      </c>
      <c r="AC8" s="17">
        <v>1300.3075631916001</v>
      </c>
      <c r="AD8" s="17">
        <v>1282.2969985076002</v>
      </c>
      <c r="AE8" s="17">
        <v>1264.2864338236002</v>
      </c>
      <c r="AF8" s="17">
        <v>1246.2758691396002</v>
      </c>
      <c r="AG8" s="17">
        <v>1226.2707837592002</v>
      </c>
      <c r="AH8" s="17">
        <v>1208.2602190752002</v>
      </c>
      <c r="AI8" s="17">
        <v>1116.2128749588003</v>
      </c>
      <c r="AJ8" s="17">
        <v>743.71286068000018</v>
      </c>
      <c r="AK8" s="17">
        <v>725.7022959960002</v>
      </c>
      <c r="AL8" s="17">
        <v>707.69173131200023</v>
      </c>
      <c r="AM8" s="17">
        <v>689.68116662800026</v>
      </c>
      <c r="AN8" s="17">
        <v>669.67608124760022</v>
      </c>
      <c r="AO8" s="17">
        <v>651.66551656360025</v>
      </c>
      <c r="AP8" s="17">
        <v>633.65495187960028</v>
      </c>
      <c r="AQ8" s="17">
        <v>615.6443871956003</v>
      </c>
      <c r="AR8" s="17">
        <v>597.63382251160033</v>
      </c>
      <c r="AS8" s="17">
        <v>613.64986649920024</v>
      </c>
      <c r="AT8" s="17">
        <v>595.63930181520027</v>
      </c>
      <c r="AU8" s="17">
        <v>555.58687751160005</v>
      </c>
      <c r="AV8" s="17">
        <v>573.59744219560002</v>
      </c>
      <c r="AW8" s="17">
        <v>741.69721061560017</v>
      </c>
      <c r="AX8" s="17">
        <v>723.6866459316002</v>
      </c>
      <c r="AY8" s="17">
        <v>705.67608124760022</v>
      </c>
      <c r="AZ8" s="17">
        <v>687.66551656360025</v>
      </c>
      <c r="BA8" s="17">
        <v>667.66043118320022</v>
      </c>
      <c r="BB8" s="17">
        <v>649.64986649920024</v>
      </c>
      <c r="BC8" s="17">
        <v>631.63930181520027</v>
      </c>
      <c r="BD8" s="17">
        <v>613.6287371312003</v>
      </c>
      <c r="BE8" s="17">
        <v>595.61817244720032</v>
      </c>
      <c r="BF8" s="17">
        <v>611.63421643480024</v>
      </c>
      <c r="BG8" s="17">
        <v>593.62365175080026</v>
      </c>
      <c r="BH8" s="17">
        <v>557.60252757600006</v>
      </c>
      <c r="BI8" s="17">
        <v>575.61309226000003</v>
      </c>
      <c r="BJ8" s="17">
        <v>55.0547752254</v>
      </c>
      <c r="BK8" s="17">
        <v>57.070425289800006</v>
      </c>
      <c r="BL8" s="17">
        <v>69.070425289799999</v>
      </c>
      <c r="BM8" s="17">
        <v>71.086075354200005</v>
      </c>
      <c r="BN8" s="17">
        <v>81.070425289799999</v>
      </c>
      <c r="BO8" s="17">
        <v>83.086075354200005</v>
      </c>
      <c r="BP8" s="17">
        <v>85.101725418599997</v>
      </c>
      <c r="BQ8" s="17">
        <v>95.086075354200005</v>
      </c>
      <c r="BR8" s="17">
        <v>97.101725418599997</v>
      </c>
      <c r="BS8" s="17">
        <v>99.117375483000004</v>
      </c>
      <c r="BT8" s="17">
        <v>109.1017254186</v>
      </c>
      <c r="BU8" s="17">
        <v>111.117375483</v>
      </c>
      <c r="BV8" s="17">
        <v>113.13302554740001</v>
      </c>
      <c r="BW8" s="17">
        <v>123.117375483</v>
      </c>
      <c r="BX8" s="17">
        <v>125.13302554740001</v>
      </c>
      <c r="BY8" s="17">
        <v>127.1486756118</v>
      </c>
      <c r="BZ8" s="17">
        <v>137.1330255474</v>
      </c>
      <c r="CA8" s="17">
        <v>139.1486756118</v>
      </c>
      <c r="CB8" s="17">
        <v>141.16432567620001</v>
      </c>
      <c r="CC8" s="17">
        <v>151.1486756118</v>
      </c>
      <c r="CD8" s="17">
        <v>153.16432567620001</v>
      </c>
      <c r="CE8" s="17">
        <v>155.17997574060001</v>
      </c>
      <c r="CF8" s="17">
        <v>165.16432567620001</v>
      </c>
      <c r="CG8" s="17">
        <v>167.17997574060001</v>
      </c>
      <c r="CH8" s="17">
        <v>169.19562580499999</v>
      </c>
      <c r="CI8" s="17">
        <v>179.17997574060001</v>
      </c>
      <c r="CJ8" s="17">
        <v>181.19562580499999</v>
      </c>
      <c r="CK8" s="17">
        <v>183.2112758694</v>
      </c>
      <c r="CL8" s="17">
        <v>193.19562580499999</v>
      </c>
      <c r="CM8" s="17">
        <v>195.2112758694</v>
      </c>
      <c r="CN8" s="17">
        <v>197.2269259338</v>
      </c>
      <c r="CO8" s="17">
        <v>207.2112758694</v>
      </c>
      <c r="CP8" s="17">
        <v>209.2269259338</v>
      </c>
      <c r="CQ8" s="17">
        <v>211.24257599820001</v>
      </c>
      <c r="CR8" s="17">
        <v>221.2269259338</v>
      </c>
      <c r="CS8" s="17">
        <v>223.24257599820001</v>
      </c>
      <c r="CT8" s="17">
        <v>225.25822606260002</v>
      </c>
      <c r="CU8" s="17">
        <v>235.24257599820001</v>
      </c>
      <c r="CV8" s="17">
        <v>237.25822606260002</v>
      </c>
      <c r="CW8" s="17">
        <v>239.27387612699999</v>
      </c>
      <c r="CX8" s="17">
        <v>249.25822606260002</v>
      </c>
      <c r="CY8" s="17">
        <v>251.27387612699999</v>
      </c>
      <c r="CZ8" s="17">
        <v>253.2895261914</v>
      </c>
      <c r="DA8" s="17">
        <v>263.27387612699999</v>
      </c>
      <c r="DB8" s="17">
        <v>265.2895261914</v>
      </c>
      <c r="DC8" s="17">
        <v>267.30517625580001</v>
      </c>
      <c r="DD8" s="17">
        <v>277.2895261914</v>
      </c>
      <c r="DE8" s="17">
        <v>279.30517625580001</v>
      </c>
      <c r="DF8" s="17">
        <v>281.32082632020001</v>
      </c>
      <c r="DG8" s="17">
        <v>291.30517625580001</v>
      </c>
      <c r="DH8" s="17">
        <v>293.32082632020001</v>
      </c>
      <c r="DI8" s="17">
        <v>295.33647638460002</v>
      </c>
      <c r="DJ8" s="17">
        <v>305.32082632020001</v>
      </c>
      <c r="DK8" s="17">
        <v>307.33647638460002</v>
      </c>
      <c r="DL8" s="17">
        <v>309.35212644900002</v>
      </c>
      <c r="DM8" s="17">
        <v>319.33647638460002</v>
      </c>
      <c r="DN8" s="17">
        <v>321.35212644900002</v>
      </c>
      <c r="DO8" s="17">
        <v>323.36777651340003</v>
      </c>
      <c r="DP8" s="17">
        <v>333.35212644900002</v>
      </c>
      <c r="DQ8" s="17">
        <v>335.36777651340003</v>
      </c>
      <c r="DR8" s="17">
        <v>55.0547752254</v>
      </c>
      <c r="DS8" s="17">
        <v>57.070425289800006</v>
      </c>
      <c r="DT8" s="17">
        <v>69.070425289799999</v>
      </c>
      <c r="DU8" s="17">
        <v>71.086075354200005</v>
      </c>
      <c r="DV8" s="17">
        <v>83.086075354200005</v>
      </c>
      <c r="DW8" s="17">
        <v>85.101725418599997</v>
      </c>
      <c r="DX8" s="17">
        <v>97.101725418599997</v>
      </c>
      <c r="DY8" s="17">
        <v>99.117375483000004</v>
      </c>
      <c r="DZ8" s="17">
        <v>111.117375483</v>
      </c>
      <c r="EA8" s="17">
        <v>113.13302554740001</v>
      </c>
      <c r="EB8" s="17">
        <v>125.13302554740001</v>
      </c>
      <c r="EC8" s="17">
        <v>127.1486756118</v>
      </c>
      <c r="ED8" s="17">
        <v>139.1486756118</v>
      </c>
      <c r="EE8" s="17">
        <v>141.16432567620001</v>
      </c>
      <c r="EF8" s="17">
        <v>153.16432567620001</v>
      </c>
      <c r="EG8" s="17">
        <v>155.17997574060001</v>
      </c>
      <c r="EH8" s="17">
        <v>167.17997574060001</v>
      </c>
      <c r="EI8" s="17">
        <v>169.19562580499999</v>
      </c>
      <c r="EJ8" s="17">
        <v>181.19562580499999</v>
      </c>
      <c r="EK8" s="17">
        <v>183.2112758694</v>
      </c>
      <c r="EL8" s="17">
        <v>195.2112758694</v>
      </c>
      <c r="EM8" s="17">
        <v>197.2269259338</v>
      </c>
      <c r="EN8" s="17">
        <v>209.2269259338</v>
      </c>
      <c r="EO8" s="17">
        <v>211.24257599820001</v>
      </c>
      <c r="EP8" s="17">
        <v>223.24257599820001</v>
      </c>
      <c r="EQ8" s="17">
        <v>225.25822606260002</v>
      </c>
      <c r="ER8" s="17">
        <v>237.25822606260002</v>
      </c>
      <c r="ES8" s="17">
        <v>239.27387612699999</v>
      </c>
      <c r="ET8" s="17">
        <v>251.27387612699999</v>
      </c>
      <c r="EU8" s="17">
        <v>253.2895261914</v>
      </c>
      <c r="EV8" s="17">
        <v>265.2895261914</v>
      </c>
      <c r="EW8" s="17">
        <v>267.30517625580001</v>
      </c>
      <c r="EX8" s="17">
        <v>279.30517625580001</v>
      </c>
      <c r="EY8" s="17">
        <v>281.32082632020001</v>
      </c>
      <c r="EZ8" s="17">
        <v>293.32082632020001</v>
      </c>
      <c r="FA8" s="17">
        <v>295.33647638460002</v>
      </c>
      <c r="FB8" s="17">
        <v>307.33647638460002</v>
      </c>
      <c r="FC8" s="17">
        <v>309.35212644900002</v>
      </c>
      <c r="FD8" s="17">
        <v>321.35212644900002</v>
      </c>
      <c r="FE8" s="17">
        <v>323.36777651340003</v>
      </c>
      <c r="FF8" s="17">
        <v>335.36777651340003</v>
      </c>
      <c r="FG8" s="17">
        <v>337.38342657779998</v>
      </c>
      <c r="FH8" s="17">
        <v>349.38342657779998</v>
      </c>
      <c r="FI8" s="17">
        <v>351.39907664219999</v>
      </c>
      <c r="FJ8" s="17">
        <v>363.39907664219999</v>
      </c>
      <c r="FK8" s="17">
        <v>365.41472670659999</v>
      </c>
      <c r="FL8" s="17">
        <v>377.41472670659999</v>
      </c>
      <c r="FM8" s="17">
        <v>379.430376771</v>
      </c>
      <c r="FN8" s="17">
        <v>391.430376771</v>
      </c>
      <c r="FO8" s="17">
        <v>393.4460268354</v>
      </c>
      <c r="FP8" s="17">
        <v>405.4460268354</v>
      </c>
      <c r="FQ8" s="17">
        <v>407.46167689980001</v>
      </c>
      <c r="FR8" s="17">
        <v>419.46167689980001</v>
      </c>
      <c r="FS8" s="17">
        <v>421.47732696420002</v>
      </c>
      <c r="FT8" s="17">
        <v>433.47732696420002</v>
      </c>
      <c r="FU8" s="17">
        <v>435.49297702860002</v>
      </c>
      <c r="FV8" s="17">
        <v>447.49297702860002</v>
      </c>
      <c r="FW8" s="17">
        <v>449.50862709300003</v>
      </c>
      <c r="FX8" s="17">
        <v>461.50862709300003</v>
      </c>
      <c r="FY8" s="17">
        <v>463.52427715739998</v>
      </c>
      <c r="FZ8" s="17">
        <v>152</v>
      </c>
      <c r="GA8" s="17">
        <v>19</v>
      </c>
      <c r="GB8" s="17">
        <v>2.375</v>
      </c>
      <c r="GC8" s="17">
        <v>1.1875</v>
      </c>
      <c r="GD8" s="17">
        <v>9.6000000000000014</v>
      </c>
      <c r="GE8" s="17">
        <v>2</v>
      </c>
      <c r="GF8" s="17">
        <v>0</v>
      </c>
      <c r="GG8" s="17">
        <v>80</v>
      </c>
      <c r="GH8" s="17">
        <v>44.444444444444443</v>
      </c>
      <c r="GI8" s="17">
        <v>31.111111111111107</v>
      </c>
      <c r="GJ8" s="17">
        <v>10.370370370370368</v>
      </c>
      <c r="GK8" s="17">
        <v>40</v>
      </c>
      <c r="GL8" s="17">
        <v>40</v>
      </c>
      <c r="GM8" s="17">
        <v>20</v>
      </c>
      <c r="GN8" s="17">
        <v>40</v>
      </c>
      <c r="GO8" s="17">
        <v>8</v>
      </c>
      <c r="GP8" s="17">
        <v>15</v>
      </c>
      <c r="GQ8" s="17">
        <v>3.75</v>
      </c>
      <c r="GR8" s="17">
        <v>10.799999999999999</v>
      </c>
      <c r="GS8" s="17">
        <v>5.3999999999999995</v>
      </c>
      <c r="GT8" s="17">
        <v>32</v>
      </c>
      <c r="GU8" s="17">
        <v>17.777777777777779</v>
      </c>
      <c r="GV8" s="17">
        <v>12.444444444444445</v>
      </c>
      <c r="GW8" s="17">
        <v>4.1481481481481479</v>
      </c>
      <c r="GX8" s="17">
        <v>36</v>
      </c>
      <c r="GY8" s="17">
        <v>36</v>
      </c>
      <c r="GZ8" s="17">
        <v>18</v>
      </c>
      <c r="HA8" s="17">
        <v>36</v>
      </c>
      <c r="HB8" s="17">
        <v>7.2</v>
      </c>
      <c r="HC8" s="17">
        <v>15</v>
      </c>
      <c r="HD8" s="17">
        <v>3.75</v>
      </c>
      <c r="HE8" s="17">
        <v>18</v>
      </c>
      <c r="HF8" s="17">
        <v>9</v>
      </c>
      <c r="HG8" s="17">
        <v>1.831817626953125</v>
      </c>
      <c r="HH8" s="17">
        <v>3.9085542785616756</v>
      </c>
      <c r="HI8" s="17">
        <v>5.5902637541294098</v>
      </c>
      <c r="HJ8" s="17">
        <v>6.6844560764679102</v>
      </c>
      <c r="HK8" s="17">
        <v>4.1731095314025879</v>
      </c>
      <c r="HL8" s="17">
        <v>13.910365104675293</v>
      </c>
      <c r="HM8" s="17">
        <v>8.2393747155211656</v>
      </c>
      <c r="HN8" s="17">
        <v>10.523023046553135</v>
      </c>
      <c r="HO8" s="17">
        <v>47.488933104557965</v>
      </c>
      <c r="HP8" s="17">
        <v>3.5747610377787895</v>
      </c>
      <c r="HQ8" s="17">
        <v>23.447265625</v>
      </c>
      <c r="HR8" s="17">
        <v>58.6181640625</v>
      </c>
      <c r="HS8" s="17">
        <v>2.9420658852981334</v>
      </c>
      <c r="HT8" s="17">
        <v>18.340553474863764</v>
      </c>
      <c r="HU8" s="17">
        <v>47.488933104557965</v>
      </c>
      <c r="HV8" s="17">
        <v>3.3427401001365502</v>
      </c>
      <c r="HW8" s="17">
        <v>14.218460218992666</v>
      </c>
      <c r="HX8" s="17">
        <v>38.179198736184006</v>
      </c>
      <c r="HY8" s="17">
        <v>3.7782345243513888</v>
      </c>
      <c r="HZ8" s="17">
        <v>10.917410842418233</v>
      </c>
      <c r="IA8" s="17">
        <v>30.44278023366623</v>
      </c>
      <c r="IB8" s="17">
        <v>4.25</v>
      </c>
      <c r="IC8" s="17">
        <v>8.296334973198956</v>
      </c>
      <c r="ID8" s="17">
        <v>24.059371422276975</v>
      </c>
      <c r="IE8" s="17">
        <v>3.7782345243513888</v>
      </c>
      <c r="IF8" s="17">
        <v>6.2342599931508875</v>
      </c>
      <c r="IG8" s="17">
        <v>18.832660395976639</v>
      </c>
      <c r="IH8" s="17">
        <v>3.3427401001365502</v>
      </c>
      <c r="II8" s="17">
        <v>4.6280822675183844</v>
      </c>
      <c r="IJ8" s="17">
        <v>14.588520191090559</v>
      </c>
      <c r="IK8" s="17">
        <v>2.9420658852981334</v>
      </c>
      <c r="IL8" s="17">
        <v>3.3905096428567076</v>
      </c>
      <c r="IM8" s="17">
        <v>11.173270413959607</v>
      </c>
      <c r="IN8" s="17">
        <v>2.5747610377787895</v>
      </c>
      <c r="IO8" s="17">
        <v>2.4481683623978912</v>
      </c>
      <c r="IP8" s="17">
        <v>8.4520098225641469</v>
      </c>
      <c r="IQ8" s="17">
        <v>2.2393747155211652</v>
      </c>
      <c r="IR8" s="17">
        <v>1.7398675481714156</v>
      </c>
      <c r="IS8" s="17">
        <v>6.30701986212138</v>
      </c>
      <c r="IT8" s="17">
        <v>1.9344560764679104</v>
      </c>
      <c r="IU8" s="17">
        <v>1.2150143991512878</v>
      </c>
      <c r="IV8" s="17">
        <v>4.6362391546562289</v>
      </c>
      <c r="IW8" s="17">
        <v>1.6585542785616756</v>
      </c>
      <c r="IX8" s="17">
        <v>0.83217325470098846</v>
      </c>
      <c r="IY8" s="17">
        <v>3.3518089425456479</v>
      </c>
      <c r="IZ8" s="17">
        <v>1.4102184797451067</v>
      </c>
      <c r="JA8" s="17">
        <v>0.55776167258782994</v>
      </c>
      <c r="JB8" s="17">
        <v>2.3786894860363308</v>
      </c>
      <c r="JC8" s="17">
        <v>1.1879978379608558</v>
      </c>
      <c r="JD8" s="17">
        <v>0.36487667083827779</v>
      </c>
      <c r="JE8" s="17">
        <v>1.6533474147359464</v>
      </c>
      <c r="JF8" s="17">
        <v>0.99044151115157042</v>
      </c>
      <c r="JG8" s="17">
        <v>0.23224428270574216</v>
      </c>
      <c r="JH8" s="17">
        <v>1.1225140330777554</v>
      </c>
      <c r="JI8" s="17">
        <v>0.81609865725989961</v>
      </c>
      <c r="JJ8" s="17">
        <v>0.14328557402237305</v>
      </c>
      <c r="JK8" s="17">
        <v>0.74201457975871821</v>
      </c>
      <c r="JL8" s="17">
        <v>0.66351843422849333</v>
      </c>
      <c r="JM8" s="17">
        <v>8.5292272206392447E-2</v>
      </c>
      <c r="JN8" s="17">
        <v>0.47566844115103485</v>
      </c>
      <c r="JO8" s="17">
        <v>3.125</v>
      </c>
      <c r="JP8" s="17">
        <v>17.634217114246702</v>
      </c>
      <c r="JQ8" s="17">
        <v>9.5367431640625</v>
      </c>
      <c r="JR8" s="17">
        <v>38.737824305871641</v>
      </c>
      <c r="JS8" s="17">
        <v>23.73046875</v>
      </c>
      <c r="JT8" s="17">
        <v>49.957498862084663</v>
      </c>
      <c r="JU8" s="17">
        <v>51.2908935546875</v>
      </c>
      <c r="JV8" s="17">
        <v>11.299044151115158</v>
      </c>
      <c r="JW8" s="17">
        <v>100</v>
      </c>
      <c r="JX8" s="17">
        <v>12.768263541192534</v>
      </c>
      <c r="JY8" s="17">
        <v>81.014023322061405</v>
      </c>
      <c r="JZ8" s="17">
        <v>13.370960400546201</v>
      </c>
      <c r="KA8" s="17">
        <v>65.132027498296409</v>
      </c>
      <c r="KB8" s="17">
        <v>15.112938097405555</v>
      </c>
      <c r="KC8" s="17">
        <v>51.93403908250599</v>
      </c>
      <c r="KD8" s="17">
        <v>17</v>
      </c>
      <c r="KE8" s="17">
        <v>41.044225466741565</v>
      </c>
      <c r="KF8" s="17">
        <v>15.112938097405555</v>
      </c>
      <c r="KG8" s="17">
        <v>32.127687206130908</v>
      </c>
      <c r="KH8" s="17">
        <v>13.370960400546201</v>
      </c>
      <c r="KI8" s="17">
        <v>24.887371388049534</v>
      </c>
      <c r="KJ8" s="17">
        <v>11.768263541192534</v>
      </c>
      <c r="KK8" s="17">
        <v>19.061106045638713</v>
      </c>
      <c r="KL8" s="17">
        <v>10.299044151115158</v>
      </c>
      <c r="KM8" s="17">
        <v>14.418755615669616</v>
      </c>
      <c r="KN8" s="17">
        <v>8.9574988620846607</v>
      </c>
      <c r="KO8" s="17">
        <v>10.759497440753508</v>
      </c>
      <c r="KP8" s="17">
        <v>7.7378243058716416</v>
      </c>
      <c r="KQ8" s="17">
        <v>7.9092193158983397</v>
      </c>
      <c r="KR8" s="17">
        <v>6.6342171142467024</v>
      </c>
      <c r="KS8" s="17">
        <v>5.7180380794114836</v>
      </c>
      <c r="KT8" s="17">
        <v>5.6408739189804269</v>
      </c>
      <c r="KU8" s="17">
        <v>4.0579392481486094</v>
      </c>
      <c r="KV8" s="17">
        <v>4.7519913518434231</v>
      </c>
      <c r="KW8" s="17">
        <v>2.8205376971088865</v>
      </c>
      <c r="KX8" s="17">
        <v>3.9617660446062817</v>
      </c>
      <c r="KY8" s="17">
        <v>1.9149593833762957</v>
      </c>
      <c r="KZ8" s="17">
        <v>3.2643946290395984</v>
      </c>
      <c r="LA8" s="17">
        <v>1.2658441144072095</v>
      </c>
      <c r="LB8" s="17">
        <v>2.6540737369139733</v>
      </c>
      <c r="LC8" s="17">
        <v>0.81146936066415609</v>
      </c>
      <c r="LD8" s="17">
        <v>2.125</v>
      </c>
      <c r="LE8" s="17">
        <v>0.50199511259579543</v>
      </c>
      <c r="LF8" s="17">
        <v>1.6713700500682751</v>
      </c>
      <c r="LG8" s="17">
        <v>0.29782978196310489</v>
      </c>
      <c r="LH8" s="17">
        <v>1.2873805188893952</v>
      </c>
      <c r="LI8" s="17">
        <v>0.16811714751177356</v>
      </c>
      <c r="LJ8" s="17">
        <v>0.9672280382339552</v>
      </c>
      <c r="LK8" s="17">
        <v>8.9344344990804431E-2</v>
      </c>
      <c r="LL8" s="17">
        <v>0.70510923987255336</v>
      </c>
      <c r="LM8" s="17">
        <v>4.4070901517326351E-2</v>
      </c>
      <c r="LN8" s="17">
        <v>0.49522075557578521</v>
      </c>
      <c r="LO8" s="17">
        <v>1.9778814287612648E-2</v>
      </c>
      <c r="LP8" s="17">
        <v>0.33175921711424688</v>
      </c>
      <c r="LQ8" s="17">
        <v>7.8436736343093037E-3</v>
      </c>
      <c r="LR8" s="17">
        <v>0.20892125625853425</v>
      </c>
      <c r="LS8" s="17">
        <v>2.6268304298714619E-3</v>
      </c>
      <c r="LT8" s="17">
        <v>0.1209035047792444</v>
      </c>
      <c r="LU8" s="17">
        <v>6.8860783620822423E-4</v>
      </c>
      <c r="LV8" s="17">
        <v>6.1902594446973151E-2</v>
      </c>
    </row>
    <row r="9" spans="1:334" s="4" customFormat="1" ht="14.25" x14ac:dyDescent="0.2">
      <c r="A9" s="16">
        <v>3</v>
      </c>
      <c r="B9" s="17" t="s">
        <v>681</v>
      </c>
      <c r="C9" s="18" t="s">
        <v>407</v>
      </c>
      <c r="D9" s="18" t="s">
        <v>81</v>
      </c>
      <c r="E9" s="18" t="s">
        <v>407</v>
      </c>
      <c r="F9" s="19" t="s">
        <v>82</v>
      </c>
      <c r="G9" s="19" t="s">
        <v>408</v>
      </c>
      <c r="H9" s="20">
        <v>-1</v>
      </c>
      <c r="I9" s="21">
        <v>31.68</v>
      </c>
      <c r="J9" s="22">
        <v>25.35</v>
      </c>
      <c r="K9" s="20" t="s">
        <v>83</v>
      </c>
      <c r="L9" s="18">
        <v>0</v>
      </c>
      <c r="M9" s="18">
        <v>1</v>
      </c>
      <c r="N9" s="18" t="s">
        <v>407</v>
      </c>
      <c r="O9" s="23">
        <v>0</v>
      </c>
      <c r="P9" s="23">
        <v>0</v>
      </c>
      <c r="Q9" s="23">
        <v>1</v>
      </c>
      <c r="R9" s="23">
        <v>1</v>
      </c>
      <c r="S9" s="23">
        <v>0</v>
      </c>
      <c r="T9" s="23">
        <v>40</v>
      </c>
      <c r="U9" s="23">
        <v>0</v>
      </c>
      <c r="V9" s="23">
        <v>40</v>
      </c>
      <c r="W9" s="23">
        <v>0</v>
      </c>
      <c r="X9" s="18" t="s">
        <v>407</v>
      </c>
      <c r="Y9" s="17">
        <v>736.65849312720013</v>
      </c>
      <c r="Z9" s="17">
        <v>718.64793312720008</v>
      </c>
      <c r="AA9" s="17">
        <v>736.65849312720013</v>
      </c>
      <c r="AB9" s="17">
        <v>718.64793312720008</v>
      </c>
      <c r="AC9" s="17">
        <v>1298.2919131272001</v>
      </c>
      <c r="AD9" s="17">
        <v>1280.2813484432002</v>
      </c>
      <c r="AE9" s="17">
        <v>1262.2707837592002</v>
      </c>
      <c r="AF9" s="17">
        <v>1244.2602190752002</v>
      </c>
      <c r="AG9" s="17">
        <v>1224.2551336948002</v>
      </c>
      <c r="AH9" s="17">
        <v>1206.2445690108002</v>
      </c>
      <c r="AI9" s="17">
        <v>1114.1972248944003</v>
      </c>
      <c r="AJ9" s="17">
        <v>741.69721061560017</v>
      </c>
      <c r="AK9" s="17">
        <v>723.6866459316002</v>
      </c>
      <c r="AL9" s="17">
        <v>705.67608124760022</v>
      </c>
      <c r="AM9" s="17">
        <v>687.66551656360025</v>
      </c>
      <c r="AN9" s="17">
        <v>667.66043118320022</v>
      </c>
      <c r="AO9" s="17">
        <v>649.64986649920024</v>
      </c>
      <c r="AP9" s="17">
        <v>631.63930181520027</v>
      </c>
      <c r="AQ9" s="17">
        <v>613.6287371312003</v>
      </c>
      <c r="AR9" s="17">
        <v>595.61817244720032</v>
      </c>
      <c r="AS9" s="17">
        <v>611.63421643480024</v>
      </c>
      <c r="AT9" s="17">
        <v>593.62365175080026</v>
      </c>
      <c r="AU9" s="17">
        <v>557.6025275116001</v>
      </c>
      <c r="AV9" s="17">
        <v>575.61309219560007</v>
      </c>
      <c r="AW9" s="17">
        <v>741.69721061560017</v>
      </c>
      <c r="AX9" s="17">
        <v>723.6866459316002</v>
      </c>
      <c r="AY9" s="17">
        <v>705.67608124760022</v>
      </c>
      <c r="AZ9" s="17">
        <v>687.66551656360025</v>
      </c>
      <c r="BA9" s="17">
        <v>667.66043118320022</v>
      </c>
      <c r="BB9" s="17">
        <v>649.64986649920024</v>
      </c>
      <c r="BC9" s="17">
        <v>631.63930181520027</v>
      </c>
      <c r="BD9" s="17">
        <v>613.6287371312003</v>
      </c>
      <c r="BE9" s="17">
        <v>595.61817244720032</v>
      </c>
      <c r="BF9" s="17">
        <v>611.63421643480024</v>
      </c>
      <c r="BG9" s="17">
        <v>593.62365175080026</v>
      </c>
      <c r="BH9" s="17">
        <v>555.58687751160005</v>
      </c>
      <c r="BI9" s="17">
        <v>573.59744219560002</v>
      </c>
      <c r="BJ9" s="17">
        <v>55.0547752254</v>
      </c>
      <c r="BK9" s="17">
        <v>57.070425289800006</v>
      </c>
      <c r="BL9" s="17">
        <v>69.070425289799999</v>
      </c>
      <c r="BM9" s="17">
        <v>71.086075354200005</v>
      </c>
      <c r="BN9" s="17">
        <v>81.070425289799999</v>
      </c>
      <c r="BO9" s="17">
        <v>83.086075354200005</v>
      </c>
      <c r="BP9" s="17">
        <v>85.101725418599997</v>
      </c>
      <c r="BQ9" s="17">
        <v>95.086075354200005</v>
      </c>
      <c r="BR9" s="17">
        <v>97.101725418599997</v>
      </c>
      <c r="BS9" s="17">
        <v>99.117375483000004</v>
      </c>
      <c r="BT9" s="17">
        <v>109.1017254186</v>
      </c>
      <c r="BU9" s="17">
        <v>111.117375483</v>
      </c>
      <c r="BV9" s="17">
        <v>113.13302554740001</v>
      </c>
      <c r="BW9" s="17">
        <v>123.117375483</v>
      </c>
      <c r="BX9" s="17">
        <v>125.13302554740001</v>
      </c>
      <c r="BY9" s="17">
        <v>127.1486756118</v>
      </c>
      <c r="BZ9" s="17">
        <v>137.1330255474</v>
      </c>
      <c r="CA9" s="17">
        <v>139.1486756118</v>
      </c>
      <c r="CB9" s="17">
        <v>141.16432567620001</v>
      </c>
      <c r="CC9" s="17">
        <v>151.1486756118</v>
      </c>
      <c r="CD9" s="17">
        <v>153.16432567620001</v>
      </c>
      <c r="CE9" s="17">
        <v>155.17997574060001</v>
      </c>
      <c r="CF9" s="17">
        <v>165.16432567620001</v>
      </c>
      <c r="CG9" s="17">
        <v>167.17997574060001</v>
      </c>
      <c r="CH9" s="17">
        <v>169.19562580499999</v>
      </c>
      <c r="CI9" s="17">
        <v>179.17997574060001</v>
      </c>
      <c r="CJ9" s="17">
        <v>181.19562580499999</v>
      </c>
      <c r="CK9" s="17">
        <v>183.2112758694</v>
      </c>
      <c r="CL9" s="17">
        <v>193.19562580499999</v>
      </c>
      <c r="CM9" s="17">
        <v>195.2112758694</v>
      </c>
      <c r="CN9" s="17">
        <v>197.2269259338</v>
      </c>
      <c r="CO9" s="17">
        <v>207.2112758694</v>
      </c>
      <c r="CP9" s="17">
        <v>209.2269259338</v>
      </c>
      <c r="CQ9" s="17">
        <v>211.24257599820001</v>
      </c>
      <c r="CR9" s="17">
        <v>221.2269259338</v>
      </c>
      <c r="CS9" s="17">
        <v>223.24257599820001</v>
      </c>
      <c r="CT9" s="17">
        <v>225.25822606260002</v>
      </c>
      <c r="CU9" s="17">
        <v>235.24257599820001</v>
      </c>
      <c r="CV9" s="17">
        <v>237.25822606260002</v>
      </c>
      <c r="CW9" s="17">
        <v>239.27387612699999</v>
      </c>
      <c r="CX9" s="17">
        <v>249.25822606260002</v>
      </c>
      <c r="CY9" s="17">
        <v>251.27387612699999</v>
      </c>
      <c r="CZ9" s="17">
        <v>253.2895261914</v>
      </c>
      <c r="DA9" s="17">
        <v>263.27387612699999</v>
      </c>
      <c r="DB9" s="17">
        <v>265.2895261914</v>
      </c>
      <c r="DC9" s="17">
        <v>267.30517625580001</v>
      </c>
      <c r="DD9" s="17">
        <v>277.2895261914</v>
      </c>
      <c r="DE9" s="17">
        <v>279.30517625580001</v>
      </c>
      <c r="DF9" s="17">
        <v>281.32082632020001</v>
      </c>
      <c r="DG9" s="17">
        <v>291.30517625580001</v>
      </c>
      <c r="DH9" s="17">
        <v>293.32082632020001</v>
      </c>
      <c r="DI9" s="17">
        <v>295.33647638460002</v>
      </c>
      <c r="DJ9" s="17">
        <v>305.32082632020001</v>
      </c>
      <c r="DK9" s="17">
        <v>307.33647638460002</v>
      </c>
      <c r="DL9" s="17">
        <v>309.35212644900002</v>
      </c>
      <c r="DM9" s="17">
        <v>319.33647638460002</v>
      </c>
      <c r="DN9" s="17">
        <v>321.35212644900002</v>
      </c>
      <c r="DO9" s="17">
        <v>323.36777651340003</v>
      </c>
      <c r="DP9" s="17">
        <v>333.35212644900002</v>
      </c>
      <c r="DQ9" s="17">
        <v>335.36777651340003</v>
      </c>
      <c r="DR9" s="17">
        <v>55.0547752254</v>
      </c>
      <c r="DS9" s="17">
        <v>57.070425289800006</v>
      </c>
      <c r="DT9" s="17">
        <v>69.070425289799999</v>
      </c>
      <c r="DU9" s="17">
        <v>71.086075354200005</v>
      </c>
      <c r="DV9" s="17">
        <v>81.070425289799999</v>
      </c>
      <c r="DW9" s="17">
        <v>83.086075354200005</v>
      </c>
      <c r="DX9" s="17">
        <v>85.101725418599997</v>
      </c>
      <c r="DY9" s="17">
        <v>95.086075354200005</v>
      </c>
      <c r="DZ9" s="17">
        <v>97.101725418599997</v>
      </c>
      <c r="EA9" s="17">
        <v>99.117375483000004</v>
      </c>
      <c r="EB9" s="17">
        <v>109.1017254186</v>
      </c>
      <c r="EC9" s="17">
        <v>111.117375483</v>
      </c>
      <c r="ED9" s="17">
        <v>113.13302554740001</v>
      </c>
      <c r="EE9" s="17">
        <v>123.117375483</v>
      </c>
      <c r="EF9" s="17">
        <v>125.13302554740001</v>
      </c>
      <c r="EG9" s="17">
        <v>127.1486756118</v>
      </c>
      <c r="EH9" s="17">
        <v>137.1330255474</v>
      </c>
      <c r="EI9" s="17">
        <v>139.1486756118</v>
      </c>
      <c r="EJ9" s="17">
        <v>141.16432567620001</v>
      </c>
      <c r="EK9" s="17">
        <v>151.1486756118</v>
      </c>
      <c r="EL9" s="17">
        <v>153.16432567620001</v>
      </c>
      <c r="EM9" s="17">
        <v>155.17997574060001</v>
      </c>
      <c r="EN9" s="17">
        <v>165.16432567620001</v>
      </c>
      <c r="EO9" s="17">
        <v>167.17997574060001</v>
      </c>
      <c r="EP9" s="17">
        <v>169.19562580499999</v>
      </c>
      <c r="EQ9" s="17">
        <v>179.17997574060001</v>
      </c>
      <c r="ER9" s="17">
        <v>181.19562580499999</v>
      </c>
      <c r="ES9" s="17">
        <v>183.2112758694</v>
      </c>
      <c r="ET9" s="17">
        <v>193.19562580499999</v>
      </c>
      <c r="EU9" s="17">
        <v>195.2112758694</v>
      </c>
      <c r="EV9" s="17">
        <v>197.2269259338</v>
      </c>
      <c r="EW9" s="17">
        <v>207.2112758694</v>
      </c>
      <c r="EX9" s="17">
        <v>209.2269259338</v>
      </c>
      <c r="EY9" s="17">
        <v>211.24257599820001</v>
      </c>
      <c r="EZ9" s="17">
        <v>221.2269259338</v>
      </c>
      <c r="FA9" s="17">
        <v>223.24257599820001</v>
      </c>
      <c r="FB9" s="17">
        <v>225.25822606260002</v>
      </c>
      <c r="FC9" s="17">
        <v>235.24257599820001</v>
      </c>
      <c r="FD9" s="17">
        <v>237.25822606260002</v>
      </c>
      <c r="FE9" s="17">
        <v>239.27387612699999</v>
      </c>
      <c r="FF9" s="17">
        <v>249.25822606260002</v>
      </c>
      <c r="FG9" s="17">
        <v>251.27387612699999</v>
      </c>
      <c r="FH9" s="17">
        <v>253.2895261914</v>
      </c>
      <c r="FI9" s="17">
        <v>263.27387612699999</v>
      </c>
      <c r="FJ9" s="17">
        <v>265.2895261914</v>
      </c>
      <c r="FK9" s="17">
        <v>267.30517625580001</v>
      </c>
      <c r="FL9" s="17">
        <v>277.2895261914</v>
      </c>
      <c r="FM9" s="17">
        <v>279.30517625580001</v>
      </c>
      <c r="FN9" s="17">
        <v>281.32082632020001</v>
      </c>
      <c r="FO9" s="17">
        <v>291.30517625580001</v>
      </c>
      <c r="FP9" s="17">
        <v>293.32082632020001</v>
      </c>
      <c r="FQ9" s="17">
        <v>295.33647638460002</v>
      </c>
      <c r="FR9" s="17">
        <v>305.32082632020001</v>
      </c>
      <c r="FS9" s="17">
        <v>307.33647638460002</v>
      </c>
      <c r="FT9" s="17">
        <v>309.35212644900002</v>
      </c>
      <c r="FU9" s="17">
        <v>319.33647638460002</v>
      </c>
      <c r="FV9" s="17">
        <v>321.35212644900002</v>
      </c>
      <c r="FW9" s="17">
        <v>323.36777651340003</v>
      </c>
      <c r="FX9" s="17">
        <v>333.35212644900002</v>
      </c>
      <c r="FY9" s="17">
        <v>335.36777651340003</v>
      </c>
      <c r="FZ9" s="17">
        <v>144.4</v>
      </c>
      <c r="GA9" s="17">
        <v>18.05</v>
      </c>
      <c r="GB9" s="17">
        <v>2.2562500000000001</v>
      </c>
      <c r="GC9" s="17">
        <v>1.128125</v>
      </c>
      <c r="GD9" s="17">
        <v>7.6800000000000015</v>
      </c>
      <c r="GE9" s="17">
        <v>2</v>
      </c>
      <c r="GF9" s="17">
        <v>0</v>
      </c>
      <c r="GG9" s="17">
        <v>64</v>
      </c>
      <c r="GH9" s="17">
        <v>35.555555555555557</v>
      </c>
      <c r="GI9" s="17">
        <v>24.888888888888889</v>
      </c>
      <c r="GJ9" s="17">
        <v>8.2962962962962958</v>
      </c>
      <c r="GK9" s="17">
        <v>36</v>
      </c>
      <c r="GL9" s="17">
        <v>36</v>
      </c>
      <c r="GM9" s="17">
        <v>18</v>
      </c>
      <c r="GN9" s="17">
        <v>36</v>
      </c>
      <c r="GO9" s="17">
        <v>7.2</v>
      </c>
      <c r="GP9" s="17">
        <v>15</v>
      </c>
      <c r="GQ9" s="17">
        <v>3.75</v>
      </c>
      <c r="GR9" s="17">
        <v>21.599999999999998</v>
      </c>
      <c r="GS9" s="17">
        <v>10.799999999999999</v>
      </c>
      <c r="GT9" s="17">
        <v>64</v>
      </c>
      <c r="GU9" s="17">
        <v>35.555555555555557</v>
      </c>
      <c r="GV9" s="17">
        <v>24.888888888888889</v>
      </c>
      <c r="GW9" s="17">
        <v>8.2962962962962958</v>
      </c>
      <c r="GX9" s="17">
        <v>36</v>
      </c>
      <c r="GY9" s="17">
        <v>36</v>
      </c>
      <c r="GZ9" s="17">
        <v>18</v>
      </c>
      <c r="HA9" s="17">
        <v>36</v>
      </c>
      <c r="HB9" s="17">
        <v>7.2</v>
      </c>
      <c r="HC9" s="17">
        <v>15</v>
      </c>
      <c r="HD9" s="17">
        <v>3.75</v>
      </c>
      <c r="HE9" s="17">
        <v>21.599999999999998</v>
      </c>
      <c r="HF9" s="17">
        <v>10.799999999999999</v>
      </c>
      <c r="HG9" s="17">
        <v>1.831817626953125</v>
      </c>
      <c r="HH9" s="17">
        <v>3.9085542785616756</v>
      </c>
      <c r="HI9" s="17">
        <v>5.5902637541294098</v>
      </c>
      <c r="HJ9" s="17">
        <v>6.6844560764679102</v>
      </c>
      <c r="HK9" s="17">
        <v>4.1731095314025879</v>
      </c>
      <c r="HL9" s="17">
        <v>13.910365104675293</v>
      </c>
      <c r="HM9" s="17">
        <v>8.2393747155211656</v>
      </c>
      <c r="HN9" s="17">
        <v>10.523023046553135</v>
      </c>
      <c r="HO9" s="17">
        <v>47.488933104557965</v>
      </c>
      <c r="HP9" s="17">
        <v>3.5747610377787895</v>
      </c>
      <c r="HQ9" s="17">
        <v>23.447265625</v>
      </c>
      <c r="HR9" s="17">
        <v>58.6181640625</v>
      </c>
      <c r="HS9" s="17">
        <v>2.9420658852981334</v>
      </c>
      <c r="HT9" s="17">
        <v>18.340553474863764</v>
      </c>
      <c r="HU9" s="17">
        <v>47.488933104557965</v>
      </c>
      <c r="HV9" s="17">
        <v>3.3427401001365502</v>
      </c>
      <c r="HW9" s="17">
        <v>14.218460218992666</v>
      </c>
      <c r="HX9" s="17">
        <v>38.179198736184006</v>
      </c>
      <c r="HY9" s="17">
        <v>3.7782345243513888</v>
      </c>
      <c r="HZ9" s="17">
        <v>10.917410842418233</v>
      </c>
      <c r="IA9" s="17">
        <v>30.44278023366623</v>
      </c>
      <c r="IB9" s="17">
        <v>4.25</v>
      </c>
      <c r="IC9" s="17">
        <v>8.296334973198956</v>
      </c>
      <c r="ID9" s="17">
        <v>24.059371422276975</v>
      </c>
      <c r="IE9" s="17">
        <v>3.7782345243513888</v>
      </c>
      <c r="IF9" s="17">
        <v>6.2342599931508875</v>
      </c>
      <c r="IG9" s="17">
        <v>18.832660395976639</v>
      </c>
      <c r="IH9" s="17">
        <v>3.3427401001365502</v>
      </c>
      <c r="II9" s="17">
        <v>4.6280822675183844</v>
      </c>
      <c r="IJ9" s="17">
        <v>14.588520191090559</v>
      </c>
      <c r="IK9" s="17">
        <v>2.9420658852981334</v>
      </c>
      <c r="IL9" s="17">
        <v>3.3905096428567076</v>
      </c>
      <c r="IM9" s="17">
        <v>11.173270413959607</v>
      </c>
      <c r="IN9" s="17">
        <v>2.5747610377787895</v>
      </c>
      <c r="IO9" s="17">
        <v>2.4481683623978912</v>
      </c>
      <c r="IP9" s="17">
        <v>8.4520098225641469</v>
      </c>
      <c r="IQ9" s="17">
        <v>2.2393747155211652</v>
      </c>
      <c r="IR9" s="17">
        <v>1.7398675481714156</v>
      </c>
      <c r="IS9" s="17">
        <v>6.30701986212138</v>
      </c>
      <c r="IT9" s="17">
        <v>1.9344560764679104</v>
      </c>
      <c r="IU9" s="17">
        <v>1.2150143991512878</v>
      </c>
      <c r="IV9" s="17">
        <v>4.6362391546562289</v>
      </c>
      <c r="IW9" s="17">
        <v>1.6585542785616756</v>
      </c>
      <c r="IX9" s="17">
        <v>0.83217325470098846</v>
      </c>
      <c r="IY9" s="17">
        <v>3.3518089425456479</v>
      </c>
      <c r="IZ9" s="17">
        <v>1.4102184797451067</v>
      </c>
      <c r="JA9" s="17">
        <v>0.55776167258782994</v>
      </c>
      <c r="JB9" s="17">
        <v>2.3786894860363308</v>
      </c>
      <c r="JC9" s="17">
        <v>1.1879978379608558</v>
      </c>
      <c r="JD9" s="17">
        <v>0.36487667083827779</v>
      </c>
      <c r="JE9" s="17">
        <v>1.6533474147359464</v>
      </c>
      <c r="JF9" s="17">
        <v>0.99044151115157042</v>
      </c>
      <c r="JG9" s="17">
        <v>0.23224428270574216</v>
      </c>
      <c r="JH9" s="17">
        <v>1.1225140330777554</v>
      </c>
      <c r="JI9" s="17">
        <v>0.81609865725989961</v>
      </c>
      <c r="JJ9" s="17">
        <v>0.14328557402237305</v>
      </c>
      <c r="JK9" s="17">
        <v>0.74201457975871821</v>
      </c>
      <c r="JL9" s="17">
        <v>0.66351843422849333</v>
      </c>
      <c r="JM9" s="17">
        <v>8.5292272206392447E-2</v>
      </c>
      <c r="JN9" s="17">
        <v>0.47566844115103485</v>
      </c>
      <c r="JO9" s="17">
        <v>1.831817626953125</v>
      </c>
      <c r="JP9" s="17">
        <v>3.9085542785616756</v>
      </c>
      <c r="JQ9" s="17">
        <v>5.5902637541294098</v>
      </c>
      <c r="JR9" s="17">
        <v>6.6844560764679102</v>
      </c>
      <c r="JS9" s="17">
        <v>4.1731095314025879</v>
      </c>
      <c r="JT9" s="17">
        <v>13.910365104675293</v>
      </c>
      <c r="JU9" s="17">
        <v>8.2393747155211656</v>
      </c>
      <c r="JV9" s="17">
        <v>10.523023046553135</v>
      </c>
      <c r="JW9" s="17">
        <v>47.488933104557965</v>
      </c>
      <c r="JX9" s="17">
        <v>3.5747610377787895</v>
      </c>
      <c r="JY9" s="17">
        <v>23.447265625</v>
      </c>
      <c r="JZ9" s="17">
        <v>58.6181640625</v>
      </c>
      <c r="KA9" s="17">
        <v>2.9420658852981334</v>
      </c>
      <c r="KB9" s="17">
        <v>18.340553474863764</v>
      </c>
      <c r="KC9" s="17">
        <v>47.488933104557965</v>
      </c>
      <c r="KD9" s="17">
        <v>3.3427401001365502</v>
      </c>
      <c r="KE9" s="17">
        <v>14.218460218992666</v>
      </c>
      <c r="KF9" s="17">
        <v>38.179198736184006</v>
      </c>
      <c r="KG9" s="17">
        <v>3.7782345243513888</v>
      </c>
      <c r="KH9" s="17">
        <v>10.917410842418233</v>
      </c>
      <c r="KI9" s="17">
        <v>30.44278023366623</v>
      </c>
      <c r="KJ9" s="17">
        <v>4.25</v>
      </c>
      <c r="KK9" s="17">
        <v>8.296334973198956</v>
      </c>
      <c r="KL9" s="17">
        <v>24.059371422276975</v>
      </c>
      <c r="KM9" s="17">
        <v>3.7782345243513888</v>
      </c>
      <c r="KN9" s="17">
        <v>6.2342599931508875</v>
      </c>
      <c r="KO9" s="17">
        <v>18.832660395976639</v>
      </c>
      <c r="KP9" s="17">
        <v>3.3427401001365502</v>
      </c>
      <c r="KQ9" s="17">
        <v>4.6280822675183844</v>
      </c>
      <c r="KR9" s="17">
        <v>14.588520191090559</v>
      </c>
      <c r="KS9" s="17">
        <v>2.9420658852981334</v>
      </c>
      <c r="KT9" s="17">
        <v>3.3905096428567076</v>
      </c>
      <c r="KU9" s="17">
        <v>11.173270413959607</v>
      </c>
      <c r="KV9" s="17">
        <v>2.5747610377787895</v>
      </c>
      <c r="KW9" s="17">
        <v>2.4481683623978912</v>
      </c>
      <c r="KX9" s="17">
        <v>8.4520098225641469</v>
      </c>
      <c r="KY9" s="17">
        <v>2.2393747155211652</v>
      </c>
      <c r="KZ9" s="17">
        <v>1.7398675481714156</v>
      </c>
      <c r="LA9" s="17">
        <v>6.30701986212138</v>
      </c>
      <c r="LB9" s="17">
        <v>1.9344560764679104</v>
      </c>
      <c r="LC9" s="17">
        <v>1.2150143991512878</v>
      </c>
      <c r="LD9" s="17">
        <v>4.6362391546562289</v>
      </c>
      <c r="LE9" s="17">
        <v>1.6585542785616756</v>
      </c>
      <c r="LF9" s="17">
        <v>0.83217325470098846</v>
      </c>
      <c r="LG9" s="17">
        <v>3.3518089425456479</v>
      </c>
      <c r="LH9" s="17">
        <v>1.4102184797451067</v>
      </c>
      <c r="LI9" s="17">
        <v>0.55776167258782994</v>
      </c>
      <c r="LJ9" s="17">
        <v>2.3786894860363308</v>
      </c>
      <c r="LK9" s="17">
        <v>1.1879978379608558</v>
      </c>
      <c r="LL9" s="17">
        <v>0.36487667083827779</v>
      </c>
      <c r="LM9" s="17">
        <v>1.6533474147359464</v>
      </c>
      <c r="LN9" s="17">
        <v>0.99044151115157042</v>
      </c>
      <c r="LO9" s="17">
        <v>0.23224428270574216</v>
      </c>
      <c r="LP9" s="17">
        <v>1.1225140330777554</v>
      </c>
      <c r="LQ9" s="17">
        <v>0.81609865725989961</v>
      </c>
      <c r="LR9" s="17">
        <v>0.14328557402237305</v>
      </c>
      <c r="LS9" s="17">
        <v>0.74201457975871821</v>
      </c>
      <c r="LT9" s="17">
        <v>0.66351843422849333</v>
      </c>
      <c r="LU9" s="17">
        <v>8.5292272206392447E-2</v>
      </c>
      <c r="LV9" s="17">
        <v>0.47566844115103485</v>
      </c>
    </row>
    <row r="10" spans="1:334" s="4" customFormat="1" ht="14.25" x14ac:dyDescent="0.2">
      <c r="A10" s="16">
        <v>4</v>
      </c>
      <c r="B10" s="17" t="s">
        <v>681</v>
      </c>
      <c r="C10" s="18" t="s">
        <v>409</v>
      </c>
      <c r="D10" s="18" t="s">
        <v>81</v>
      </c>
      <c r="E10" s="18" t="s">
        <v>409</v>
      </c>
      <c r="F10" s="19" t="s">
        <v>84</v>
      </c>
      <c r="G10" s="19" t="s">
        <v>410</v>
      </c>
      <c r="H10" s="20">
        <v>-1</v>
      </c>
      <c r="I10" s="21">
        <v>31.49</v>
      </c>
      <c r="J10" s="22">
        <v>25.35</v>
      </c>
      <c r="K10" s="20" t="s">
        <v>85</v>
      </c>
      <c r="L10" s="18">
        <v>0</v>
      </c>
      <c r="M10" s="18">
        <v>1</v>
      </c>
      <c r="N10" s="18" t="s">
        <v>409</v>
      </c>
      <c r="O10" s="23">
        <v>0</v>
      </c>
      <c r="P10" s="23">
        <v>0</v>
      </c>
      <c r="Q10" s="23">
        <v>2</v>
      </c>
      <c r="R10" s="23">
        <v>0</v>
      </c>
      <c r="S10" s="23">
        <v>0</v>
      </c>
      <c r="T10" s="23">
        <v>40</v>
      </c>
      <c r="U10" s="23">
        <v>0</v>
      </c>
      <c r="V10" s="23">
        <v>40</v>
      </c>
      <c r="W10" s="23">
        <v>0</v>
      </c>
      <c r="X10" s="18" t="s">
        <v>409</v>
      </c>
      <c r="Y10" s="17">
        <v>736.65849312720013</v>
      </c>
      <c r="Z10" s="17">
        <v>718.64793312720008</v>
      </c>
      <c r="AA10" s="17">
        <v>736.65849312720013</v>
      </c>
      <c r="AB10" s="17">
        <v>718.64793312720008</v>
      </c>
      <c r="AC10" s="17">
        <v>1298.2919131272001</v>
      </c>
      <c r="AD10" s="17">
        <v>1280.2813484432002</v>
      </c>
      <c r="AE10" s="17">
        <v>1262.2707837592002</v>
      </c>
      <c r="AF10" s="17">
        <v>1244.2602190752002</v>
      </c>
      <c r="AG10" s="17">
        <v>1224.2551336948002</v>
      </c>
      <c r="AH10" s="17">
        <v>1206.2445690108002</v>
      </c>
      <c r="AI10" s="17">
        <v>1114.1972248944003</v>
      </c>
      <c r="AJ10" s="17">
        <v>743.71286068000018</v>
      </c>
      <c r="AK10" s="17">
        <v>725.7022959960002</v>
      </c>
      <c r="AL10" s="17">
        <v>707.69173131200023</v>
      </c>
      <c r="AM10" s="17">
        <v>689.68116662800026</v>
      </c>
      <c r="AN10" s="17">
        <v>669.67608124760022</v>
      </c>
      <c r="AO10" s="17">
        <v>651.66551656360025</v>
      </c>
      <c r="AP10" s="17">
        <v>633.65495187960028</v>
      </c>
      <c r="AQ10" s="17">
        <v>615.6443871956003</v>
      </c>
      <c r="AR10" s="17">
        <v>597.63382251160033</v>
      </c>
      <c r="AS10" s="17">
        <v>613.64986649920024</v>
      </c>
      <c r="AT10" s="17">
        <v>595.63930181520027</v>
      </c>
      <c r="AU10" s="17">
        <v>553.57122744720004</v>
      </c>
      <c r="AV10" s="17">
        <v>571.58179213120002</v>
      </c>
      <c r="AW10" s="17">
        <v>739.68156055120016</v>
      </c>
      <c r="AX10" s="17">
        <v>721.67099586720019</v>
      </c>
      <c r="AY10" s="17">
        <v>703.66043118320022</v>
      </c>
      <c r="AZ10" s="17">
        <v>685.64986649920024</v>
      </c>
      <c r="BA10" s="17">
        <v>665.64478111880021</v>
      </c>
      <c r="BB10" s="17">
        <v>647.63421643480024</v>
      </c>
      <c r="BC10" s="17">
        <v>629.62365175080026</v>
      </c>
      <c r="BD10" s="17">
        <v>611.61308706680029</v>
      </c>
      <c r="BE10" s="17">
        <v>593.60252238280032</v>
      </c>
      <c r="BF10" s="17">
        <v>609.61856637040023</v>
      </c>
      <c r="BG10" s="17">
        <v>591.60800168640026</v>
      </c>
      <c r="BH10" s="17">
        <v>557.60252757600006</v>
      </c>
      <c r="BI10" s="17">
        <v>575.61309226000003</v>
      </c>
      <c r="BJ10" s="17">
        <v>55.0547752254</v>
      </c>
      <c r="BK10" s="17">
        <v>57.070425289800006</v>
      </c>
      <c r="BL10" s="17">
        <v>69.070425289799999</v>
      </c>
      <c r="BM10" s="17">
        <v>71.086075354200005</v>
      </c>
      <c r="BN10" s="17">
        <v>81.070425289799999</v>
      </c>
      <c r="BO10" s="17">
        <v>83.086075354200005</v>
      </c>
      <c r="BP10" s="17">
        <v>85.101725418599997</v>
      </c>
      <c r="BQ10" s="17">
        <v>95.086075354200005</v>
      </c>
      <c r="BR10" s="17">
        <v>97.101725418599997</v>
      </c>
      <c r="BS10" s="17">
        <v>99.117375483000004</v>
      </c>
      <c r="BT10" s="17">
        <v>109.1017254186</v>
      </c>
      <c r="BU10" s="17">
        <v>111.117375483</v>
      </c>
      <c r="BV10" s="17">
        <v>113.13302554740001</v>
      </c>
      <c r="BW10" s="17">
        <v>123.117375483</v>
      </c>
      <c r="BX10" s="17">
        <v>125.13302554740001</v>
      </c>
      <c r="BY10" s="17">
        <v>127.1486756118</v>
      </c>
      <c r="BZ10" s="17">
        <v>137.1330255474</v>
      </c>
      <c r="CA10" s="17">
        <v>139.1486756118</v>
      </c>
      <c r="CB10" s="17">
        <v>141.16432567620001</v>
      </c>
      <c r="CC10" s="17">
        <v>149.1330255474</v>
      </c>
      <c r="CD10" s="17">
        <v>151.1486756118</v>
      </c>
      <c r="CE10" s="17">
        <v>153.16432567620001</v>
      </c>
      <c r="CF10" s="17">
        <v>155.17997574060001</v>
      </c>
      <c r="CG10" s="17">
        <v>163.1486756118</v>
      </c>
      <c r="CH10" s="17">
        <v>165.16432567620001</v>
      </c>
      <c r="CI10" s="17">
        <v>167.17997574060001</v>
      </c>
      <c r="CJ10" s="17">
        <v>169.19562580499999</v>
      </c>
      <c r="CK10" s="17">
        <v>177.16432567620001</v>
      </c>
      <c r="CL10" s="17">
        <v>179.17997574060001</v>
      </c>
      <c r="CM10" s="17">
        <v>181.19562580499999</v>
      </c>
      <c r="CN10" s="17">
        <v>183.2112758694</v>
      </c>
      <c r="CO10" s="17">
        <v>191.17997574060001</v>
      </c>
      <c r="CP10" s="17">
        <v>193.19562580499999</v>
      </c>
      <c r="CQ10" s="17">
        <v>195.2112758694</v>
      </c>
      <c r="CR10" s="17">
        <v>197.2269259338</v>
      </c>
      <c r="CS10" s="17">
        <v>205.19562580499999</v>
      </c>
      <c r="CT10" s="17">
        <v>207.2112758694</v>
      </c>
      <c r="CU10" s="17">
        <v>209.2269259338</v>
      </c>
      <c r="CV10" s="17">
        <v>211.24257599820001</v>
      </c>
      <c r="CW10" s="17">
        <v>219.2112758694</v>
      </c>
      <c r="CX10" s="17">
        <v>221.2269259338</v>
      </c>
      <c r="CY10" s="17">
        <v>223.24257599820001</v>
      </c>
      <c r="CZ10" s="17">
        <v>225.25822606260002</v>
      </c>
      <c r="DA10" s="17">
        <v>233.2269259338</v>
      </c>
      <c r="DB10" s="17">
        <v>235.24257599820001</v>
      </c>
      <c r="DC10" s="17">
        <v>237.25822606260002</v>
      </c>
      <c r="DD10" s="17">
        <v>239.27387612699999</v>
      </c>
      <c r="DE10" s="17">
        <v>247.24257599820001</v>
      </c>
      <c r="DF10" s="17">
        <v>249.25822606260002</v>
      </c>
      <c r="DG10" s="17">
        <v>251.27387612699999</v>
      </c>
      <c r="DH10" s="17">
        <v>253.2895261914</v>
      </c>
      <c r="DI10" s="17">
        <v>261.25822606259999</v>
      </c>
      <c r="DJ10" s="17">
        <v>263.27387612699999</v>
      </c>
      <c r="DK10" s="17">
        <v>265.2895261914</v>
      </c>
      <c r="DL10" s="17">
        <v>267.30517625580001</v>
      </c>
      <c r="DM10" s="17">
        <v>275.27387612699999</v>
      </c>
      <c r="DN10" s="17">
        <v>277.2895261914</v>
      </c>
      <c r="DO10" s="17">
        <v>279.30517625580001</v>
      </c>
      <c r="DP10" s="17">
        <v>281.32082632020001</v>
      </c>
      <c r="DQ10" s="17">
        <v>289.2895261914</v>
      </c>
      <c r="DR10" s="17">
        <v>55.0547752254</v>
      </c>
      <c r="DS10" s="17">
        <v>57.070425289800006</v>
      </c>
      <c r="DT10" s="17">
        <v>69.070425289799999</v>
      </c>
      <c r="DU10" s="17">
        <v>71.086075354200005</v>
      </c>
      <c r="DV10" s="17">
        <v>83.086075354200005</v>
      </c>
      <c r="DW10" s="17">
        <v>85.101725418599997</v>
      </c>
      <c r="DX10" s="17">
        <v>97.101725418599997</v>
      </c>
      <c r="DY10" s="17">
        <v>99.117375483000004</v>
      </c>
      <c r="DZ10" s="17">
        <v>111.117375483</v>
      </c>
      <c r="EA10" s="17">
        <v>113.13302554740001</v>
      </c>
      <c r="EB10" s="17">
        <v>125.13302554740001</v>
      </c>
      <c r="EC10" s="17">
        <v>127.1486756118</v>
      </c>
      <c r="ED10" s="17">
        <v>139.1486756118</v>
      </c>
      <c r="EE10" s="17">
        <v>141.16432567620001</v>
      </c>
      <c r="EF10" s="17">
        <v>153.16432567620001</v>
      </c>
      <c r="EG10" s="17">
        <v>155.17997574060001</v>
      </c>
      <c r="EH10" s="17">
        <v>167.17997574060001</v>
      </c>
      <c r="EI10" s="17">
        <v>169.19562580499999</v>
      </c>
      <c r="EJ10" s="17">
        <v>181.19562580499999</v>
      </c>
      <c r="EK10" s="17">
        <v>183.2112758694</v>
      </c>
      <c r="EL10" s="17">
        <v>195.2112758694</v>
      </c>
      <c r="EM10" s="17">
        <v>197.2269259338</v>
      </c>
      <c r="EN10" s="17">
        <v>209.2269259338</v>
      </c>
      <c r="EO10" s="17">
        <v>211.24257599820001</v>
      </c>
      <c r="EP10" s="17">
        <v>223.24257599820001</v>
      </c>
      <c r="EQ10" s="17">
        <v>225.25822606260002</v>
      </c>
      <c r="ER10" s="17">
        <v>237.25822606260002</v>
      </c>
      <c r="ES10" s="17">
        <v>239.27387612699999</v>
      </c>
      <c r="ET10" s="17">
        <v>251.27387612699999</v>
      </c>
      <c r="EU10" s="17">
        <v>253.2895261914</v>
      </c>
      <c r="EV10" s="17">
        <v>265.2895261914</v>
      </c>
      <c r="EW10" s="17">
        <v>267.30517625580001</v>
      </c>
      <c r="EX10" s="17">
        <v>279.30517625580001</v>
      </c>
      <c r="EY10" s="17">
        <v>281.32082632020001</v>
      </c>
      <c r="EZ10" s="17">
        <v>293.32082632020001</v>
      </c>
      <c r="FA10" s="17">
        <v>295.33647638460002</v>
      </c>
      <c r="FB10" s="17">
        <v>307.33647638460002</v>
      </c>
      <c r="FC10" s="17">
        <v>309.35212644900002</v>
      </c>
      <c r="FD10" s="17">
        <v>321.35212644900002</v>
      </c>
      <c r="FE10" s="17">
        <v>323.36777651340003</v>
      </c>
      <c r="FF10" s="17">
        <v>335.36777651340003</v>
      </c>
      <c r="FG10" s="17">
        <v>337.38342657779998</v>
      </c>
      <c r="FH10" s="17">
        <v>349.38342657779998</v>
      </c>
      <c r="FI10" s="17">
        <v>351.39907664219999</v>
      </c>
      <c r="FJ10" s="17">
        <v>363.39907664219999</v>
      </c>
      <c r="FK10" s="17">
        <v>365.41472670659999</v>
      </c>
      <c r="FL10" s="17">
        <v>377.41472670659999</v>
      </c>
      <c r="FM10" s="17">
        <v>379.430376771</v>
      </c>
      <c r="FN10" s="17">
        <v>391.430376771</v>
      </c>
      <c r="FO10" s="17">
        <v>393.4460268354</v>
      </c>
      <c r="FP10" s="17">
        <v>405.4460268354</v>
      </c>
      <c r="FQ10" s="17">
        <v>407.46167689980001</v>
      </c>
      <c r="FR10" s="17">
        <v>419.46167689980001</v>
      </c>
      <c r="FS10" s="17">
        <v>421.47732696420002</v>
      </c>
      <c r="FT10" s="17">
        <v>433.47732696420002</v>
      </c>
      <c r="FU10" s="17">
        <v>435.49297702860002</v>
      </c>
      <c r="FV10" s="17">
        <v>447.49297702860002</v>
      </c>
      <c r="FW10" s="17">
        <v>449.50862709300003</v>
      </c>
      <c r="FX10" s="17">
        <v>461.50862709300003</v>
      </c>
      <c r="FY10" s="17">
        <v>463.52427715739998</v>
      </c>
      <c r="FZ10" s="17">
        <v>144.4</v>
      </c>
      <c r="GA10" s="17">
        <v>18.05</v>
      </c>
      <c r="GB10" s="17">
        <v>2.2562500000000001</v>
      </c>
      <c r="GC10" s="17">
        <v>1.128125</v>
      </c>
      <c r="GD10" s="17">
        <v>7.6800000000000015</v>
      </c>
      <c r="GE10" s="17">
        <v>2</v>
      </c>
      <c r="GF10" s="17">
        <v>0</v>
      </c>
      <c r="GG10" s="17">
        <v>80</v>
      </c>
      <c r="GH10" s="17">
        <v>44.444444444444443</v>
      </c>
      <c r="GI10" s="17">
        <v>31.111111111111107</v>
      </c>
      <c r="GJ10" s="17">
        <v>10.370370370370368</v>
      </c>
      <c r="GK10" s="17">
        <v>40</v>
      </c>
      <c r="GL10" s="17">
        <v>40</v>
      </c>
      <c r="GM10" s="17">
        <v>20</v>
      </c>
      <c r="GN10" s="17">
        <v>40</v>
      </c>
      <c r="GO10" s="17">
        <v>8</v>
      </c>
      <c r="GP10" s="17">
        <v>15</v>
      </c>
      <c r="GQ10" s="17">
        <v>3.75</v>
      </c>
      <c r="GR10" s="17">
        <v>8.64</v>
      </c>
      <c r="GS10" s="17">
        <v>4.32</v>
      </c>
      <c r="GT10" s="17">
        <v>25.600000000000005</v>
      </c>
      <c r="GU10" s="17">
        <v>14.222222222222225</v>
      </c>
      <c r="GV10" s="17">
        <v>9.9555555555555575</v>
      </c>
      <c r="GW10" s="17">
        <v>3.3185185185185193</v>
      </c>
      <c r="GX10" s="17">
        <v>32.400000000000006</v>
      </c>
      <c r="GY10" s="17">
        <v>32.400000000000006</v>
      </c>
      <c r="GZ10" s="17">
        <v>16.200000000000003</v>
      </c>
      <c r="HA10" s="17">
        <v>32.400000000000006</v>
      </c>
      <c r="HB10" s="17">
        <v>6.4800000000000013</v>
      </c>
      <c r="HC10" s="17">
        <v>15</v>
      </c>
      <c r="HD10" s="17">
        <v>3.75</v>
      </c>
      <c r="HE10" s="17">
        <v>18</v>
      </c>
      <c r="HF10" s="17">
        <v>9</v>
      </c>
      <c r="HG10" s="17">
        <v>0.98876953125</v>
      </c>
      <c r="HH10" s="17">
        <v>2.1075056052866707</v>
      </c>
      <c r="HI10" s="17">
        <v>3.0174851417541504</v>
      </c>
      <c r="HJ10" s="17">
        <v>2.9708693673190716</v>
      </c>
      <c r="HK10" s="17">
        <v>2.2525405883789063</v>
      </c>
      <c r="HL10" s="17">
        <v>7.5084686279296875</v>
      </c>
      <c r="HM10" s="17">
        <v>3.4767591328242213</v>
      </c>
      <c r="HN10" s="17">
        <v>5.6800657510757446</v>
      </c>
      <c r="HO10" s="17">
        <v>25.633343316745989</v>
      </c>
      <c r="HP10" s="17">
        <v>2.1443382390127956</v>
      </c>
      <c r="HQ10" s="17">
        <v>12.65625</v>
      </c>
      <c r="HR10" s="17">
        <v>31.640625</v>
      </c>
      <c r="HS10" s="17">
        <v>1.3075848379102815</v>
      </c>
      <c r="HT10" s="17">
        <v>9.8997739706053487</v>
      </c>
      <c r="HU10" s="17">
        <v>25.633343316745989</v>
      </c>
      <c r="HV10" s="17">
        <v>1.4856622667273556</v>
      </c>
      <c r="HW10" s="17">
        <v>7.6747706971322343</v>
      </c>
      <c r="HX10" s="17">
        <v>20.608180575632847</v>
      </c>
      <c r="HY10" s="17">
        <v>1.6792153441561728</v>
      </c>
      <c r="HZ10" s="17">
        <v>5.4268824039940089</v>
      </c>
      <c r="IA10" s="17">
        <v>5.8929464605472841</v>
      </c>
      <c r="IB10" s="17">
        <v>16.432254553449162</v>
      </c>
      <c r="IC10" s="17">
        <v>1.8888888888888888</v>
      </c>
      <c r="ID10" s="17">
        <v>4.1669424034222482</v>
      </c>
      <c r="IE10" s="17">
        <v>4.4781549876159294</v>
      </c>
      <c r="IF10" s="17">
        <v>12.986649464086197</v>
      </c>
      <c r="IG10" s="17">
        <v>1.6792153441561728</v>
      </c>
      <c r="IH10" s="17">
        <v>3.1665337589475833</v>
      </c>
      <c r="II10" s="17">
        <v>3.3650982720214704</v>
      </c>
      <c r="IJ10" s="17">
        <v>10.165401030064857</v>
      </c>
      <c r="IK10" s="17">
        <v>1.4856622667273556</v>
      </c>
      <c r="IL10" s="17">
        <v>2.3794838075055149</v>
      </c>
      <c r="IM10" s="17">
        <v>2.4981235396517394</v>
      </c>
      <c r="IN10" s="17">
        <v>7.8745198532500478</v>
      </c>
      <c r="IO10" s="17">
        <v>1.3075848379102815</v>
      </c>
      <c r="IP10" s="17">
        <v>1.7664400951294859</v>
      </c>
      <c r="IQ10" s="17">
        <v>1.8301126602008719</v>
      </c>
      <c r="IR10" s="17">
        <v>6.031053084752874</v>
      </c>
      <c r="IS10" s="17">
        <v>1.1443382390127954</v>
      </c>
      <c r="IT10" s="17">
        <v>1.2940850723633883</v>
      </c>
      <c r="IU10" s="17">
        <v>1.321460307233514</v>
      </c>
      <c r="IV10" s="17">
        <v>4.5621843940204645</v>
      </c>
      <c r="IW10" s="17">
        <v>0.99527765134274004</v>
      </c>
      <c r="IX10" s="17">
        <v>0.93441354431367618</v>
      </c>
      <c r="IY10" s="17">
        <v>0.93913716885887322</v>
      </c>
      <c r="IZ10" s="17">
        <v>3.4043722371134146</v>
      </c>
      <c r="JA10" s="17">
        <v>0.8597582562079602</v>
      </c>
      <c r="JB10" s="17">
        <v>0.66407026056444496</v>
      </c>
      <c r="JC10" s="17">
        <v>0.6558345111620445</v>
      </c>
      <c r="JD10" s="17">
        <v>2.5025264241709593</v>
      </c>
      <c r="JE10" s="17">
        <v>0.73713523491630029</v>
      </c>
      <c r="JF10" s="17">
        <v>0.46374503017884611</v>
      </c>
      <c r="JG10" s="17">
        <v>0.4491863965399755</v>
      </c>
      <c r="JH10" s="17">
        <v>1.8092229860637898</v>
      </c>
      <c r="JI10" s="17">
        <v>0.62676376877560303</v>
      </c>
      <c r="JJ10" s="17">
        <v>0.31762274701016618</v>
      </c>
      <c r="JK10" s="17">
        <v>0.3010658590894742</v>
      </c>
      <c r="JL10" s="17">
        <v>1.283957340234521</v>
      </c>
      <c r="JM10" s="17">
        <v>0.52799903909371371</v>
      </c>
      <c r="JN10" s="17">
        <v>0.21288571054592076</v>
      </c>
      <c r="JO10" s="17">
        <v>3.125</v>
      </c>
      <c r="JP10" s="17">
        <v>17.634217114246702</v>
      </c>
      <c r="JQ10" s="17">
        <v>9.5367431640625</v>
      </c>
      <c r="JR10" s="17">
        <v>38.737824305871641</v>
      </c>
      <c r="JS10" s="17">
        <v>23.73046875</v>
      </c>
      <c r="JT10" s="17">
        <v>49.957498862084663</v>
      </c>
      <c r="JU10" s="17">
        <v>51.2908935546875</v>
      </c>
      <c r="JV10" s="17">
        <v>11.299044151115158</v>
      </c>
      <c r="JW10" s="17">
        <v>100</v>
      </c>
      <c r="JX10" s="17">
        <v>12.768263541192534</v>
      </c>
      <c r="JY10" s="17">
        <v>81.014023322061405</v>
      </c>
      <c r="JZ10" s="17">
        <v>13.370960400546201</v>
      </c>
      <c r="KA10" s="17">
        <v>65.132027498296409</v>
      </c>
      <c r="KB10" s="17">
        <v>15.112938097405555</v>
      </c>
      <c r="KC10" s="17">
        <v>51.93403908250599</v>
      </c>
      <c r="KD10" s="17">
        <v>17</v>
      </c>
      <c r="KE10" s="17">
        <v>41.044225466741565</v>
      </c>
      <c r="KF10" s="17">
        <v>15.112938097405555</v>
      </c>
      <c r="KG10" s="17">
        <v>32.127687206130908</v>
      </c>
      <c r="KH10" s="17">
        <v>13.370960400546201</v>
      </c>
      <c r="KI10" s="17">
        <v>24.887371388049534</v>
      </c>
      <c r="KJ10" s="17">
        <v>11.768263541192534</v>
      </c>
      <c r="KK10" s="17">
        <v>19.061106045638713</v>
      </c>
      <c r="KL10" s="17">
        <v>10.299044151115158</v>
      </c>
      <c r="KM10" s="17">
        <v>14.418755615669616</v>
      </c>
      <c r="KN10" s="17">
        <v>8.9574988620846607</v>
      </c>
      <c r="KO10" s="17">
        <v>10.759497440753508</v>
      </c>
      <c r="KP10" s="17">
        <v>7.7378243058716416</v>
      </c>
      <c r="KQ10" s="17">
        <v>7.9092193158983397</v>
      </c>
      <c r="KR10" s="17">
        <v>6.6342171142467024</v>
      </c>
      <c r="KS10" s="17">
        <v>5.7180380794114836</v>
      </c>
      <c r="KT10" s="17">
        <v>5.6408739189804269</v>
      </c>
      <c r="KU10" s="17">
        <v>4.0579392481486094</v>
      </c>
      <c r="KV10" s="17">
        <v>4.7519913518434231</v>
      </c>
      <c r="KW10" s="17">
        <v>2.8205376971088865</v>
      </c>
      <c r="KX10" s="17">
        <v>3.9617660446062817</v>
      </c>
      <c r="KY10" s="17">
        <v>1.9149593833762957</v>
      </c>
      <c r="KZ10" s="17">
        <v>3.2643946290395984</v>
      </c>
      <c r="LA10" s="17">
        <v>1.2658441144072095</v>
      </c>
      <c r="LB10" s="17">
        <v>2.6540737369139733</v>
      </c>
      <c r="LC10" s="17">
        <v>0.81146936066415609</v>
      </c>
      <c r="LD10" s="17">
        <v>2.125</v>
      </c>
      <c r="LE10" s="17">
        <v>0.50199511259579543</v>
      </c>
      <c r="LF10" s="17">
        <v>1.6713700500682751</v>
      </c>
      <c r="LG10" s="17">
        <v>0.29782978196310489</v>
      </c>
      <c r="LH10" s="17">
        <v>1.2873805188893952</v>
      </c>
      <c r="LI10" s="17">
        <v>0.16811714751177356</v>
      </c>
      <c r="LJ10" s="17">
        <v>0.9672280382339552</v>
      </c>
      <c r="LK10" s="17">
        <v>8.9344344990804431E-2</v>
      </c>
      <c r="LL10" s="17">
        <v>0.70510923987255336</v>
      </c>
      <c r="LM10" s="17">
        <v>4.4070901517326351E-2</v>
      </c>
      <c r="LN10" s="17">
        <v>0.49522075557578521</v>
      </c>
      <c r="LO10" s="17">
        <v>1.9778814287612648E-2</v>
      </c>
      <c r="LP10" s="17">
        <v>0.33175921711424688</v>
      </c>
      <c r="LQ10" s="17">
        <v>7.8436736343093037E-3</v>
      </c>
      <c r="LR10" s="17">
        <v>0.20892125625853425</v>
      </c>
      <c r="LS10" s="17">
        <v>2.6268304298714619E-3</v>
      </c>
      <c r="LT10" s="17">
        <v>0.1209035047792444</v>
      </c>
      <c r="LU10" s="17">
        <v>6.8860783620822423E-4</v>
      </c>
      <c r="LV10" s="17">
        <v>6.1902594446973151E-2</v>
      </c>
    </row>
    <row r="11" spans="1:334" s="4" customFormat="1" ht="14.25" x14ac:dyDescent="0.2">
      <c r="A11" s="16">
        <v>5</v>
      </c>
      <c r="B11" s="17" t="s">
        <v>682</v>
      </c>
      <c r="C11" s="18" t="s">
        <v>411</v>
      </c>
      <c r="D11" s="18" t="s">
        <v>86</v>
      </c>
      <c r="E11" s="18" t="s">
        <v>411</v>
      </c>
      <c r="F11" s="19" t="s">
        <v>87</v>
      </c>
      <c r="G11" s="19" t="s">
        <v>412</v>
      </c>
      <c r="H11" s="20">
        <v>-1</v>
      </c>
      <c r="I11" s="21">
        <v>31.9</v>
      </c>
      <c r="J11" s="22">
        <v>24.959900000000001</v>
      </c>
      <c r="K11" s="20" t="s">
        <v>88</v>
      </c>
      <c r="L11" s="18">
        <v>0</v>
      </c>
      <c r="M11" s="18">
        <v>1</v>
      </c>
      <c r="N11" s="18" t="s">
        <v>411</v>
      </c>
      <c r="O11" s="23">
        <v>0</v>
      </c>
      <c r="P11" s="23">
        <v>0</v>
      </c>
      <c r="Q11" s="23">
        <v>1</v>
      </c>
      <c r="R11" s="23">
        <v>2</v>
      </c>
      <c r="S11" s="23">
        <v>0</v>
      </c>
      <c r="T11" s="23">
        <v>40</v>
      </c>
      <c r="U11" s="23">
        <v>0</v>
      </c>
      <c r="V11" s="23">
        <v>40</v>
      </c>
      <c r="W11" s="23">
        <v>0</v>
      </c>
      <c r="X11" s="18" t="s">
        <v>411</v>
      </c>
      <c r="Y11" s="17">
        <v>734.64284306280013</v>
      </c>
      <c r="Z11" s="17">
        <v>716.63228306280007</v>
      </c>
      <c r="AA11" s="17">
        <v>734.64284306280013</v>
      </c>
      <c r="AB11" s="17">
        <v>716.63228306280007</v>
      </c>
      <c r="AC11" s="17">
        <v>1296.2762630628001</v>
      </c>
      <c r="AD11" s="17">
        <v>1278.2656983788002</v>
      </c>
      <c r="AE11" s="17">
        <v>1260.2551336948002</v>
      </c>
      <c r="AF11" s="17">
        <v>1242.2445690108002</v>
      </c>
      <c r="AG11" s="17">
        <v>1222.2394836304002</v>
      </c>
      <c r="AH11" s="17">
        <v>1204.2289189464002</v>
      </c>
      <c r="AI11" s="17">
        <v>1112.1815748300003</v>
      </c>
      <c r="AJ11" s="17">
        <v>739.68156055120016</v>
      </c>
      <c r="AK11" s="17">
        <v>721.67099586720019</v>
      </c>
      <c r="AL11" s="17">
        <v>703.66043118320022</v>
      </c>
      <c r="AM11" s="17">
        <v>685.64986649920024</v>
      </c>
      <c r="AN11" s="17">
        <v>665.64478111880021</v>
      </c>
      <c r="AO11" s="17">
        <v>647.63421643480024</v>
      </c>
      <c r="AP11" s="17">
        <v>629.62365175080026</v>
      </c>
      <c r="AQ11" s="17">
        <v>611.61308706680029</v>
      </c>
      <c r="AR11" s="17">
        <v>593.60252238280032</v>
      </c>
      <c r="AS11" s="17">
        <v>609.61856637040023</v>
      </c>
      <c r="AT11" s="17">
        <v>591.60800168640026</v>
      </c>
      <c r="AU11" s="17">
        <v>555.58687751160005</v>
      </c>
      <c r="AV11" s="17">
        <v>573.59744219560002</v>
      </c>
      <c r="AW11" s="17">
        <v>741.69721061560017</v>
      </c>
      <c r="AX11" s="17">
        <v>723.6866459316002</v>
      </c>
      <c r="AY11" s="17">
        <v>705.67608124760022</v>
      </c>
      <c r="AZ11" s="17">
        <v>687.66551656360025</v>
      </c>
      <c r="BA11" s="17">
        <v>667.66043118320022</v>
      </c>
      <c r="BB11" s="17">
        <v>649.64986649920024</v>
      </c>
      <c r="BC11" s="17">
        <v>631.63930181520027</v>
      </c>
      <c r="BD11" s="17">
        <v>613.6287371312003</v>
      </c>
      <c r="BE11" s="17">
        <v>595.61817244720032</v>
      </c>
      <c r="BF11" s="17">
        <v>611.63421643480024</v>
      </c>
      <c r="BG11" s="17">
        <v>593.62365175080026</v>
      </c>
      <c r="BH11" s="17">
        <v>553.57122744720004</v>
      </c>
      <c r="BI11" s="17">
        <v>571.58179213120002</v>
      </c>
      <c r="BJ11" s="17">
        <v>55.0547752254</v>
      </c>
      <c r="BK11" s="17">
        <v>57.070425289800006</v>
      </c>
      <c r="BL11" s="17">
        <v>69.070425289799999</v>
      </c>
      <c r="BM11" s="17">
        <v>71.086075354200005</v>
      </c>
      <c r="BN11" s="17">
        <v>81.070425289799999</v>
      </c>
      <c r="BO11" s="17">
        <v>83.086075354200005</v>
      </c>
      <c r="BP11" s="17">
        <v>85.101725418599997</v>
      </c>
      <c r="BQ11" s="17">
        <v>95.086075354200005</v>
      </c>
      <c r="BR11" s="17">
        <v>97.101725418599997</v>
      </c>
      <c r="BS11" s="17">
        <v>99.117375483000004</v>
      </c>
      <c r="BT11" s="17">
        <v>109.1017254186</v>
      </c>
      <c r="BU11" s="17">
        <v>111.117375483</v>
      </c>
      <c r="BV11" s="17">
        <v>113.13302554740001</v>
      </c>
      <c r="BW11" s="17">
        <v>123.117375483</v>
      </c>
      <c r="BX11" s="17">
        <v>125.13302554740001</v>
      </c>
      <c r="BY11" s="17">
        <v>127.1486756118</v>
      </c>
      <c r="BZ11" s="17">
        <v>137.1330255474</v>
      </c>
      <c r="CA11" s="17">
        <v>139.1486756118</v>
      </c>
      <c r="CB11" s="17">
        <v>141.16432567620001</v>
      </c>
      <c r="CC11" s="17">
        <v>151.1486756118</v>
      </c>
      <c r="CD11" s="17">
        <v>153.16432567620001</v>
      </c>
      <c r="CE11" s="17">
        <v>155.17997574060001</v>
      </c>
      <c r="CF11" s="17">
        <v>165.16432567620001</v>
      </c>
      <c r="CG11" s="17">
        <v>167.17997574060001</v>
      </c>
      <c r="CH11" s="17">
        <v>169.19562580499999</v>
      </c>
      <c r="CI11" s="17">
        <v>179.17997574060001</v>
      </c>
      <c r="CJ11" s="17">
        <v>181.19562580499999</v>
      </c>
      <c r="CK11" s="17">
        <v>183.2112758694</v>
      </c>
      <c r="CL11" s="17">
        <v>193.19562580499999</v>
      </c>
      <c r="CM11" s="17">
        <v>195.2112758694</v>
      </c>
      <c r="CN11" s="17">
        <v>197.2269259338</v>
      </c>
      <c r="CO11" s="17">
        <v>207.2112758694</v>
      </c>
      <c r="CP11" s="17">
        <v>209.2269259338</v>
      </c>
      <c r="CQ11" s="17">
        <v>211.24257599820001</v>
      </c>
      <c r="CR11" s="17">
        <v>221.2269259338</v>
      </c>
      <c r="CS11" s="17">
        <v>223.24257599820001</v>
      </c>
      <c r="CT11" s="17">
        <v>225.25822606260002</v>
      </c>
      <c r="CU11" s="17">
        <v>235.24257599820001</v>
      </c>
      <c r="CV11" s="17">
        <v>237.25822606260002</v>
      </c>
      <c r="CW11" s="17">
        <v>239.27387612699999</v>
      </c>
      <c r="CX11" s="17">
        <v>249.25822606260002</v>
      </c>
      <c r="CY11" s="17">
        <v>251.27387612699999</v>
      </c>
      <c r="CZ11" s="17">
        <v>253.2895261914</v>
      </c>
      <c r="DA11" s="17">
        <v>263.27387612699999</v>
      </c>
      <c r="DB11" s="17">
        <v>265.2895261914</v>
      </c>
      <c r="DC11" s="17">
        <v>267.30517625580001</v>
      </c>
      <c r="DD11" s="17">
        <v>277.2895261914</v>
      </c>
      <c r="DE11" s="17">
        <v>279.30517625580001</v>
      </c>
      <c r="DF11" s="17">
        <v>281.32082632020001</v>
      </c>
      <c r="DG11" s="17">
        <v>291.30517625580001</v>
      </c>
      <c r="DH11" s="17">
        <v>293.32082632020001</v>
      </c>
      <c r="DI11" s="17">
        <v>295.33647638460002</v>
      </c>
      <c r="DJ11" s="17">
        <v>305.32082632020001</v>
      </c>
      <c r="DK11" s="17">
        <v>307.33647638460002</v>
      </c>
      <c r="DL11" s="17">
        <v>309.35212644900002</v>
      </c>
      <c r="DM11" s="17">
        <v>319.33647638460002</v>
      </c>
      <c r="DN11" s="17">
        <v>321.35212644900002</v>
      </c>
      <c r="DO11" s="17">
        <v>323.36777651340003</v>
      </c>
      <c r="DP11" s="17">
        <v>333.35212644900002</v>
      </c>
      <c r="DQ11" s="17">
        <v>335.36777651340003</v>
      </c>
      <c r="DR11" s="17">
        <v>55.0547752254</v>
      </c>
      <c r="DS11" s="17">
        <v>57.070425289800006</v>
      </c>
      <c r="DT11" s="17">
        <v>69.070425289799999</v>
      </c>
      <c r="DU11" s="17">
        <v>71.086075354200005</v>
      </c>
      <c r="DV11" s="17">
        <v>81.070425289799999</v>
      </c>
      <c r="DW11" s="17">
        <v>83.086075354200005</v>
      </c>
      <c r="DX11" s="17">
        <v>85.101725418599997</v>
      </c>
      <c r="DY11" s="17">
        <v>95.086075354200005</v>
      </c>
      <c r="DZ11" s="17">
        <v>97.101725418599997</v>
      </c>
      <c r="EA11" s="17">
        <v>99.117375483000004</v>
      </c>
      <c r="EB11" s="17">
        <v>109.1017254186</v>
      </c>
      <c r="EC11" s="17">
        <v>111.117375483</v>
      </c>
      <c r="ED11" s="17">
        <v>113.13302554740001</v>
      </c>
      <c r="EE11" s="17">
        <v>123.117375483</v>
      </c>
      <c r="EF11" s="17">
        <v>125.13302554740001</v>
      </c>
      <c r="EG11" s="17">
        <v>127.1486756118</v>
      </c>
      <c r="EH11" s="17">
        <v>137.1330255474</v>
      </c>
      <c r="EI11" s="17">
        <v>139.1486756118</v>
      </c>
      <c r="EJ11" s="17">
        <v>141.16432567620001</v>
      </c>
      <c r="EK11" s="17">
        <v>149.1330255474</v>
      </c>
      <c r="EL11" s="17">
        <v>151.1486756118</v>
      </c>
      <c r="EM11" s="17">
        <v>153.16432567620001</v>
      </c>
      <c r="EN11" s="17">
        <v>155.17997574060001</v>
      </c>
      <c r="EO11" s="17">
        <v>163.1486756118</v>
      </c>
      <c r="EP11" s="17">
        <v>165.16432567620001</v>
      </c>
      <c r="EQ11" s="17">
        <v>167.17997574060001</v>
      </c>
      <c r="ER11" s="17">
        <v>169.19562580499999</v>
      </c>
      <c r="ES11" s="17">
        <v>177.16432567620001</v>
      </c>
      <c r="ET11" s="17">
        <v>179.17997574060001</v>
      </c>
      <c r="EU11" s="17">
        <v>181.19562580499999</v>
      </c>
      <c r="EV11" s="17">
        <v>183.2112758694</v>
      </c>
      <c r="EW11" s="17">
        <v>191.17997574060001</v>
      </c>
      <c r="EX11" s="17">
        <v>193.19562580499999</v>
      </c>
      <c r="EY11" s="17">
        <v>195.2112758694</v>
      </c>
      <c r="EZ11" s="17">
        <v>197.2269259338</v>
      </c>
      <c r="FA11" s="17">
        <v>205.19562580499999</v>
      </c>
      <c r="FB11" s="17">
        <v>207.2112758694</v>
      </c>
      <c r="FC11" s="17">
        <v>209.2269259338</v>
      </c>
      <c r="FD11" s="17">
        <v>211.24257599820001</v>
      </c>
      <c r="FE11" s="17">
        <v>219.2112758694</v>
      </c>
      <c r="FF11" s="17">
        <v>221.2269259338</v>
      </c>
      <c r="FG11" s="17">
        <v>223.24257599820001</v>
      </c>
      <c r="FH11" s="17">
        <v>225.25822606260002</v>
      </c>
      <c r="FI11" s="17">
        <v>233.2269259338</v>
      </c>
      <c r="FJ11" s="17">
        <v>235.24257599820001</v>
      </c>
      <c r="FK11" s="17">
        <v>237.25822606260002</v>
      </c>
      <c r="FL11" s="17">
        <v>239.27387612699999</v>
      </c>
      <c r="FM11" s="17">
        <v>247.24257599820001</v>
      </c>
      <c r="FN11" s="17">
        <v>249.25822606260002</v>
      </c>
      <c r="FO11" s="17">
        <v>251.27387612699999</v>
      </c>
      <c r="FP11" s="17">
        <v>253.2895261914</v>
      </c>
      <c r="FQ11" s="17">
        <v>261.25822606259999</v>
      </c>
      <c r="FR11" s="17">
        <v>263.27387612699999</v>
      </c>
      <c r="FS11" s="17">
        <v>265.2895261914</v>
      </c>
      <c r="FT11" s="17">
        <v>267.30517625580001</v>
      </c>
      <c r="FU11" s="17">
        <v>275.27387612699999</v>
      </c>
      <c r="FV11" s="17">
        <v>277.2895261914</v>
      </c>
      <c r="FW11" s="17">
        <v>279.30517625580001</v>
      </c>
      <c r="FX11" s="17">
        <v>281.32082632020001</v>
      </c>
      <c r="FY11" s="17">
        <v>289.2895261914</v>
      </c>
      <c r="FZ11" s="17">
        <v>137.17999999999998</v>
      </c>
      <c r="GA11" s="17">
        <v>17.147499999999997</v>
      </c>
      <c r="GB11" s="17">
        <v>2.1434374999999997</v>
      </c>
      <c r="GC11" s="17">
        <v>1.0717187499999998</v>
      </c>
      <c r="GD11" s="17">
        <v>6.1440000000000019</v>
      </c>
      <c r="GE11" s="17">
        <v>2</v>
      </c>
      <c r="GF11" s="17">
        <v>0</v>
      </c>
      <c r="GG11" s="17">
        <v>25.600000000000005</v>
      </c>
      <c r="GH11" s="17">
        <v>14.222222222222225</v>
      </c>
      <c r="GI11" s="17">
        <v>9.9555555555555575</v>
      </c>
      <c r="GJ11" s="17">
        <v>3.3185185185185193</v>
      </c>
      <c r="GK11" s="17">
        <v>32.400000000000006</v>
      </c>
      <c r="GL11" s="17">
        <v>32.400000000000006</v>
      </c>
      <c r="GM11" s="17">
        <v>16.200000000000003</v>
      </c>
      <c r="GN11" s="17">
        <v>32.400000000000006</v>
      </c>
      <c r="GO11" s="17">
        <v>6.4800000000000013</v>
      </c>
      <c r="GP11" s="17">
        <v>15</v>
      </c>
      <c r="GQ11" s="17">
        <v>3.75</v>
      </c>
      <c r="GR11" s="17">
        <v>21.599999999999998</v>
      </c>
      <c r="GS11" s="17">
        <v>10.799999999999999</v>
      </c>
      <c r="GT11" s="17">
        <v>64</v>
      </c>
      <c r="GU11" s="17">
        <v>35.555555555555557</v>
      </c>
      <c r="GV11" s="17">
        <v>24.888888888888889</v>
      </c>
      <c r="GW11" s="17">
        <v>8.2962962962962958</v>
      </c>
      <c r="GX11" s="17">
        <v>36</v>
      </c>
      <c r="GY11" s="17">
        <v>36</v>
      </c>
      <c r="GZ11" s="17">
        <v>18</v>
      </c>
      <c r="HA11" s="17">
        <v>36</v>
      </c>
      <c r="HB11" s="17">
        <v>7.2</v>
      </c>
      <c r="HC11" s="17">
        <v>15</v>
      </c>
      <c r="HD11" s="17">
        <v>3.75</v>
      </c>
      <c r="HE11" s="17">
        <v>17.28</v>
      </c>
      <c r="HF11" s="17">
        <v>8.64</v>
      </c>
      <c r="HG11" s="17">
        <v>1.831817626953125</v>
      </c>
      <c r="HH11" s="17">
        <v>3.9085542785616756</v>
      </c>
      <c r="HI11" s="17">
        <v>5.5902637541294098</v>
      </c>
      <c r="HJ11" s="17">
        <v>6.6844560764679102</v>
      </c>
      <c r="HK11" s="17">
        <v>4.1731095314025879</v>
      </c>
      <c r="HL11" s="17">
        <v>13.910365104675293</v>
      </c>
      <c r="HM11" s="17">
        <v>8.2393747155211656</v>
      </c>
      <c r="HN11" s="17">
        <v>10.523023046553135</v>
      </c>
      <c r="HO11" s="17">
        <v>47.488933104557965</v>
      </c>
      <c r="HP11" s="17">
        <v>3.5747610377787895</v>
      </c>
      <c r="HQ11" s="17">
        <v>23.447265625</v>
      </c>
      <c r="HR11" s="17">
        <v>58.6181640625</v>
      </c>
      <c r="HS11" s="17">
        <v>2.9420658852981334</v>
      </c>
      <c r="HT11" s="17">
        <v>18.340553474863764</v>
      </c>
      <c r="HU11" s="17">
        <v>47.488933104557965</v>
      </c>
      <c r="HV11" s="17">
        <v>3.3427401001365502</v>
      </c>
      <c r="HW11" s="17">
        <v>14.218460218992666</v>
      </c>
      <c r="HX11" s="17">
        <v>38.179198736184006</v>
      </c>
      <c r="HY11" s="17">
        <v>3.7782345243513888</v>
      </c>
      <c r="HZ11" s="17">
        <v>10.917410842418233</v>
      </c>
      <c r="IA11" s="17">
        <v>30.44278023366623</v>
      </c>
      <c r="IB11" s="17">
        <v>4.25</v>
      </c>
      <c r="IC11" s="17">
        <v>8.296334973198956</v>
      </c>
      <c r="ID11" s="17">
        <v>24.059371422276975</v>
      </c>
      <c r="IE11" s="17">
        <v>3.7782345243513888</v>
      </c>
      <c r="IF11" s="17">
        <v>6.2342599931508875</v>
      </c>
      <c r="IG11" s="17">
        <v>18.832660395976639</v>
      </c>
      <c r="IH11" s="17">
        <v>3.3427401001365502</v>
      </c>
      <c r="II11" s="17">
        <v>4.6280822675183844</v>
      </c>
      <c r="IJ11" s="17">
        <v>14.588520191090559</v>
      </c>
      <c r="IK11" s="17">
        <v>2.9420658852981334</v>
      </c>
      <c r="IL11" s="17">
        <v>3.3905096428567076</v>
      </c>
      <c r="IM11" s="17">
        <v>11.173270413959607</v>
      </c>
      <c r="IN11" s="17">
        <v>2.5747610377787895</v>
      </c>
      <c r="IO11" s="17">
        <v>2.4481683623978912</v>
      </c>
      <c r="IP11" s="17">
        <v>8.4520098225641469</v>
      </c>
      <c r="IQ11" s="17">
        <v>2.2393747155211652</v>
      </c>
      <c r="IR11" s="17">
        <v>1.7398675481714156</v>
      </c>
      <c r="IS11" s="17">
        <v>6.30701986212138</v>
      </c>
      <c r="IT11" s="17">
        <v>1.9344560764679104</v>
      </c>
      <c r="IU11" s="17">
        <v>1.2150143991512878</v>
      </c>
      <c r="IV11" s="17">
        <v>4.6362391546562289</v>
      </c>
      <c r="IW11" s="17">
        <v>1.6585542785616756</v>
      </c>
      <c r="IX11" s="17">
        <v>0.83217325470098846</v>
      </c>
      <c r="IY11" s="17">
        <v>3.3518089425456479</v>
      </c>
      <c r="IZ11" s="17">
        <v>1.4102184797451067</v>
      </c>
      <c r="JA11" s="17">
        <v>0.55776167258782994</v>
      </c>
      <c r="JB11" s="17">
        <v>2.3786894860363308</v>
      </c>
      <c r="JC11" s="17">
        <v>1.1879978379608558</v>
      </c>
      <c r="JD11" s="17">
        <v>0.36487667083827779</v>
      </c>
      <c r="JE11" s="17">
        <v>1.6533474147359464</v>
      </c>
      <c r="JF11" s="17">
        <v>0.99044151115157042</v>
      </c>
      <c r="JG11" s="17">
        <v>0.23224428270574216</v>
      </c>
      <c r="JH11" s="17">
        <v>1.1225140330777554</v>
      </c>
      <c r="JI11" s="17">
        <v>0.81609865725989961</v>
      </c>
      <c r="JJ11" s="17">
        <v>0.14328557402237305</v>
      </c>
      <c r="JK11" s="17">
        <v>0.74201457975871821</v>
      </c>
      <c r="JL11" s="17">
        <v>0.66351843422849333</v>
      </c>
      <c r="JM11" s="17">
        <v>8.5292272206392447E-2</v>
      </c>
      <c r="JN11" s="17">
        <v>0.47566844115103485</v>
      </c>
      <c r="JO11" s="17">
        <v>0.98876953125</v>
      </c>
      <c r="JP11" s="17">
        <v>2.1075056052866707</v>
      </c>
      <c r="JQ11" s="17">
        <v>3.0174851417541504</v>
      </c>
      <c r="JR11" s="17">
        <v>2.9708693673190716</v>
      </c>
      <c r="JS11" s="17">
        <v>2.2525405883789063</v>
      </c>
      <c r="JT11" s="17">
        <v>7.5084686279296875</v>
      </c>
      <c r="JU11" s="17">
        <v>3.4767591328242213</v>
      </c>
      <c r="JV11" s="17">
        <v>5.6800657510757446</v>
      </c>
      <c r="JW11" s="17">
        <v>25.633343316745989</v>
      </c>
      <c r="JX11" s="17">
        <v>2.1443382390127956</v>
      </c>
      <c r="JY11" s="17">
        <v>12.65625</v>
      </c>
      <c r="JZ11" s="17">
        <v>31.640625</v>
      </c>
      <c r="KA11" s="17">
        <v>1.3075848379102815</v>
      </c>
      <c r="KB11" s="17">
        <v>9.8997739706053487</v>
      </c>
      <c r="KC11" s="17">
        <v>25.633343316745989</v>
      </c>
      <c r="KD11" s="17">
        <v>1.4856622667273556</v>
      </c>
      <c r="KE11" s="17">
        <v>7.6747706971322343</v>
      </c>
      <c r="KF11" s="17">
        <v>20.608180575632847</v>
      </c>
      <c r="KG11" s="17">
        <v>1.6792153441561728</v>
      </c>
      <c r="KH11" s="17">
        <v>5.4268824039940089</v>
      </c>
      <c r="KI11" s="17">
        <v>5.8929464605472841</v>
      </c>
      <c r="KJ11" s="17">
        <v>16.432254553449162</v>
      </c>
      <c r="KK11" s="17">
        <v>1.8888888888888888</v>
      </c>
      <c r="KL11" s="17">
        <v>4.1669424034222482</v>
      </c>
      <c r="KM11" s="17">
        <v>4.4781549876159294</v>
      </c>
      <c r="KN11" s="17">
        <v>12.986649464086197</v>
      </c>
      <c r="KO11" s="17">
        <v>1.6792153441561728</v>
      </c>
      <c r="KP11" s="17">
        <v>3.1665337589475833</v>
      </c>
      <c r="KQ11" s="17">
        <v>3.3650982720214704</v>
      </c>
      <c r="KR11" s="17">
        <v>10.165401030064857</v>
      </c>
      <c r="KS11" s="17">
        <v>1.4856622667273556</v>
      </c>
      <c r="KT11" s="17">
        <v>2.3794838075055149</v>
      </c>
      <c r="KU11" s="17">
        <v>2.4981235396517394</v>
      </c>
      <c r="KV11" s="17">
        <v>7.8745198532500478</v>
      </c>
      <c r="KW11" s="17">
        <v>1.3075848379102815</v>
      </c>
      <c r="KX11" s="17">
        <v>1.7664400951294859</v>
      </c>
      <c r="KY11" s="17">
        <v>1.8301126602008719</v>
      </c>
      <c r="KZ11" s="17">
        <v>6.031053084752874</v>
      </c>
      <c r="LA11" s="17">
        <v>1.1443382390127954</v>
      </c>
      <c r="LB11" s="17">
        <v>1.2940850723633883</v>
      </c>
      <c r="LC11" s="17">
        <v>1.321460307233514</v>
      </c>
      <c r="LD11" s="17">
        <v>4.5621843940204645</v>
      </c>
      <c r="LE11" s="17">
        <v>0.99527765134274004</v>
      </c>
      <c r="LF11" s="17">
        <v>0.93441354431367618</v>
      </c>
      <c r="LG11" s="17">
        <v>0.93913716885887322</v>
      </c>
      <c r="LH11" s="17">
        <v>3.4043722371134146</v>
      </c>
      <c r="LI11" s="17">
        <v>0.8597582562079602</v>
      </c>
      <c r="LJ11" s="17">
        <v>0.66407026056444496</v>
      </c>
      <c r="LK11" s="17">
        <v>0.6558345111620445</v>
      </c>
      <c r="LL11" s="17">
        <v>2.5025264241709593</v>
      </c>
      <c r="LM11" s="17">
        <v>0.73713523491630029</v>
      </c>
      <c r="LN11" s="17">
        <v>0.46374503017884611</v>
      </c>
      <c r="LO11" s="17">
        <v>0.4491863965399755</v>
      </c>
      <c r="LP11" s="17">
        <v>1.8092229860637898</v>
      </c>
      <c r="LQ11" s="17">
        <v>0.62676376877560303</v>
      </c>
      <c r="LR11" s="17">
        <v>0.31762274701016618</v>
      </c>
      <c r="LS11" s="17">
        <v>0.3010658590894742</v>
      </c>
      <c r="LT11" s="17">
        <v>1.283957340234521</v>
      </c>
      <c r="LU11" s="17">
        <v>0.52799903909371371</v>
      </c>
      <c r="LV11" s="17">
        <v>0.21288571054592076</v>
      </c>
    </row>
    <row r="12" spans="1:334" s="4" customFormat="1" ht="14.25" x14ac:dyDescent="0.2">
      <c r="A12" s="16">
        <v>6</v>
      </c>
      <c r="B12" s="17" t="s">
        <v>682</v>
      </c>
      <c r="C12" s="18" t="s">
        <v>413</v>
      </c>
      <c r="D12" s="18" t="s">
        <v>86</v>
      </c>
      <c r="E12" s="18" t="s">
        <v>413</v>
      </c>
      <c r="F12" s="19" t="s">
        <v>89</v>
      </c>
      <c r="G12" s="19" t="s">
        <v>414</v>
      </c>
      <c r="H12" s="20">
        <v>-1</v>
      </c>
      <c r="I12" s="21">
        <v>31.63</v>
      </c>
      <c r="J12" s="22">
        <v>24.959900000000001</v>
      </c>
      <c r="K12" s="20" t="s">
        <v>90</v>
      </c>
      <c r="L12" s="18">
        <v>0</v>
      </c>
      <c r="M12" s="18">
        <v>2</v>
      </c>
      <c r="N12" s="18" t="s">
        <v>413</v>
      </c>
      <c r="O12" s="23">
        <v>0</v>
      </c>
      <c r="P12" s="23">
        <v>0</v>
      </c>
      <c r="Q12" s="23">
        <v>0</v>
      </c>
      <c r="R12" s="23">
        <v>3</v>
      </c>
      <c r="S12" s="23">
        <v>0</v>
      </c>
      <c r="T12" s="23">
        <v>40</v>
      </c>
      <c r="U12" s="23">
        <v>0</v>
      </c>
      <c r="V12" s="23">
        <v>40</v>
      </c>
      <c r="W12" s="23">
        <v>0</v>
      </c>
      <c r="X12" s="18" t="s">
        <v>413</v>
      </c>
      <c r="Y12" s="17">
        <v>734.64284306280013</v>
      </c>
      <c r="Z12" s="17">
        <v>716.63228306280007</v>
      </c>
      <c r="AA12" s="17">
        <v>734.64284306280013</v>
      </c>
      <c r="AB12" s="17">
        <v>716.63228306280007</v>
      </c>
      <c r="AC12" s="17">
        <v>1296.2762630628001</v>
      </c>
      <c r="AD12" s="17">
        <v>1278.2656983788002</v>
      </c>
      <c r="AE12" s="17">
        <v>1260.2551336948002</v>
      </c>
      <c r="AF12" s="17">
        <v>1242.2445690108002</v>
      </c>
      <c r="AG12" s="17">
        <v>1222.2394836304002</v>
      </c>
      <c r="AH12" s="17">
        <v>1204.2289189464002</v>
      </c>
      <c r="AI12" s="17">
        <v>1112.1815748300003</v>
      </c>
      <c r="AJ12" s="17">
        <v>737.66591048680016</v>
      </c>
      <c r="AK12" s="17">
        <v>719.65534580280018</v>
      </c>
      <c r="AL12" s="17">
        <v>701.64478111880021</v>
      </c>
      <c r="AM12" s="17">
        <v>683.63421643480024</v>
      </c>
      <c r="AN12" s="17">
        <v>663.6291310544002</v>
      </c>
      <c r="AO12" s="17">
        <v>645.61856637040023</v>
      </c>
      <c r="AP12" s="17">
        <v>627.60800168640026</v>
      </c>
      <c r="AQ12" s="17">
        <v>609.59743700240028</v>
      </c>
      <c r="AR12" s="17">
        <v>591.58687231840031</v>
      </c>
      <c r="AS12" s="17">
        <v>607.60291630600022</v>
      </c>
      <c r="AT12" s="17">
        <v>589.59235162200025</v>
      </c>
      <c r="AU12" s="17">
        <v>557.60252757600006</v>
      </c>
      <c r="AV12" s="17">
        <v>575.61309226000003</v>
      </c>
      <c r="AW12" s="17">
        <v>743.71286068000018</v>
      </c>
      <c r="AX12" s="17">
        <v>725.7022959960002</v>
      </c>
      <c r="AY12" s="17">
        <v>707.69173131200023</v>
      </c>
      <c r="AZ12" s="17">
        <v>689.68116662800026</v>
      </c>
      <c r="BA12" s="17">
        <v>669.67608124760022</v>
      </c>
      <c r="BB12" s="17">
        <v>651.66551656360025</v>
      </c>
      <c r="BC12" s="17">
        <v>633.65495187960028</v>
      </c>
      <c r="BD12" s="17">
        <v>615.6443871956003</v>
      </c>
      <c r="BE12" s="17">
        <v>597.63382251160033</v>
      </c>
      <c r="BF12" s="17">
        <v>613.64986649920024</v>
      </c>
      <c r="BG12" s="17">
        <v>595.63930181520027</v>
      </c>
      <c r="BH12" s="17">
        <v>551.55557738280004</v>
      </c>
      <c r="BI12" s="17">
        <v>569.56614206680001</v>
      </c>
      <c r="BJ12" s="17">
        <v>55.0547752254</v>
      </c>
      <c r="BK12" s="17">
        <v>57.070425289800006</v>
      </c>
      <c r="BL12" s="17">
        <v>69.070425289799999</v>
      </c>
      <c r="BM12" s="17">
        <v>71.086075354200005</v>
      </c>
      <c r="BN12" s="17">
        <v>83.086075354200005</v>
      </c>
      <c r="BO12" s="17">
        <v>85.101725418599997</v>
      </c>
      <c r="BP12" s="17">
        <v>97.101725418599997</v>
      </c>
      <c r="BQ12" s="17">
        <v>99.117375483000004</v>
      </c>
      <c r="BR12" s="17">
        <v>111.117375483</v>
      </c>
      <c r="BS12" s="17">
        <v>113.13302554740001</v>
      </c>
      <c r="BT12" s="17">
        <v>125.13302554740001</v>
      </c>
      <c r="BU12" s="17">
        <v>127.1486756118</v>
      </c>
      <c r="BV12" s="17">
        <v>139.1486756118</v>
      </c>
      <c r="BW12" s="17">
        <v>141.16432567620001</v>
      </c>
      <c r="BX12" s="17">
        <v>153.16432567620001</v>
      </c>
      <c r="BY12" s="17">
        <v>155.17997574060001</v>
      </c>
      <c r="BZ12" s="17">
        <v>167.17997574060001</v>
      </c>
      <c r="CA12" s="17">
        <v>169.19562580499999</v>
      </c>
      <c r="CB12" s="17">
        <v>181.19562580499999</v>
      </c>
      <c r="CC12" s="17">
        <v>183.2112758694</v>
      </c>
      <c r="CD12" s="17">
        <v>195.2112758694</v>
      </c>
      <c r="CE12" s="17">
        <v>197.2269259338</v>
      </c>
      <c r="CF12" s="17">
        <v>209.2269259338</v>
      </c>
      <c r="CG12" s="17">
        <v>211.24257599820001</v>
      </c>
      <c r="CH12" s="17">
        <v>223.24257599820001</v>
      </c>
      <c r="CI12" s="17">
        <v>225.25822606260002</v>
      </c>
      <c r="CJ12" s="17">
        <v>237.25822606260002</v>
      </c>
      <c r="CK12" s="17">
        <v>239.27387612699999</v>
      </c>
      <c r="CL12" s="17">
        <v>251.27387612699999</v>
      </c>
      <c r="CM12" s="17">
        <v>253.2895261914</v>
      </c>
      <c r="CN12" s="17">
        <v>265.2895261914</v>
      </c>
      <c r="CO12" s="17">
        <v>267.30517625580001</v>
      </c>
      <c r="CP12" s="17">
        <v>279.30517625580001</v>
      </c>
      <c r="CQ12" s="17">
        <v>281.32082632020001</v>
      </c>
      <c r="CR12" s="17">
        <v>293.32082632020001</v>
      </c>
      <c r="CS12" s="17">
        <v>295.33647638460002</v>
      </c>
      <c r="CT12" s="17">
        <v>307.33647638460002</v>
      </c>
      <c r="CU12" s="17">
        <v>309.35212644900002</v>
      </c>
      <c r="CV12" s="17">
        <v>321.35212644900002</v>
      </c>
      <c r="CW12" s="17">
        <v>323.36777651340003</v>
      </c>
      <c r="CX12" s="17">
        <v>335.36777651340003</v>
      </c>
      <c r="CY12" s="17">
        <v>337.38342657779998</v>
      </c>
      <c r="CZ12" s="17">
        <v>349.38342657779998</v>
      </c>
      <c r="DA12" s="17">
        <v>351.39907664219999</v>
      </c>
      <c r="DB12" s="17">
        <v>363.39907664219999</v>
      </c>
      <c r="DC12" s="17">
        <v>365.41472670659999</v>
      </c>
      <c r="DD12" s="17">
        <v>377.41472670659999</v>
      </c>
      <c r="DE12" s="17">
        <v>379.430376771</v>
      </c>
      <c r="DF12" s="17">
        <v>391.430376771</v>
      </c>
      <c r="DG12" s="17">
        <v>393.4460268354</v>
      </c>
      <c r="DH12" s="17">
        <v>405.4460268354</v>
      </c>
      <c r="DI12" s="17">
        <v>407.46167689980001</v>
      </c>
      <c r="DJ12" s="17">
        <v>419.46167689980001</v>
      </c>
      <c r="DK12" s="17">
        <v>421.47732696420002</v>
      </c>
      <c r="DL12" s="17">
        <v>433.47732696420002</v>
      </c>
      <c r="DM12" s="17">
        <v>435.49297702860002</v>
      </c>
      <c r="DN12" s="17">
        <v>447.49297702860002</v>
      </c>
      <c r="DO12" s="17">
        <v>449.50862709300003</v>
      </c>
      <c r="DP12" s="17">
        <v>461.50862709300003</v>
      </c>
      <c r="DQ12" s="17">
        <v>463.52427715739998</v>
      </c>
      <c r="DR12" s="17">
        <v>55.0547752254</v>
      </c>
      <c r="DS12" s="17">
        <v>57.070425289800006</v>
      </c>
      <c r="DT12" s="17">
        <v>69.070425289799999</v>
      </c>
      <c r="DU12" s="17">
        <v>71.086075354200005</v>
      </c>
      <c r="DV12" s="17">
        <v>81.070425289799999</v>
      </c>
      <c r="DW12" s="17">
        <v>83.086075354200005</v>
      </c>
      <c r="DX12" s="17">
        <v>85.101725418599997</v>
      </c>
      <c r="DY12" s="17">
        <v>95.086075354200005</v>
      </c>
      <c r="DZ12" s="17">
        <v>97.101725418599997</v>
      </c>
      <c r="EA12" s="17">
        <v>99.117375483000004</v>
      </c>
      <c r="EB12" s="17">
        <v>109.1017254186</v>
      </c>
      <c r="EC12" s="17">
        <v>111.117375483</v>
      </c>
      <c r="ED12" s="17">
        <v>113.13302554740001</v>
      </c>
      <c r="EE12" s="17">
        <v>123.117375483</v>
      </c>
      <c r="EF12" s="17">
        <v>125.13302554740001</v>
      </c>
      <c r="EG12" s="17">
        <v>127.1486756118</v>
      </c>
      <c r="EH12" s="17">
        <v>137.1330255474</v>
      </c>
      <c r="EI12" s="17">
        <v>139.1486756118</v>
      </c>
      <c r="EJ12" s="17">
        <v>141.16432567620001</v>
      </c>
      <c r="EK12" s="17">
        <v>149.1330255474</v>
      </c>
      <c r="EL12" s="17">
        <v>151.1486756118</v>
      </c>
      <c r="EM12" s="17">
        <v>153.16432567620001</v>
      </c>
      <c r="EN12" s="17">
        <v>155.17997574060001</v>
      </c>
      <c r="EO12" s="17">
        <v>163.1486756118</v>
      </c>
      <c r="EP12" s="17">
        <v>165.16432567620001</v>
      </c>
      <c r="EQ12" s="17">
        <v>167.17997574060001</v>
      </c>
      <c r="ER12" s="17">
        <v>169.19562580499999</v>
      </c>
      <c r="ES12" s="17">
        <v>177.16432567620001</v>
      </c>
      <c r="ET12" s="17">
        <v>179.17997574060001</v>
      </c>
      <c r="EU12" s="17">
        <v>181.19562580499999</v>
      </c>
      <c r="EV12" s="17">
        <v>183.2112758694</v>
      </c>
      <c r="EW12" s="17">
        <v>191.17997574060001</v>
      </c>
      <c r="EX12" s="17">
        <v>193.19562580499999</v>
      </c>
      <c r="EY12" s="17">
        <v>195.2112758694</v>
      </c>
      <c r="EZ12" s="17">
        <v>197.2269259338</v>
      </c>
      <c r="FA12" s="17">
        <v>205.19562580499999</v>
      </c>
      <c r="FB12" s="17">
        <v>207.2112758694</v>
      </c>
      <c r="FC12" s="17">
        <v>209.2269259338</v>
      </c>
      <c r="FD12" s="17">
        <v>211.24257599820001</v>
      </c>
      <c r="FE12" s="17">
        <v>217.19562580499999</v>
      </c>
      <c r="FF12" s="17">
        <v>219.2112758694</v>
      </c>
      <c r="FG12" s="17">
        <v>221.2269259338</v>
      </c>
      <c r="FH12" s="17">
        <v>223.24257599820001</v>
      </c>
      <c r="FI12" s="17">
        <v>225.25822606260002</v>
      </c>
      <c r="FJ12" s="17">
        <v>231.2112758694</v>
      </c>
      <c r="FK12" s="17">
        <v>233.2269259338</v>
      </c>
      <c r="FL12" s="17">
        <v>235.24257599820001</v>
      </c>
      <c r="FM12" s="17">
        <v>237.25822606260002</v>
      </c>
      <c r="FN12" s="17">
        <v>239.27387612699999</v>
      </c>
      <c r="FO12" s="17">
        <v>245.2269259338</v>
      </c>
      <c r="FP12" s="17">
        <v>247.24257599820001</v>
      </c>
      <c r="FQ12" s="17">
        <v>249.25822606260002</v>
      </c>
      <c r="FR12" s="17">
        <v>251.27387612699999</v>
      </c>
      <c r="FS12" s="17">
        <v>253.2895261914</v>
      </c>
      <c r="FT12" s="17">
        <v>259.24257599819998</v>
      </c>
      <c r="FU12" s="17">
        <v>261.25822606259999</v>
      </c>
      <c r="FV12" s="17">
        <v>263.27387612699999</v>
      </c>
      <c r="FW12" s="17">
        <v>265.2895261914</v>
      </c>
      <c r="FX12" s="17">
        <v>267.30517625580001</v>
      </c>
      <c r="FY12" s="17">
        <v>273.25822606259999</v>
      </c>
      <c r="FZ12" s="17">
        <v>137.17999999999998</v>
      </c>
      <c r="GA12" s="17">
        <v>17.147499999999997</v>
      </c>
      <c r="GB12" s="17">
        <v>2.1434374999999997</v>
      </c>
      <c r="GC12" s="17">
        <v>1.0717187499999998</v>
      </c>
      <c r="GD12" s="17">
        <v>6.1440000000000019</v>
      </c>
      <c r="GE12" s="17">
        <v>2</v>
      </c>
      <c r="GF12" s="17">
        <v>0</v>
      </c>
      <c r="GG12" s="17">
        <v>20.480000000000004</v>
      </c>
      <c r="GH12" s="17">
        <v>11.37777777777778</v>
      </c>
      <c r="GI12" s="17">
        <v>7.9644444444444451</v>
      </c>
      <c r="GJ12" s="17">
        <v>2.6548148148148152</v>
      </c>
      <c r="GK12" s="17">
        <v>29.160000000000004</v>
      </c>
      <c r="GL12" s="17">
        <v>29.160000000000004</v>
      </c>
      <c r="GM12" s="17">
        <v>14.580000000000002</v>
      </c>
      <c r="GN12" s="17">
        <v>29.160000000000004</v>
      </c>
      <c r="GO12" s="17">
        <v>5.8320000000000007</v>
      </c>
      <c r="GP12" s="17">
        <v>15</v>
      </c>
      <c r="GQ12" s="17">
        <v>3.75</v>
      </c>
      <c r="GR12" s="17">
        <v>18</v>
      </c>
      <c r="GS12" s="17">
        <v>9</v>
      </c>
      <c r="GT12" s="17">
        <v>80</v>
      </c>
      <c r="GU12" s="17">
        <v>44.444444444444443</v>
      </c>
      <c r="GV12" s="17">
        <v>31.111111111111107</v>
      </c>
      <c r="GW12" s="17">
        <v>10.370370370370368</v>
      </c>
      <c r="GX12" s="17">
        <v>40</v>
      </c>
      <c r="GY12" s="17">
        <v>40</v>
      </c>
      <c r="GZ12" s="17">
        <v>20</v>
      </c>
      <c r="HA12" s="17">
        <v>40</v>
      </c>
      <c r="HB12" s="17">
        <v>8</v>
      </c>
      <c r="HC12" s="17">
        <v>15</v>
      </c>
      <c r="HD12" s="17">
        <v>3.75</v>
      </c>
      <c r="HE12" s="17">
        <v>7.7759999999999998</v>
      </c>
      <c r="HF12" s="17">
        <v>3.8879999999999999</v>
      </c>
      <c r="HG12" s="17">
        <v>3.125</v>
      </c>
      <c r="HH12" s="17">
        <v>17.634217114246702</v>
      </c>
      <c r="HI12" s="17">
        <v>9.5367431640625</v>
      </c>
      <c r="HJ12" s="17">
        <v>38.737824305871641</v>
      </c>
      <c r="HK12" s="17">
        <v>23.73046875</v>
      </c>
      <c r="HL12" s="17">
        <v>49.957498862084663</v>
      </c>
      <c r="HM12" s="17">
        <v>51.2908935546875</v>
      </c>
      <c r="HN12" s="17">
        <v>11.299044151115158</v>
      </c>
      <c r="HO12" s="17">
        <v>100</v>
      </c>
      <c r="HP12" s="17">
        <v>12.768263541192534</v>
      </c>
      <c r="HQ12" s="17">
        <v>81.014023322061405</v>
      </c>
      <c r="HR12" s="17">
        <v>13.370960400546201</v>
      </c>
      <c r="HS12" s="17">
        <v>65.132027498296409</v>
      </c>
      <c r="HT12" s="17">
        <v>15.112938097405555</v>
      </c>
      <c r="HU12" s="17">
        <v>51.93403908250599</v>
      </c>
      <c r="HV12" s="17">
        <v>17</v>
      </c>
      <c r="HW12" s="17">
        <v>41.044225466741565</v>
      </c>
      <c r="HX12" s="17">
        <v>15.112938097405555</v>
      </c>
      <c r="HY12" s="17">
        <v>32.127687206130908</v>
      </c>
      <c r="HZ12" s="17">
        <v>13.370960400546201</v>
      </c>
      <c r="IA12" s="17">
        <v>24.887371388049534</v>
      </c>
      <c r="IB12" s="17">
        <v>11.768263541192534</v>
      </c>
      <c r="IC12" s="17">
        <v>19.061106045638713</v>
      </c>
      <c r="ID12" s="17">
        <v>10.299044151115158</v>
      </c>
      <c r="IE12" s="17">
        <v>14.418755615669616</v>
      </c>
      <c r="IF12" s="17">
        <v>8.9574988620846607</v>
      </c>
      <c r="IG12" s="17">
        <v>10.759497440753508</v>
      </c>
      <c r="IH12" s="17">
        <v>7.7378243058716416</v>
      </c>
      <c r="II12" s="17">
        <v>7.9092193158983397</v>
      </c>
      <c r="IJ12" s="17">
        <v>6.6342171142467024</v>
      </c>
      <c r="IK12" s="17">
        <v>5.7180380794114836</v>
      </c>
      <c r="IL12" s="17">
        <v>5.6408739189804269</v>
      </c>
      <c r="IM12" s="17">
        <v>4.0579392481486094</v>
      </c>
      <c r="IN12" s="17">
        <v>4.7519913518434231</v>
      </c>
      <c r="IO12" s="17">
        <v>2.8205376971088865</v>
      </c>
      <c r="IP12" s="17">
        <v>3.9617660446062817</v>
      </c>
      <c r="IQ12" s="17">
        <v>1.9149593833762957</v>
      </c>
      <c r="IR12" s="17">
        <v>3.2643946290395984</v>
      </c>
      <c r="IS12" s="17">
        <v>1.2658441144072095</v>
      </c>
      <c r="IT12" s="17">
        <v>2.6540737369139733</v>
      </c>
      <c r="IU12" s="17">
        <v>0.81146936066415609</v>
      </c>
      <c r="IV12" s="17">
        <v>2.125</v>
      </c>
      <c r="IW12" s="17">
        <v>0.50199511259579543</v>
      </c>
      <c r="IX12" s="17">
        <v>1.6713700500682751</v>
      </c>
      <c r="IY12" s="17">
        <v>0.29782978196310489</v>
      </c>
      <c r="IZ12" s="17">
        <v>1.2873805188893952</v>
      </c>
      <c r="JA12" s="17">
        <v>0.16811714751177356</v>
      </c>
      <c r="JB12" s="17">
        <v>0.9672280382339552</v>
      </c>
      <c r="JC12" s="17">
        <v>8.9344344990804431E-2</v>
      </c>
      <c r="JD12" s="17">
        <v>0.70510923987255336</v>
      </c>
      <c r="JE12" s="17">
        <v>4.4070901517326351E-2</v>
      </c>
      <c r="JF12" s="17">
        <v>0.49522075557578521</v>
      </c>
      <c r="JG12" s="17">
        <v>1.9778814287612648E-2</v>
      </c>
      <c r="JH12" s="17">
        <v>0.33175921711424688</v>
      </c>
      <c r="JI12" s="17">
        <v>7.8436736343093037E-3</v>
      </c>
      <c r="JJ12" s="17">
        <v>0.20892125625853425</v>
      </c>
      <c r="JK12" s="17">
        <v>2.6268304298714619E-3</v>
      </c>
      <c r="JL12" s="17">
        <v>0.1209035047792444</v>
      </c>
      <c r="JM12" s="17">
        <v>6.8860783620822423E-4</v>
      </c>
      <c r="JN12" s="17">
        <v>6.1902594446973151E-2</v>
      </c>
      <c r="JO12" s="17">
        <v>0.476837158203125</v>
      </c>
      <c r="JP12" s="17">
        <v>1.5708885696404189</v>
      </c>
      <c r="JQ12" s="17">
        <v>1.4551915228366852</v>
      </c>
      <c r="JR12" s="17">
        <v>1.9523640191169775</v>
      </c>
      <c r="JS12" s="17">
        <v>1.0862946510314941</v>
      </c>
      <c r="JT12" s="17">
        <v>3.6209821701049805</v>
      </c>
      <c r="JU12" s="17">
        <v>2.1848436788802914</v>
      </c>
      <c r="JV12" s="17">
        <v>2.7392292395234108</v>
      </c>
      <c r="JW12" s="17">
        <v>12.361758929757904</v>
      </c>
      <c r="JX12" s="17">
        <v>1.6436902594446974</v>
      </c>
      <c r="JY12" s="17">
        <v>6.103515625</v>
      </c>
      <c r="JZ12" s="17">
        <v>15.2587890625</v>
      </c>
      <c r="KA12" s="17">
        <v>0.73551647132453335</v>
      </c>
      <c r="KB12" s="17">
        <v>4.7741965521823628</v>
      </c>
      <c r="KC12" s="17">
        <v>12.361758929757904</v>
      </c>
      <c r="KD12" s="17">
        <v>0.83568502503413755</v>
      </c>
      <c r="KE12" s="17">
        <v>3.7011818562559</v>
      </c>
      <c r="KF12" s="17">
        <v>9.938358688094544</v>
      </c>
      <c r="KG12" s="17">
        <v>0.94455863108784721</v>
      </c>
      <c r="KH12" s="17">
        <v>2.6171307889631601</v>
      </c>
      <c r="KI12" s="17">
        <v>2.8418916187052878</v>
      </c>
      <c r="KJ12" s="17">
        <v>7.9245054752358994</v>
      </c>
      <c r="KK12" s="17">
        <v>1.0625</v>
      </c>
      <c r="KL12" s="17">
        <v>2.0095208349837232</v>
      </c>
      <c r="KM12" s="17">
        <v>2.1596040642437933</v>
      </c>
      <c r="KN12" s="17">
        <v>6.2628517863070012</v>
      </c>
      <c r="KO12" s="17">
        <v>0.94455863108784721</v>
      </c>
      <c r="KP12" s="17">
        <v>1.5270706785048145</v>
      </c>
      <c r="KQ12" s="17">
        <v>1.6228290277881319</v>
      </c>
      <c r="KR12" s="17">
        <v>4.9022960214433144</v>
      </c>
      <c r="KS12" s="17">
        <v>0.83568502503413755</v>
      </c>
      <c r="KT12" s="17">
        <v>1.1475134102553601</v>
      </c>
      <c r="KU12" s="17">
        <v>1.2047277872548898</v>
      </c>
      <c r="KV12" s="17">
        <v>3.7975115033034568</v>
      </c>
      <c r="KW12" s="17">
        <v>0.73551647132453335</v>
      </c>
      <c r="KX12" s="17">
        <v>0.85187118785179694</v>
      </c>
      <c r="KY12" s="17">
        <v>0.8825774788777353</v>
      </c>
      <c r="KZ12" s="17">
        <v>2.908493964483446</v>
      </c>
      <c r="LA12" s="17">
        <v>0.64369025944469738</v>
      </c>
      <c r="LB12" s="17">
        <v>0.62407652023697346</v>
      </c>
      <c r="LC12" s="17">
        <v>2.0566158053263899</v>
      </c>
      <c r="LD12" s="17">
        <v>0.63727831174455729</v>
      </c>
      <c r="LE12" s="17">
        <v>2.2001275048323996</v>
      </c>
      <c r="LF12" s="17">
        <v>0.5598436788802913</v>
      </c>
      <c r="LG12" s="17">
        <v>0.45062381573769106</v>
      </c>
      <c r="LH12" s="17">
        <v>1.5557250781420282</v>
      </c>
      <c r="LI12" s="17">
        <v>0.45290179825370042</v>
      </c>
      <c r="LJ12" s="17">
        <v>1.6417690186696638</v>
      </c>
      <c r="LK12" s="17">
        <v>0.4836140191169776</v>
      </c>
      <c r="LL12" s="17">
        <v>0.32024993275677321</v>
      </c>
      <c r="LM12" s="17">
        <v>1.1609060062433028</v>
      </c>
      <c r="LN12" s="17">
        <v>0.31627821718848598</v>
      </c>
      <c r="LO12" s="17">
        <v>1.2068510919034332</v>
      </c>
      <c r="LP12" s="17">
        <v>0.4146385696404189</v>
      </c>
      <c r="LQ12" s="17">
        <v>0.22364247211557009</v>
      </c>
      <c r="LR12" s="17">
        <v>0.85337259096730689</v>
      </c>
      <c r="LS12" s="17">
        <v>0.21662152610917026</v>
      </c>
      <c r="LT12" s="17">
        <v>0.8725033690508246</v>
      </c>
      <c r="LU12" s="17">
        <v>0.35255461993627668</v>
      </c>
      <c r="LV12" s="17">
        <v>0.15317455006277303</v>
      </c>
    </row>
    <row r="13" spans="1:334" s="4" customFormat="1" ht="14.25" x14ac:dyDescent="0.2">
      <c r="A13" s="16">
        <v>7</v>
      </c>
      <c r="B13" s="17" t="s">
        <v>683</v>
      </c>
      <c r="C13" s="18" t="s">
        <v>415</v>
      </c>
      <c r="D13" s="18" t="s">
        <v>91</v>
      </c>
      <c r="E13" s="18" t="s">
        <v>415</v>
      </c>
      <c r="F13" s="19" t="s">
        <v>92</v>
      </c>
      <c r="G13" s="19" t="s">
        <v>416</v>
      </c>
      <c r="H13" s="20">
        <v>-1</v>
      </c>
      <c r="I13" s="21">
        <v>32.93</v>
      </c>
      <c r="J13" s="22">
        <v>24.569800000000001</v>
      </c>
      <c r="K13" s="20" t="s">
        <v>93</v>
      </c>
      <c r="L13" s="18">
        <v>0</v>
      </c>
      <c r="M13" s="18">
        <v>1</v>
      </c>
      <c r="N13" s="18" t="s">
        <v>415</v>
      </c>
      <c r="O13" s="23">
        <v>0</v>
      </c>
      <c r="P13" s="23">
        <v>0</v>
      </c>
      <c r="Q13" s="23">
        <v>2</v>
      </c>
      <c r="R13" s="23">
        <v>2</v>
      </c>
      <c r="S13" s="23">
        <v>0</v>
      </c>
      <c r="T13" s="23">
        <v>40</v>
      </c>
      <c r="U13" s="23">
        <v>0</v>
      </c>
      <c r="V13" s="23">
        <v>40</v>
      </c>
      <c r="W13" s="23">
        <v>0</v>
      </c>
      <c r="X13" s="18" t="s">
        <v>415</v>
      </c>
      <c r="Y13" s="17">
        <v>732.62719299840012</v>
      </c>
      <c r="Z13" s="17">
        <v>714.61663299840006</v>
      </c>
      <c r="AA13" s="17">
        <v>732.62719299840012</v>
      </c>
      <c r="AB13" s="17">
        <v>714.61663299840006</v>
      </c>
      <c r="AC13" s="17">
        <v>1294.2606129984001</v>
      </c>
      <c r="AD13" s="17">
        <v>1276.2500483144001</v>
      </c>
      <c r="AE13" s="17">
        <v>1258.2394836304002</v>
      </c>
      <c r="AF13" s="17">
        <v>1240.2289189464002</v>
      </c>
      <c r="AG13" s="17">
        <v>1220.2238335660002</v>
      </c>
      <c r="AH13" s="17">
        <v>1202.2132688820002</v>
      </c>
      <c r="AI13" s="17">
        <v>1110.1659247656003</v>
      </c>
      <c r="AJ13" s="17">
        <v>739.68156055120016</v>
      </c>
      <c r="AK13" s="17">
        <v>721.67099586720019</v>
      </c>
      <c r="AL13" s="17">
        <v>703.66043118320022</v>
      </c>
      <c r="AM13" s="17">
        <v>685.64986649920024</v>
      </c>
      <c r="AN13" s="17">
        <v>665.64478111880021</v>
      </c>
      <c r="AO13" s="17">
        <v>647.63421643480024</v>
      </c>
      <c r="AP13" s="17">
        <v>629.62365175080026</v>
      </c>
      <c r="AQ13" s="17">
        <v>611.61308706680029</v>
      </c>
      <c r="AR13" s="17">
        <v>593.60252238280032</v>
      </c>
      <c r="AS13" s="17">
        <v>609.61856637040023</v>
      </c>
      <c r="AT13" s="17">
        <v>591.60800168640026</v>
      </c>
      <c r="AU13" s="17">
        <v>555.5868774472001</v>
      </c>
      <c r="AV13" s="17">
        <v>573.59744213120007</v>
      </c>
      <c r="AW13" s="17">
        <v>739.68156055120016</v>
      </c>
      <c r="AX13" s="17">
        <v>721.67099586720019</v>
      </c>
      <c r="AY13" s="17">
        <v>703.66043118320022</v>
      </c>
      <c r="AZ13" s="17">
        <v>685.64986649920024</v>
      </c>
      <c r="BA13" s="17">
        <v>665.64478111880021</v>
      </c>
      <c r="BB13" s="17">
        <v>647.63421643480024</v>
      </c>
      <c r="BC13" s="17">
        <v>629.62365175080026</v>
      </c>
      <c r="BD13" s="17">
        <v>611.61308706680029</v>
      </c>
      <c r="BE13" s="17">
        <v>593.60252238280032</v>
      </c>
      <c r="BF13" s="17">
        <v>609.61856637040023</v>
      </c>
      <c r="BG13" s="17">
        <v>591.60800168640026</v>
      </c>
      <c r="BH13" s="17">
        <v>553.57122744720004</v>
      </c>
      <c r="BI13" s="17">
        <v>571.58179213120002</v>
      </c>
      <c r="BJ13" s="17">
        <v>55.0547752254</v>
      </c>
      <c r="BK13" s="17">
        <v>57.070425289800006</v>
      </c>
      <c r="BL13" s="17">
        <v>69.070425289799999</v>
      </c>
      <c r="BM13" s="17">
        <v>71.086075354200005</v>
      </c>
      <c r="BN13" s="17">
        <v>81.070425289799999</v>
      </c>
      <c r="BO13" s="17">
        <v>83.086075354200005</v>
      </c>
      <c r="BP13" s="17">
        <v>85.101725418599997</v>
      </c>
      <c r="BQ13" s="17">
        <v>95.086075354200005</v>
      </c>
      <c r="BR13" s="17">
        <v>97.101725418599997</v>
      </c>
      <c r="BS13" s="17">
        <v>99.117375483000004</v>
      </c>
      <c r="BT13" s="17">
        <v>109.1017254186</v>
      </c>
      <c r="BU13" s="17">
        <v>111.117375483</v>
      </c>
      <c r="BV13" s="17">
        <v>113.13302554740001</v>
      </c>
      <c r="BW13" s="17">
        <v>123.117375483</v>
      </c>
      <c r="BX13" s="17">
        <v>125.13302554740001</v>
      </c>
      <c r="BY13" s="17">
        <v>127.1486756118</v>
      </c>
      <c r="BZ13" s="17">
        <v>137.1330255474</v>
      </c>
      <c r="CA13" s="17">
        <v>139.1486756118</v>
      </c>
      <c r="CB13" s="17">
        <v>141.16432567620001</v>
      </c>
      <c r="CC13" s="17">
        <v>149.1330255474</v>
      </c>
      <c r="CD13" s="17">
        <v>151.1486756118</v>
      </c>
      <c r="CE13" s="17">
        <v>153.16432567620001</v>
      </c>
      <c r="CF13" s="17">
        <v>155.17997574060001</v>
      </c>
      <c r="CG13" s="17">
        <v>163.1486756118</v>
      </c>
      <c r="CH13" s="17">
        <v>165.16432567620001</v>
      </c>
      <c r="CI13" s="17">
        <v>167.17997574060001</v>
      </c>
      <c r="CJ13" s="17">
        <v>169.19562580499999</v>
      </c>
      <c r="CK13" s="17">
        <v>177.16432567620001</v>
      </c>
      <c r="CL13" s="17">
        <v>179.17997574060001</v>
      </c>
      <c r="CM13" s="17">
        <v>181.19562580499999</v>
      </c>
      <c r="CN13" s="17">
        <v>183.2112758694</v>
      </c>
      <c r="CO13" s="17">
        <v>191.17997574060001</v>
      </c>
      <c r="CP13" s="17">
        <v>193.19562580499999</v>
      </c>
      <c r="CQ13" s="17">
        <v>195.2112758694</v>
      </c>
      <c r="CR13" s="17">
        <v>197.2269259338</v>
      </c>
      <c r="CS13" s="17">
        <v>205.19562580499999</v>
      </c>
      <c r="CT13" s="17">
        <v>207.2112758694</v>
      </c>
      <c r="CU13" s="17">
        <v>209.2269259338</v>
      </c>
      <c r="CV13" s="17">
        <v>211.24257599820001</v>
      </c>
      <c r="CW13" s="17">
        <v>219.2112758694</v>
      </c>
      <c r="CX13" s="17">
        <v>221.2269259338</v>
      </c>
      <c r="CY13" s="17">
        <v>223.24257599820001</v>
      </c>
      <c r="CZ13" s="17">
        <v>225.25822606260002</v>
      </c>
      <c r="DA13" s="17">
        <v>233.2269259338</v>
      </c>
      <c r="DB13" s="17">
        <v>235.24257599820001</v>
      </c>
      <c r="DC13" s="17">
        <v>237.25822606260002</v>
      </c>
      <c r="DD13" s="17">
        <v>239.27387612699999</v>
      </c>
      <c r="DE13" s="17">
        <v>247.24257599820001</v>
      </c>
      <c r="DF13" s="17">
        <v>249.25822606260002</v>
      </c>
      <c r="DG13" s="17">
        <v>251.27387612699999</v>
      </c>
      <c r="DH13" s="17">
        <v>253.2895261914</v>
      </c>
      <c r="DI13" s="17">
        <v>261.25822606259999</v>
      </c>
      <c r="DJ13" s="17">
        <v>263.27387612699999</v>
      </c>
      <c r="DK13" s="17">
        <v>265.2895261914</v>
      </c>
      <c r="DL13" s="17">
        <v>267.30517625580001</v>
      </c>
      <c r="DM13" s="17">
        <v>275.27387612699999</v>
      </c>
      <c r="DN13" s="17">
        <v>277.2895261914</v>
      </c>
      <c r="DO13" s="17">
        <v>279.30517625580001</v>
      </c>
      <c r="DP13" s="17">
        <v>281.32082632020001</v>
      </c>
      <c r="DQ13" s="17">
        <v>289.2895261914</v>
      </c>
      <c r="DR13" s="17">
        <v>55.0547752254</v>
      </c>
      <c r="DS13" s="17">
        <v>57.070425289800006</v>
      </c>
      <c r="DT13" s="17">
        <v>69.070425289799999</v>
      </c>
      <c r="DU13" s="17">
        <v>71.086075354200005</v>
      </c>
      <c r="DV13" s="17">
        <v>81.070425289799999</v>
      </c>
      <c r="DW13" s="17">
        <v>83.086075354200005</v>
      </c>
      <c r="DX13" s="17">
        <v>85.101725418599997</v>
      </c>
      <c r="DY13" s="17">
        <v>95.086075354200005</v>
      </c>
      <c r="DZ13" s="17">
        <v>97.101725418599997</v>
      </c>
      <c r="EA13" s="17">
        <v>99.117375483000004</v>
      </c>
      <c r="EB13" s="17">
        <v>109.1017254186</v>
      </c>
      <c r="EC13" s="17">
        <v>111.117375483</v>
      </c>
      <c r="ED13" s="17">
        <v>113.13302554740001</v>
      </c>
      <c r="EE13" s="17">
        <v>123.117375483</v>
      </c>
      <c r="EF13" s="17">
        <v>125.13302554740001</v>
      </c>
      <c r="EG13" s="17">
        <v>127.1486756118</v>
      </c>
      <c r="EH13" s="17">
        <v>137.1330255474</v>
      </c>
      <c r="EI13" s="17">
        <v>139.1486756118</v>
      </c>
      <c r="EJ13" s="17">
        <v>141.16432567620001</v>
      </c>
      <c r="EK13" s="17">
        <v>149.1330255474</v>
      </c>
      <c r="EL13" s="17">
        <v>151.1486756118</v>
      </c>
      <c r="EM13" s="17">
        <v>153.16432567620001</v>
      </c>
      <c r="EN13" s="17">
        <v>155.17997574060001</v>
      </c>
      <c r="EO13" s="17">
        <v>163.1486756118</v>
      </c>
      <c r="EP13" s="17">
        <v>165.16432567620001</v>
      </c>
      <c r="EQ13" s="17">
        <v>167.17997574060001</v>
      </c>
      <c r="ER13" s="17">
        <v>169.19562580499999</v>
      </c>
      <c r="ES13" s="17">
        <v>177.16432567620001</v>
      </c>
      <c r="ET13" s="17">
        <v>179.17997574060001</v>
      </c>
      <c r="EU13" s="17">
        <v>181.19562580499999</v>
      </c>
      <c r="EV13" s="17">
        <v>183.2112758694</v>
      </c>
      <c r="EW13" s="17">
        <v>191.17997574060001</v>
      </c>
      <c r="EX13" s="17">
        <v>193.19562580499999</v>
      </c>
      <c r="EY13" s="17">
        <v>195.2112758694</v>
      </c>
      <c r="EZ13" s="17">
        <v>197.2269259338</v>
      </c>
      <c r="FA13" s="17">
        <v>205.19562580499999</v>
      </c>
      <c r="FB13" s="17">
        <v>207.2112758694</v>
      </c>
      <c r="FC13" s="17">
        <v>209.2269259338</v>
      </c>
      <c r="FD13" s="17">
        <v>211.24257599820001</v>
      </c>
      <c r="FE13" s="17">
        <v>219.2112758694</v>
      </c>
      <c r="FF13" s="17">
        <v>221.2269259338</v>
      </c>
      <c r="FG13" s="17">
        <v>223.24257599820001</v>
      </c>
      <c r="FH13" s="17">
        <v>225.25822606260002</v>
      </c>
      <c r="FI13" s="17">
        <v>233.2269259338</v>
      </c>
      <c r="FJ13" s="17">
        <v>235.24257599820001</v>
      </c>
      <c r="FK13" s="17">
        <v>237.25822606260002</v>
      </c>
      <c r="FL13" s="17">
        <v>239.27387612699999</v>
      </c>
      <c r="FM13" s="17">
        <v>247.24257599820001</v>
      </c>
      <c r="FN13" s="17">
        <v>249.25822606260002</v>
      </c>
      <c r="FO13" s="17">
        <v>251.27387612699999</v>
      </c>
      <c r="FP13" s="17">
        <v>253.2895261914</v>
      </c>
      <c r="FQ13" s="17">
        <v>261.25822606259999</v>
      </c>
      <c r="FR13" s="17">
        <v>263.27387612699999</v>
      </c>
      <c r="FS13" s="17">
        <v>265.2895261914</v>
      </c>
      <c r="FT13" s="17">
        <v>267.30517625580001</v>
      </c>
      <c r="FU13" s="17">
        <v>275.27387612699999</v>
      </c>
      <c r="FV13" s="17">
        <v>277.2895261914</v>
      </c>
      <c r="FW13" s="17">
        <v>279.30517625580001</v>
      </c>
      <c r="FX13" s="17">
        <v>281.32082632020001</v>
      </c>
      <c r="FY13" s="17">
        <v>289.2895261914</v>
      </c>
      <c r="FZ13" s="17">
        <v>130.321</v>
      </c>
      <c r="GA13" s="17">
        <v>16.290125</v>
      </c>
      <c r="GB13" s="17">
        <v>2.036265625</v>
      </c>
      <c r="GC13" s="17">
        <v>1.0181328125</v>
      </c>
      <c r="GD13" s="17">
        <v>4.9152000000000022</v>
      </c>
      <c r="GE13" s="17">
        <v>2</v>
      </c>
      <c r="GF13" s="17">
        <v>0</v>
      </c>
      <c r="GG13" s="17">
        <v>51.20000000000001</v>
      </c>
      <c r="GH13" s="17">
        <v>28.44444444444445</v>
      </c>
      <c r="GI13" s="17">
        <v>19.911111111111115</v>
      </c>
      <c r="GJ13" s="17">
        <v>6.6370370370370386</v>
      </c>
      <c r="GK13" s="17">
        <v>32.400000000000006</v>
      </c>
      <c r="GL13" s="17">
        <v>32.400000000000006</v>
      </c>
      <c r="GM13" s="17">
        <v>16.200000000000003</v>
      </c>
      <c r="GN13" s="17">
        <v>32.400000000000006</v>
      </c>
      <c r="GO13" s="17">
        <v>6.4800000000000013</v>
      </c>
      <c r="GP13" s="17">
        <v>15</v>
      </c>
      <c r="GQ13" s="17">
        <v>3.75</v>
      </c>
      <c r="GR13" s="17">
        <v>25.919999999999998</v>
      </c>
      <c r="GS13" s="17">
        <v>12.959999999999999</v>
      </c>
      <c r="GT13" s="17">
        <v>51.20000000000001</v>
      </c>
      <c r="GU13" s="17">
        <v>28.44444444444445</v>
      </c>
      <c r="GV13" s="17">
        <v>19.911111111111115</v>
      </c>
      <c r="GW13" s="17">
        <v>6.6370370370370386</v>
      </c>
      <c r="GX13" s="17">
        <v>32.400000000000006</v>
      </c>
      <c r="GY13" s="17">
        <v>32.400000000000006</v>
      </c>
      <c r="GZ13" s="17">
        <v>16.200000000000003</v>
      </c>
      <c r="HA13" s="17">
        <v>32.400000000000006</v>
      </c>
      <c r="HB13" s="17">
        <v>6.4800000000000013</v>
      </c>
      <c r="HC13" s="17">
        <v>15</v>
      </c>
      <c r="HD13" s="17">
        <v>3.75</v>
      </c>
      <c r="HE13" s="17">
        <v>25.919999999999998</v>
      </c>
      <c r="HF13" s="17">
        <v>12.959999999999999</v>
      </c>
      <c r="HG13" s="17">
        <v>0.98876953125</v>
      </c>
      <c r="HH13" s="17">
        <v>2.1075056052866707</v>
      </c>
      <c r="HI13" s="17">
        <v>3.0174851417541504</v>
      </c>
      <c r="HJ13" s="17">
        <v>2.9708693673190716</v>
      </c>
      <c r="HK13" s="17">
        <v>2.2525405883789063</v>
      </c>
      <c r="HL13" s="17">
        <v>7.5084686279296875</v>
      </c>
      <c r="HM13" s="17">
        <v>3.4767591328242213</v>
      </c>
      <c r="HN13" s="17">
        <v>5.6800657510757446</v>
      </c>
      <c r="HO13" s="17">
        <v>25.633343316745989</v>
      </c>
      <c r="HP13" s="17">
        <v>2.1443382390127956</v>
      </c>
      <c r="HQ13" s="17">
        <v>12.65625</v>
      </c>
      <c r="HR13" s="17">
        <v>31.640625</v>
      </c>
      <c r="HS13" s="17">
        <v>1.3075848379102815</v>
      </c>
      <c r="HT13" s="17">
        <v>9.8997739706053487</v>
      </c>
      <c r="HU13" s="17">
        <v>25.633343316745989</v>
      </c>
      <c r="HV13" s="17">
        <v>1.4856622667273556</v>
      </c>
      <c r="HW13" s="17">
        <v>7.6747706971322343</v>
      </c>
      <c r="HX13" s="17">
        <v>20.608180575632847</v>
      </c>
      <c r="HY13" s="17">
        <v>1.6792153441561728</v>
      </c>
      <c r="HZ13" s="17">
        <v>5.4268824039940089</v>
      </c>
      <c r="IA13" s="17">
        <v>5.8929464605472841</v>
      </c>
      <c r="IB13" s="17">
        <v>16.432254553449162</v>
      </c>
      <c r="IC13" s="17">
        <v>1.8888888888888888</v>
      </c>
      <c r="ID13" s="17">
        <v>4.1669424034222482</v>
      </c>
      <c r="IE13" s="17">
        <v>4.4781549876159294</v>
      </c>
      <c r="IF13" s="17">
        <v>12.986649464086197</v>
      </c>
      <c r="IG13" s="17">
        <v>1.6792153441561728</v>
      </c>
      <c r="IH13" s="17">
        <v>3.1665337589475833</v>
      </c>
      <c r="II13" s="17">
        <v>3.3650982720214704</v>
      </c>
      <c r="IJ13" s="17">
        <v>10.165401030064857</v>
      </c>
      <c r="IK13" s="17">
        <v>1.4856622667273556</v>
      </c>
      <c r="IL13" s="17">
        <v>2.3794838075055149</v>
      </c>
      <c r="IM13" s="17">
        <v>2.4981235396517394</v>
      </c>
      <c r="IN13" s="17">
        <v>7.8745198532500478</v>
      </c>
      <c r="IO13" s="17">
        <v>1.3075848379102815</v>
      </c>
      <c r="IP13" s="17">
        <v>1.7664400951294859</v>
      </c>
      <c r="IQ13" s="17">
        <v>1.8301126602008719</v>
      </c>
      <c r="IR13" s="17">
        <v>6.031053084752874</v>
      </c>
      <c r="IS13" s="17">
        <v>1.1443382390127954</v>
      </c>
      <c r="IT13" s="17">
        <v>1.2940850723633883</v>
      </c>
      <c r="IU13" s="17">
        <v>1.321460307233514</v>
      </c>
      <c r="IV13" s="17">
        <v>4.5621843940204645</v>
      </c>
      <c r="IW13" s="17">
        <v>0.99527765134274004</v>
      </c>
      <c r="IX13" s="17">
        <v>0.93441354431367618</v>
      </c>
      <c r="IY13" s="17">
        <v>0.93913716885887322</v>
      </c>
      <c r="IZ13" s="17">
        <v>3.4043722371134146</v>
      </c>
      <c r="JA13" s="17">
        <v>0.8597582562079602</v>
      </c>
      <c r="JB13" s="17">
        <v>0.66407026056444496</v>
      </c>
      <c r="JC13" s="17">
        <v>0.6558345111620445</v>
      </c>
      <c r="JD13" s="17">
        <v>2.5025264241709593</v>
      </c>
      <c r="JE13" s="17">
        <v>0.73713523491630029</v>
      </c>
      <c r="JF13" s="17">
        <v>0.46374503017884611</v>
      </c>
      <c r="JG13" s="17">
        <v>0.4491863965399755</v>
      </c>
      <c r="JH13" s="17">
        <v>1.8092229860637898</v>
      </c>
      <c r="JI13" s="17">
        <v>0.62676376877560303</v>
      </c>
      <c r="JJ13" s="17">
        <v>0.31762274701016618</v>
      </c>
      <c r="JK13" s="17">
        <v>0.3010658590894742</v>
      </c>
      <c r="JL13" s="17">
        <v>1.283957340234521</v>
      </c>
      <c r="JM13" s="17">
        <v>0.52799903909371371</v>
      </c>
      <c r="JN13" s="17">
        <v>0.21288571054592076</v>
      </c>
      <c r="JO13" s="17">
        <v>0.98876953125</v>
      </c>
      <c r="JP13" s="17">
        <v>2.1075056052866707</v>
      </c>
      <c r="JQ13" s="17">
        <v>3.0174851417541504</v>
      </c>
      <c r="JR13" s="17">
        <v>2.9708693673190716</v>
      </c>
      <c r="JS13" s="17">
        <v>2.2525405883789063</v>
      </c>
      <c r="JT13" s="17">
        <v>7.5084686279296875</v>
      </c>
      <c r="JU13" s="17">
        <v>3.4767591328242213</v>
      </c>
      <c r="JV13" s="17">
        <v>5.6800657510757446</v>
      </c>
      <c r="JW13" s="17">
        <v>25.633343316745989</v>
      </c>
      <c r="JX13" s="17">
        <v>2.1443382390127956</v>
      </c>
      <c r="JY13" s="17">
        <v>12.65625</v>
      </c>
      <c r="JZ13" s="17">
        <v>31.640625</v>
      </c>
      <c r="KA13" s="17">
        <v>1.3075848379102815</v>
      </c>
      <c r="KB13" s="17">
        <v>9.8997739706053487</v>
      </c>
      <c r="KC13" s="17">
        <v>25.633343316745989</v>
      </c>
      <c r="KD13" s="17">
        <v>1.4856622667273556</v>
      </c>
      <c r="KE13" s="17">
        <v>7.6747706971322343</v>
      </c>
      <c r="KF13" s="17">
        <v>20.608180575632847</v>
      </c>
      <c r="KG13" s="17">
        <v>1.6792153441561728</v>
      </c>
      <c r="KH13" s="17">
        <v>5.4268824039940089</v>
      </c>
      <c r="KI13" s="17">
        <v>5.8929464605472841</v>
      </c>
      <c r="KJ13" s="17">
        <v>16.432254553449162</v>
      </c>
      <c r="KK13" s="17">
        <v>1.8888888888888888</v>
      </c>
      <c r="KL13" s="17">
        <v>4.1669424034222482</v>
      </c>
      <c r="KM13" s="17">
        <v>4.4781549876159294</v>
      </c>
      <c r="KN13" s="17">
        <v>12.986649464086197</v>
      </c>
      <c r="KO13" s="17">
        <v>1.6792153441561728</v>
      </c>
      <c r="KP13" s="17">
        <v>3.1665337589475833</v>
      </c>
      <c r="KQ13" s="17">
        <v>3.3650982720214704</v>
      </c>
      <c r="KR13" s="17">
        <v>10.165401030064857</v>
      </c>
      <c r="KS13" s="17">
        <v>1.4856622667273556</v>
      </c>
      <c r="KT13" s="17">
        <v>2.3794838075055149</v>
      </c>
      <c r="KU13" s="17">
        <v>2.4981235396517394</v>
      </c>
      <c r="KV13" s="17">
        <v>7.8745198532500478</v>
      </c>
      <c r="KW13" s="17">
        <v>1.3075848379102815</v>
      </c>
      <c r="KX13" s="17">
        <v>1.7664400951294859</v>
      </c>
      <c r="KY13" s="17">
        <v>1.8301126602008719</v>
      </c>
      <c r="KZ13" s="17">
        <v>6.031053084752874</v>
      </c>
      <c r="LA13" s="17">
        <v>1.1443382390127954</v>
      </c>
      <c r="LB13" s="17">
        <v>1.2940850723633883</v>
      </c>
      <c r="LC13" s="17">
        <v>1.321460307233514</v>
      </c>
      <c r="LD13" s="17">
        <v>4.5621843940204645</v>
      </c>
      <c r="LE13" s="17">
        <v>0.99527765134274004</v>
      </c>
      <c r="LF13" s="17">
        <v>0.93441354431367618</v>
      </c>
      <c r="LG13" s="17">
        <v>0.93913716885887322</v>
      </c>
      <c r="LH13" s="17">
        <v>3.4043722371134146</v>
      </c>
      <c r="LI13" s="17">
        <v>0.8597582562079602</v>
      </c>
      <c r="LJ13" s="17">
        <v>0.66407026056444496</v>
      </c>
      <c r="LK13" s="17">
        <v>0.6558345111620445</v>
      </c>
      <c r="LL13" s="17">
        <v>2.5025264241709593</v>
      </c>
      <c r="LM13" s="17">
        <v>0.73713523491630029</v>
      </c>
      <c r="LN13" s="17">
        <v>0.46374503017884611</v>
      </c>
      <c r="LO13" s="17">
        <v>0.4491863965399755</v>
      </c>
      <c r="LP13" s="17">
        <v>1.8092229860637898</v>
      </c>
      <c r="LQ13" s="17">
        <v>0.62676376877560303</v>
      </c>
      <c r="LR13" s="17">
        <v>0.31762274701016618</v>
      </c>
      <c r="LS13" s="17">
        <v>0.3010658590894742</v>
      </c>
      <c r="LT13" s="17">
        <v>1.283957340234521</v>
      </c>
      <c r="LU13" s="17">
        <v>0.52799903909371371</v>
      </c>
      <c r="LV13" s="17">
        <v>0.21288571054592076</v>
      </c>
    </row>
    <row r="14" spans="1:334" s="4" customFormat="1" ht="14.25" x14ac:dyDescent="0.2">
      <c r="A14" s="16">
        <v>8</v>
      </c>
      <c r="B14" s="17" t="s">
        <v>683</v>
      </c>
      <c r="C14" s="18" t="s">
        <v>417</v>
      </c>
      <c r="D14" s="18" t="s">
        <v>91</v>
      </c>
      <c r="E14" s="18" t="s">
        <v>417</v>
      </c>
      <c r="F14" s="19" t="s">
        <v>94</v>
      </c>
      <c r="G14" s="19" t="s">
        <v>418</v>
      </c>
      <c r="H14" s="20">
        <v>-1</v>
      </c>
      <c r="I14" s="21">
        <v>32.65</v>
      </c>
      <c r="J14" s="22">
        <v>24.569800000000001</v>
      </c>
      <c r="K14" s="20" t="s">
        <v>95</v>
      </c>
      <c r="L14" s="18">
        <v>0</v>
      </c>
      <c r="M14" s="18">
        <v>2</v>
      </c>
      <c r="N14" s="18" t="s">
        <v>417</v>
      </c>
      <c r="O14" s="23">
        <v>0</v>
      </c>
      <c r="P14" s="23">
        <v>0</v>
      </c>
      <c r="Q14" s="23">
        <v>1</v>
      </c>
      <c r="R14" s="23">
        <v>3</v>
      </c>
      <c r="S14" s="23">
        <v>0</v>
      </c>
      <c r="T14" s="23">
        <v>40</v>
      </c>
      <c r="U14" s="23">
        <v>0</v>
      </c>
      <c r="V14" s="23">
        <v>40</v>
      </c>
      <c r="W14" s="23">
        <v>0</v>
      </c>
      <c r="X14" s="18" t="s">
        <v>417</v>
      </c>
      <c r="Y14" s="17">
        <v>732.62719299840012</v>
      </c>
      <c r="Z14" s="17">
        <v>714.61663299840006</v>
      </c>
      <c r="AA14" s="17">
        <v>732.62719299840012</v>
      </c>
      <c r="AB14" s="17">
        <v>714.61663299840006</v>
      </c>
      <c r="AC14" s="17">
        <v>1294.2606129984001</v>
      </c>
      <c r="AD14" s="17">
        <v>1276.2500483144001</v>
      </c>
      <c r="AE14" s="17">
        <v>1258.2394836304002</v>
      </c>
      <c r="AF14" s="17">
        <v>1240.2289189464002</v>
      </c>
      <c r="AG14" s="17">
        <v>1220.2238335660002</v>
      </c>
      <c r="AH14" s="17">
        <v>1202.2132688820002</v>
      </c>
      <c r="AI14" s="17">
        <v>1110.1659247656003</v>
      </c>
      <c r="AJ14" s="17">
        <v>737.66591048680016</v>
      </c>
      <c r="AK14" s="17">
        <v>719.65534580280018</v>
      </c>
      <c r="AL14" s="17">
        <v>701.64478111880021</v>
      </c>
      <c r="AM14" s="17">
        <v>683.63421643480024</v>
      </c>
      <c r="AN14" s="17">
        <v>663.6291310544002</v>
      </c>
      <c r="AO14" s="17">
        <v>645.61856637040023</v>
      </c>
      <c r="AP14" s="17">
        <v>627.60800168640026</v>
      </c>
      <c r="AQ14" s="17">
        <v>609.59743700240028</v>
      </c>
      <c r="AR14" s="17">
        <v>591.58687231840031</v>
      </c>
      <c r="AS14" s="17">
        <v>607.60291630600022</v>
      </c>
      <c r="AT14" s="17">
        <v>589.59235162200025</v>
      </c>
      <c r="AU14" s="17">
        <v>555.58687751160005</v>
      </c>
      <c r="AV14" s="17">
        <v>573.59744219560002</v>
      </c>
      <c r="AW14" s="17">
        <v>741.69721061560017</v>
      </c>
      <c r="AX14" s="17">
        <v>723.6866459316002</v>
      </c>
      <c r="AY14" s="17">
        <v>705.67608124760022</v>
      </c>
      <c r="AZ14" s="17">
        <v>687.66551656360025</v>
      </c>
      <c r="BA14" s="17">
        <v>667.66043118320022</v>
      </c>
      <c r="BB14" s="17">
        <v>649.64986649920024</v>
      </c>
      <c r="BC14" s="17">
        <v>631.63930181520027</v>
      </c>
      <c r="BD14" s="17">
        <v>613.6287371312003</v>
      </c>
      <c r="BE14" s="17">
        <v>595.61817244720032</v>
      </c>
      <c r="BF14" s="17">
        <v>611.63421643480024</v>
      </c>
      <c r="BG14" s="17">
        <v>593.62365175080026</v>
      </c>
      <c r="BH14" s="17">
        <v>551.55557738280004</v>
      </c>
      <c r="BI14" s="17">
        <v>569.56614206680001</v>
      </c>
      <c r="BJ14" s="17">
        <v>55.0547752254</v>
      </c>
      <c r="BK14" s="17">
        <v>57.070425289800006</v>
      </c>
      <c r="BL14" s="17">
        <v>69.070425289799999</v>
      </c>
      <c r="BM14" s="17">
        <v>71.086075354200005</v>
      </c>
      <c r="BN14" s="17">
        <v>81.070425289799999</v>
      </c>
      <c r="BO14" s="17">
        <v>83.086075354200005</v>
      </c>
      <c r="BP14" s="17">
        <v>85.101725418599997</v>
      </c>
      <c r="BQ14" s="17">
        <v>95.086075354200005</v>
      </c>
      <c r="BR14" s="17">
        <v>97.101725418599997</v>
      </c>
      <c r="BS14" s="17">
        <v>99.117375483000004</v>
      </c>
      <c r="BT14" s="17">
        <v>109.1017254186</v>
      </c>
      <c r="BU14" s="17">
        <v>111.117375483</v>
      </c>
      <c r="BV14" s="17">
        <v>113.13302554740001</v>
      </c>
      <c r="BW14" s="17">
        <v>123.117375483</v>
      </c>
      <c r="BX14" s="17">
        <v>125.13302554740001</v>
      </c>
      <c r="BY14" s="17">
        <v>127.1486756118</v>
      </c>
      <c r="BZ14" s="17">
        <v>137.1330255474</v>
      </c>
      <c r="CA14" s="17">
        <v>139.1486756118</v>
      </c>
      <c r="CB14" s="17">
        <v>141.16432567620001</v>
      </c>
      <c r="CC14" s="17">
        <v>151.1486756118</v>
      </c>
      <c r="CD14" s="17">
        <v>153.16432567620001</v>
      </c>
      <c r="CE14" s="17">
        <v>155.17997574060001</v>
      </c>
      <c r="CF14" s="17">
        <v>165.16432567620001</v>
      </c>
      <c r="CG14" s="17">
        <v>167.17997574060001</v>
      </c>
      <c r="CH14" s="17">
        <v>169.19562580499999</v>
      </c>
      <c r="CI14" s="17">
        <v>179.17997574060001</v>
      </c>
      <c r="CJ14" s="17">
        <v>181.19562580499999</v>
      </c>
      <c r="CK14" s="17">
        <v>183.2112758694</v>
      </c>
      <c r="CL14" s="17">
        <v>193.19562580499999</v>
      </c>
      <c r="CM14" s="17">
        <v>195.2112758694</v>
      </c>
      <c r="CN14" s="17">
        <v>197.2269259338</v>
      </c>
      <c r="CO14" s="17">
        <v>207.2112758694</v>
      </c>
      <c r="CP14" s="17">
        <v>209.2269259338</v>
      </c>
      <c r="CQ14" s="17">
        <v>211.24257599820001</v>
      </c>
      <c r="CR14" s="17">
        <v>221.2269259338</v>
      </c>
      <c r="CS14" s="17">
        <v>223.24257599820001</v>
      </c>
      <c r="CT14" s="17">
        <v>225.25822606260002</v>
      </c>
      <c r="CU14" s="17">
        <v>235.24257599820001</v>
      </c>
      <c r="CV14" s="17">
        <v>237.25822606260002</v>
      </c>
      <c r="CW14" s="17">
        <v>239.27387612699999</v>
      </c>
      <c r="CX14" s="17">
        <v>249.25822606260002</v>
      </c>
      <c r="CY14" s="17">
        <v>251.27387612699999</v>
      </c>
      <c r="CZ14" s="17">
        <v>253.2895261914</v>
      </c>
      <c r="DA14" s="17">
        <v>263.27387612699999</v>
      </c>
      <c r="DB14" s="17">
        <v>265.2895261914</v>
      </c>
      <c r="DC14" s="17">
        <v>267.30517625580001</v>
      </c>
      <c r="DD14" s="17">
        <v>277.2895261914</v>
      </c>
      <c r="DE14" s="17">
        <v>279.30517625580001</v>
      </c>
      <c r="DF14" s="17">
        <v>281.32082632020001</v>
      </c>
      <c r="DG14" s="17">
        <v>291.30517625580001</v>
      </c>
      <c r="DH14" s="17">
        <v>293.32082632020001</v>
      </c>
      <c r="DI14" s="17">
        <v>295.33647638460002</v>
      </c>
      <c r="DJ14" s="17">
        <v>305.32082632020001</v>
      </c>
      <c r="DK14" s="17">
        <v>307.33647638460002</v>
      </c>
      <c r="DL14" s="17">
        <v>309.35212644900002</v>
      </c>
      <c r="DM14" s="17">
        <v>319.33647638460002</v>
      </c>
      <c r="DN14" s="17">
        <v>321.35212644900002</v>
      </c>
      <c r="DO14" s="17">
        <v>323.36777651340003</v>
      </c>
      <c r="DP14" s="17">
        <v>333.35212644900002</v>
      </c>
      <c r="DQ14" s="17">
        <v>335.36777651340003</v>
      </c>
      <c r="DR14" s="17">
        <v>55.0547752254</v>
      </c>
      <c r="DS14" s="17">
        <v>57.070425289800006</v>
      </c>
      <c r="DT14" s="17">
        <v>69.070425289799999</v>
      </c>
      <c r="DU14" s="17">
        <v>71.086075354200005</v>
      </c>
      <c r="DV14" s="17">
        <v>81.070425289799999</v>
      </c>
      <c r="DW14" s="17">
        <v>83.086075354200005</v>
      </c>
      <c r="DX14" s="17">
        <v>85.101725418599997</v>
      </c>
      <c r="DY14" s="17">
        <v>95.086075354200005</v>
      </c>
      <c r="DZ14" s="17">
        <v>97.101725418599997</v>
      </c>
      <c r="EA14" s="17">
        <v>99.117375483000004</v>
      </c>
      <c r="EB14" s="17">
        <v>109.1017254186</v>
      </c>
      <c r="EC14" s="17">
        <v>111.117375483</v>
      </c>
      <c r="ED14" s="17">
        <v>113.13302554740001</v>
      </c>
      <c r="EE14" s="17">
        <v>123.117375483</v>
      </c>
      <c r="EF14" s="17">
        <v>125.13302554740001</v>
      </c>
      <c r="EG14" s="17">
        <v>127.1486756118</v>
      </c>
      <c r="EH14" s="17">
        <v>137.1330255474</v>
      </c>
      <c r="EI14" s="17">
        <v>139.1486756118</v>
      </c>
      <c r="EJ14" s="17">
        <v>141.16432567620001</v>
      </c>
      <c r="EK14" s="17">
        <v>149.1330255474</v>
      </c>
      <c r="EL14" s="17">
        <v>151.1486756118</v>
      </c>
      <c r="EM14" s="17">
        <v>153.16432567620001</v>
      </c>
      <c r="EN14" s="17">
        <v>155.17997574060001</v>
      </c>
      <c r="EO14" s="17">
        <v>163.1486756118</v>
      </c>
      <c r="EP14" s="17">
        <v>165.16432567620001</v>
      </c>
      <c r="EQ14" s="17">
        <v>167.17997574060001</v>
      </c>
      <c r="ER14" s="17">
        <v>169.19562580499999</v>
      </c>
      <c r="ES14" s="17">
        <v>177.16432567620001</v>
      </c>
      <c r="ET14" s="17">
        <v>179.17997574060001</v>
      </c>
      <c r="EU14" s="17">
        <v>181.19562580499999</v>
      </c>
      <c r="EV14" s="17">
        <v>183.2112758694</v>
      </c>
      <c r="EW14" s="17">
        <v>191.17997574060001</v>
      </c>
      <c r="EX14" s="17">
        <v>193.19562580499999</v>
      </c>
      <c r="EY14" s="17">
        <v>195.2112758694</v>
      </c>
      <c r="EZ14" s="17">
        <v>197.2269259338</v>
      </c>
      <c r="FA14" s="17">
        <v>205.19562580499999</v>
      </c>
      <c r="FB14" s="17">
        <v>207.2112758694</v>
      </c>
      <c r="FC14" s="17">
        <v>209.2269259338</v>
      </c>
      <c r="FD14" s="17">
        <v>211.24257599820001</v>
      </c>
      <c r="FE14" s="17">
        <v>217.19562580499999</v>
      </c>
      <c r="FF14" s="17">
        <v>219.2112758694</v>
      </c>
      <c r="FG14" s="17">
        <v>221.2269259338</v>
      </c>
      <c r="FH14" s="17">
        <v>223.24257599820001</v>
      </c>
      <c r="FI14" s="17">
        <v>225.25822606260002</v>
      </c>
      <c r="FJ14" s="17">
        <v>231.2112758694</v>
      </c>
      <c r="FK14" s="17">
        <v>233.2269259338</v>
      </c>
      <c r="FL14" s="17">
        <v>235.24257599820001</v>
      </c>
      <c r="FM14" s="17">
        <v>237.25822606260002</v>
      </c>
      <c r="FN14" s="17">
        <v>239.27387612699999</v>
      </c>
      <c r="FO14" s="17">
        <v>245.2269259338</v>
      </c>
      <c r="FP14" s="17">
        <v>247.24257599820001</v>
      </c>
      <c r="FQ14" s="17">
        <v>249.25822606260002</v>
      </c>
      <c r="FR14" s="17">
        <v>251.27387612699999</v>
      </c>
      <c r="FS14" s="17">
        <v>253.2895261914</v>
      </c>
      <c r="FT14" s="17">
        <v>259.24257599819998</v>
      </c>
      <c r="FU14" s="17">
        <v>261.25822606259999</v>
      </c>
      <c r="FV14" s="17">
        <v>263.27387612699999</v>
      </c>
      <c r="FW14" s="17">
        <v>265.2895261914</v>
      </c>
      <c r="FX14" s="17">
        <v>267.30517625580001</v>
      </c>
      <c r="FY14" s="17">
        <v>273.25822606259999</v>
      </c>
      <c r="FZ14" s="17">
        <v>130.321</v>
      </c>
      <c r="GA14" s="17">
        <v>16.290125</v>
      </c>
      <c r="GB14" s="17">
        <v>2.036265625</v>
      </c>
      <c r="GC14" s="17">
        <v>1.0181328125</v>
      </c>
      <c r="GD14" s="17">
        <v>4.9152000000000022</v>
      </c>
      <c r="GE14" s="17">
        <v>2</v>
      </c>
      <c r="GF14" s="17">
        <v>0</v>
      </c>
      <c r="GG14" s="17">
        <v>20.480000000000004</v>
      </c>
      <c r="GH14" s="17">
        <v>11.37777777777778</v>
      </c>
      <c r="GI14" s="17">
        <v>7.9644444444444451</v>
      </c>
      <c r="GJ14" s="17">
        <v>2.6548148148148152</v>
      </c>
      <c r="GK14" s="17">
        <v>29.160000000000004</v>
      </c>
      <c r="GL14" s="17">
        <v>29.160000000000004</v>
      </c>
      <c r="GM14" s="17">
        <v>14.580000000000002</v>
      </c>
      <c r="GN14" s="17">
        <v>29.160000000000004</v>
      </c>
      <c r="GO14" s="17">
        <v>5.8320000000000007</v>
      </c>
      <c r="GP14" s="17">
        <v>15</v>
      </c>
      <c r="GQ14" s="17">
        <v>3.75</v>
      </c>
      <c r="GR14" s="17">
        <v>21.599999999999998</v>
      </c>
      <c r="GS14" s="17">
        <v>10.799999999999999</v>
      </c>
      <c r="GT14" s="17">
        <v>64</v>
      </c>
      <c r="GU14" s="17">
        <v>35.555555555555557</v>
      </c>
      <c r="GV14" s="17">
        <v>24.888888888888889</v>
      </c>
      <c r="GW14" s="17">
        <v>8.2962962962962958</v>
      </c>
      <c r="GX14" s="17">
        <v>36</v>
      </c>
      <c r="GY14" s="17">
        <v>36</v>
      </c>
      <c r="GZ14" s="17">
        <v>18</v>
      </c>
      <c r="HA14" s="17">
        <v>36</v>
      </c>
      <c r="HB14" s="17">
        <v>7.2</v>
      </c>
      <c r="HC14" s="17">
        <v>15</v>
      </c>
      <c r="HD14" s="17">
        <v>3.75</v>
      </c>
      <c r="HE14" s="17">
        <v>15.552</v>
      </c>
      <c r="HF14" s="17">
        <v>7.7759999999999998</v>
      </c>
      <c r="HG14" s="17">
        <v>1.831817626953125</v>
      </c>
      <c r="HH14" s="17">
        <v>3.9085542785616756</v>
      </c>
      <c r="HI14" s="17">
        <v>5.5902637541294098</v>
      </c>
      <c r="HJ14" s="17">
        <v>6.6844560764679102</v>
      </c>
      <c r="HK14" s="17">
        <v>4.1731095314025879</v>
      </c>
      <c r="HL14" s="17">
        <v>13.910365104675293</v>
      </c>
      <c r="HM14" s="17">
        <v>8.2393747155211656</v>
      </c>
      <c r="HN14" s="17">
        <v>10.523023046553135</v>
      </c>
      <c r="HO14" s="17">
        <v>47.488933104557965</v>
      </c>
      <c r="HP14" s="17">
        <v>3.5747610377787895</v>
      </c>
      <c r="HQ14" s="17">
        <v>23.447265625</v>
      </c>
      <c r="HR14" s="17">
        <v>58.6181640625</v>
      </c>
      <c r="HS14" s="17">
        <v>2.9420658852981334</v>
      </c>
      <c r="HT14" s="17">
        <v>18.340553474863764</v>
      </c>
      <c r="HU14" s="17">
        <v>47.488933104557965</v>
      </c>
      <c r="HV14" s="17">
        <v>3.3427401001365502</v>
      </c>
      <c r="HW14" s="17">
        <v>14.218460218992666</v>
      </c>
      <c r="HX14" s="17">
        <v>38.179198736184006</v>
      </c>
      <c r="HY14" s="17">
        <v>3.7782345243513888</v>
      </c>
      <c r="HZ14" s="17">
        <v>10.917410842418233</v>
      </c>
      <c r="IA14" s="17">
        <v>30.44278023366623</v>
      </c>
      <c r="IB14" s="17">
        <v>4.25</v>
      </c>
      <c r="IC14" s="17">
        <v>8.296334973198956</v>
      </c>
      <c r="ID14" s="17">
        <v>24.059371422276975</v>
      </c>
      <c r="IE14" s="17">
        <v>3.7782345243513888</v>
      </c>
      <c r="IF14" s="17">
        <v>6.2342599931508875</v>
      </c>
      <c r="IG14" s="17">
        <v>18.832660395976639</v>
      </c>
      <c r="IH14" s="17">
        <v>3.3427401001365502</v>
      </c>
      <c r="II14" s="17">
        <v>4.6280822675183844</v>
      </c>
      <c r="IJ14" s="17">
        <v>14.588520191090559</v>
      </c>
      <c r="IK14" s="17">
        <v>2.9420658852981334</v>
      </c>
      <c r="IL14" s="17">
        <v>3.3905096428567076</v>
      </c>
      <c r="IM14" s="17">
        <v>11.173270413959607</v>
      </c>
      <c r="IN14" s="17">
        <v>2.5747610377787895</v>
      </c>
      <c r="IO14" s="17">
        <v>2.4481683623978912</v>
      </c>
      <c r="IP14" s="17">
        <v>8.4520098225641469</v>
      </c>
      <c r="IQ14" s="17">
        <v>2.2393747155211652</v>
      </c>
      <c r="IR14" s="17">
        <v>1.7398675481714156</v>
      </c>
      <c r="IS14" s="17">
        <v>6.30701986212138</v>
      </c>
      <c r="IT14" s="17">
        <v>1.9344560764679104</v>
      </c>
      <c r="IU14" s="17">
        <v>1.2150143991512878</v>
      </c>
      <c r="IV14" s="17">
        <v>4.6362391546562289</v>
      </c>
      <c r="IW14" s="17">
        <v>1.6585542785616756</v>
      </c>
      <c r="IX14" s="17">
        <v>0.83217325470098846</v>
      </c>
      <c r="IY14" s="17">
        <v>3.3518089425456479</v>
      </c>
      <c r="IZ14" s="17">
        <v>1.4102184797451067</v>
      </c>
      <c r="JA14" s="17">
        <v>0.55776167258782994</v>
      </c>
      <c r="JB14" s="17">
        <v>2.3786894860363308</v>
      </c>
      <c r="JC14" s="17">
        <v>1.1879978379608558</v>
      </c>
      <c r="JD14" s="17">
        <v>0.36487667083827779</v>
      </c>
      <c r="JE14" s="17">
        <v>1.6533474147359464</v>
      </c>
      <c r="JF14" s="17">
        <v>0.99044151115157042</v>
      </c>
      <c r="JG14" s="17">
        <v>0.23224428270574216</v>
      </c>
      <c r="JH14" s="17">
        <v>1.1225140330777554</v>
      </c>
      <c r="JI14" s="17">
        <v>0.81609865725989961</v>
      </c>
      <c r="JJ14" s="17">
        <v>0.14328557402237305</v>
      </c>
      <c r="JK14" s="17">
        <v>0.74201457975871821</v>
      </c>
      <c r="JL14" s="17">
        <v>0.66351843422849333</v>
      </c>
      <c r="JM14" s="17">
        <v>8.5292272206392447E-2</v>
      </c>
      <c r="JN14" s="17">
        <v>0.47566844115103485</v>
      </c>
      <c r="JO14" s="17">
        <v>0.476837158203125</v>
      </c>
      <c r="JP14" s="17">
        <v>1.5708885696404189</v>
      </c>
      <c r="JQ14" s="17">
        <v>1.4551915228366852</v>
      </c>
      <c r="JR14" s="17">
        <v>1.9523640191169775</v>
      </c>
      <c r="JS14" s="17">
        <v>1.0862946510314941</v>
      </c>
      <c r="JT14" s="17">
        <v>3.6209821701049805</v>
      </c>
      <c r="JU14" s="17">
        <v>2.1848436788802914</v>
      </c>
      <c r="JV14" s="17">
        <v>2.7392292395234108</v>
      </c>
      <c r="JW14" s="17">
        <v>12.361758929757904</v>
      </c>
      <c r="JX14" s="17">
        <v>1.6436902594446974</v>
      </c>
      <c r="JY14" s="17">
        <v>6.103515625</v>
      </c>
      <c r="JZ14" s="17">
        <v>15.2587890625</v>
      </c>
      <c r="KA14" s="17">
        <v>0.73551647132453335</v>
      </c>
      <c r="KB14" s="17">
        <v>4.7741965521823628</v>
      </c>
      <c r="KC14" s="17">
        <v>12.361758929757904</v>
      </c>
      <c r="KD14" s="17">
        <v>0.83568502503413755</v>
      </c>
      <c r="KE14" s="17">
        <v>3.7011818562559</v>
      </c>
      <c r="KF14" s="17">
        <v>9.938358688094544</v>
      </c>
      <c r="KG14" s="17">
        <v>0.94455863108784721</v>
      </c>
      <c r="KH14" s="17">
        <v>2.6171307889631601</v>
      </c>
      <c r="KI14" s="17">
        <v>2.8418916187052878</v>
      </c>
      <c r="KJ14" s="17">
        <v>7.9245054752358994</v>
      </c>
      <c r="KK14" s="17">
        <v>1.0625</v>
      </c>
      <c r="KL14" s="17">
        <v>2.0095208349837232</v>
      </c>
      <c r="KM14" s="17">
        <v>2.1596040642437933</v>
      </c>
      <c r="KN14" s="17">
        <v>6.2628517863070012</v>
      </c>
      <c r="KO14" s="17">
        <v>0.94455863108784721</v>
      </c>
      <c r="KP14" s="17">
        <v>1.5270706785048145</v>
      </c>
      <c r="KQ14" s="17">
        <v>1.6228290277881319</v>
      </c>
      <c r="KR14" s="17">
        <v>4.9022960214433144</v>
      </c>
      <c r="KS14" s="17">
        <v>0.83568502503413755</v>
      </c>
      <c r="KT14" s="17">
        <v>1.1475134102553601</v>
      </c>
      <c r="KU14" s="17">
        <v>1.2047277872548898</v>
      </c>
      <c r="KV14" s="17">
        <v>3.7975115033034568</v>
      </c>
      <c r="KW14" s="17">
        <v>0.73551647132453335</v>
      </c>
      <c r="KX14" s="17">
        <v>0.85187118785179694</v>
      </c>
      <c r="KY14" s="17">
        <v>0.8825774788777353</v>
      </c>
      <c r="KZ14" s="17">
        <v>2.908493964483446</v>
      </c>
      <c r="LA14" s="17">
        <v>0.64369025944469738</v>
      </c>
      <c r="LB14" s="17">
        <v>0.62407652023697346</v>
      </c>
      <c r="LC14" s="17">
        <v>2.0566158053263899</v>
      </c>
      <c r="LD14" s="17">
        <v>0.63727831174455729</v>
      </c>
      <c r="LE14" s="17">
        <v>2.2001275048323996</v>
      </c>
      <c r="LF14" s="17">
        <v>0.5598436788802913</v>
      </c>
      <c r="LG14" s="17">
        <v>0.45062381573769106</v>
      </c>
      <c r="LH14" s="17">
        <v>1.5557250781420282</v>
      </c>
      <c r="LI14" s="17">
        <v>0.45290179825370042</v>
      </c>
      <c r="LJ14" s="17">
        <v>1.6417690186696638</v>
      </c>
      <c r="LK14" s="17">
        <v>0.4836140191169776</v>
      </c>
      <c r="LL14" s="17">
        <v>0.32024993275677321</v>
      </c>
      <c r="LM14" s="17">
        <v>1.1609060062433028</v>
      </c>
      <c r="LN14" s="17">
        <v>0.31627821718848598</v>
      </c>
      <c r="LO14" s="17">
        <v>1.2068510919034332</v>
      </c>
      <c r="LP14" s="17">
        <v>0.4146385696404189</v>
      </c>
      <c r="LQ14" s="17">
        <v>0.22364247211557009</v>
      </c>
      <c r="LR14" s="17">
        <v>0.85337259096730689</v>
      </c>
      <c r="LS14" s="17">
        <v>0.21662152610917026</v>
      </c>
      <c r="LT14" s="17">
        <v>0.8725033690508246</v>
      </c>
      <c r="LU14" s="17">
        <v>0.35255461993627668</v>
      </c>
      <c r="LV14" s="17">
        <v>0.15317455006277303</v>
      </c>
    </row>
    <row r="15" spans="1:334" s="4" customFormat="1" ht="14.25" x14ac:dyDescent="0.2">
      <c r="A15" s="16">
        <v>9</v>
      </c>
      <c r="B15" s="17" t="s">
        <v>683</v>
      </c>
      <c r="C15" s="18" t="s">
        <v>419</v>
      </c>
      <c r="D15" s="18" t="s">
        <v>91</v>
      </c>
      <c r="E15" s="18" t="s">
        <v>419</v>
      </c>
      <c r="F15" s="19" t="s">
        <v>96</v>
      </c>
      <c r="G15" s="19" t="s">
        <v>420</v>
      </c>
      <c r="H15" s="20">
        <v>-1</v>
      </c>
      <c r="I15" s="21">
        <v>32.229999999999997</v>
      </c>
      <c r="J15" s="22">
        <v>24.569800000000001</v>
      </c>
      <c r="K15" s="20" t="s">
        <v>97</v>
      </c>
      <c r="L15" s="18">
        <v>0</v>
      </c>
      <c r="M15" s="18">
        <v>2</v>
      </c>
      <c r="N15" s="18" t="s">
        <v>419</v>
      </c>
      <c r="O15" s="23">
        <v>0</v>
      </c>
      <c r="P15" s="23">
        <v>0</v>
      </c>
      <c r="Q15" s="23">
        <v>0</v>
      </c>
      <c r="R15" s="23">
        <v>4</v>
      </c>
      <c r="S15" s="23">
        <v>0</v>
      </c>
      <c r="T15" s="23">
        <v>40</v>
      </c>
      <c r="U15" s="23">
        <v>0</v>
      </c>
      <c r="V15" s="23">
        <v>40</v>
      </c>
      <c r="W15" s="23">
        <v>0</v>
      </c>
      <c r="X15" s="18" t="s">
        <v>419</v>
      </c>
      <c r="Y15" s="17">
        <v>732.62719299840012</v>
      </c>
      <c r="Z15" s="17">
        <v>714.61663299840006</v>
      </c>
      <c r="AA15" s="17">
        <v>732.62719299840012</v>
      </c>
      <c r="AB15" s="17">
        <v>714.61663299840006</v>
      </c>
      <c r="AC15" s="17">
        <v>1294.2606129984001</v>
      </c>
      <c r="AD15" s="17">
        <v>1276.2500483144001</v>
      </c>
      <c r="AE15" s="17">
        <v>1258.2394836304002</v>
      </c>
      <c r="AF15" s="17">
        <v>1240.2289189464002</v>
      </c>
      <c r="AG15" s="17">
        <v>1220.2238335660002</v>
      </c>
      <c r="AH15" s="17">
        <v>1202.2132688820002</v>
      </c>
      <c r="AI15" s="17">
        <v>1110.1659247656003</v>
      </c>
      <c r="AJ15" s="17">
        <v>735.65026042240015</v>
      </c>
      <c r="AK15" s="17">
        <v>717.63969573840018</v>
      </c>
      <c r="AL15" s="17">
        <v>699.6291310544002</v>
      </c>
      <c r="AM15" s="17">
        <v>681.61856637040023</v>
      </c>
      <c r="AN15" s="17">
        <v>661.6134809900002</v>
      </c>
      <c r="AO15" s="17">
        <v>643.60291630600022</v>
      </c>
      <c r="AP15" s="17">
        <v>625.59235162200025</v>
      </c>
      <c r="AQ15" s="17">
        <v>607.58178693800028</v>
      </c>
      <c r="AR15" s="17">
        <v>589.5712222540003</v>
      </c>
      <c r="AS15" s="17">
        <v>605.58726624160022</v>
      </c>
      <c r="AT15" s="17">
        <v>587.57670155760024</v>
      </c>
      <c r="AU15" s="17">
        <v>557.60252757600006</v>
      </c>
      <c r="AV15" s="17">
        <v>575.61309226000003</v>
      </c>
      <c r="AW15" s="17">
        <v>743.71286068000018</v>
      </c>
      <c r="AX15" s="17">
        <v>725.7022959960002</v>
      </c>
      <c r="AY15" s="17">
        <v>707.69173131200023</v>
      </c>
      <c r="AZ15" s="17">
        <v>689.68116662800026</v>
      </c>
      <c r="BA15" s="17">
        <v>669.67608124760022</v>
      </c>
      <c r="BB15" s="17">
        <v>651.66551656360025</v>
      </c>
      <c r="BC15" s="17">
        <v>633.65495187960028</v>
      </c>
      <c r="BD15" s="17">
        <v>615.6443871956003</v>
      </c>
      <c r="BE15" s="17">
        <v>597.63382251160033</v>
      </c>
      <c r="BF15" s="17">
        <v>613.64986649920024</v>
      </c>
      <c r="BG15" s="17">
        <v>595.63930181520027</v>
      </c>
      <c r="BH15" s="17">
        <v>549.53992731840003</v>
      </c>
      <c r="BI15" s="17">
        <v>567.55049200240001</v>
      </c>
      <c r="BJ15" s="17">
        <v>55.0547752254</v>
      </c>
      <c r="BK15" s="17">
        <v>57.070425289800006</v>
      </c>
      <c r="BL15" s="17">
        <v>69.070425289799999</v>
      </c>
      <c r="BM15" s="17">
        <v>71.086075354200005</v>
      </c>
      <c r="BN15" s="17">
        <v>83.086075354200005</v>
      </c>
      <c r="BO15" s="17">
        <v>85.101725418599997</v>
      </c>
      <c r="BP15" s="17">
        <v>97.101725418599997</v>
      </c>
      <c r="BQ15" s="17">
        <v>99.117375483000004</v>
      </c>
      <c r="BR15" s="17">
        <v>111.117375483</v>
      </c>
      <c r="BS15" s="17">
        <v>113.13302554740001</v>
      </c>
      <c r="BT15" s="17">
        <v>125.13302554740001</v>
      </c>
      <c r="BU15" s="17">
        <v>127.1486756118</v>
      </c>
      <c r="BV15" s="17">
        <v>139.1486756118</v>
      </c>
      <c r="BW15" s="17">
        <v>141.16432567620001</v>
      </c>
      <c r="BX15" s="17">
        <v>153.16432567620001</v>
      </c>
      <c r="BY15" s="17">
        <v>155.17997574060001</v>
      </c>
      <c r="BZ15" s="17">
        <v>167.17997574060001</v>
      </c>
      <c r="CA15" s="17">
        <v>169.19562580499999</v>
      </c>
      <c r="CB15" s="17">
        <v>181.19562580499999</v>
      </c>
      <c r="CC15" s="17">
        <v>183.2112758694</v>
      </c>
      <c r="CD15" s="17">
        <v>195.2112758694</v>
      </c>
      <c r="CE15" s="17">
        <v>197.2269259338</v>
      </c>
      <c r="CF15" s="17">
        <v>209.2269259338</v>
      </c>
      <c r="CG15" s="17">
        <v>211.24257599820001</v>
      </c>
      <c r="CH15" s="17">
        <v>223.24257599820001</v>
      </c>
      <c r="CI15" s="17">
        <v>225.25822606260002</v>
      </c>
      <c r="CJ15" s="17">
        <v>237.25822606260002</v>
      </c>
      <c r="CK15" s="17">
        <v>239.27387612699999</v>
      </c>
      <c r="CL15" s="17">
        <v>251.27387612699999</v>
      </c>
      <c r="CM15" s="17">
        <v>253.2895261914</v>
      </c>
      <c r="CN15" s="17">
        <v>265.2895261914</v>
      </c>
      <c r="CO15" s="17">
        <v>267.30517625580001</v>
      </c>
      <c r="CP15" s="17">
        <v>279.30517625580001</v>
      </c>
      <c r="CQ15" s="17">
        <v>281.32082632020001</v>
      </c>
      <c r="CR15" s="17">
        <v>293.32082632020001</v>
      </c>
      <c r="CS15" s="17">
        <v>295.33647638460002</v>
      </c>
      <c r="CT15" s="17">
        <v>307.33647638460002</v>
      </c>
      <c r="CU15" s="17">
        <v>309.35212644900002</v>
      </c>
      <c r="CV15" s="17">
        <v>321.35212644900002</v>
      </c>
      <c r="CW15" s="17">
        <v>323.36777651340003</v>
      </c>
      <c r="CX15" s="17">
        <v>335.36777651340003</v>
      </c>
      <c r="CY15" s="17">
        <v>337.38342657779998</v>
      </c>
      <c r="CZ15" s="17">
        <v>349.38342657779998</v>
      </c>
      <c r="DA15" s="17">
        <v>351.39907664219999</v>
      </c>
      <c r="DB15" s="17">
        <v>363.39907664219999</v>
      </c>
      <c r="DC15" s="17">
        <v>365.41472670659999</v>
      </c>
      <c r="DD15" s="17">
        <v>377.41472670659999</v>
      </c>
      <c r="DE15" s="17">
        <v>379.430376771</v>
      </c>
      <c r="DF15" s="17">
        <v>391.430376771</v>
      </c>
      <c r="DG15" s="17">
        <v>393.4460268354</v>
      </c>
      <c r="DH15" s="17">
        <v>405.4460268354</v>
      </c>
      <c r="DI15" s="17">
        <v>407.46167689980001</v>
      </c>
      <c r="DJ15" s="17">
        <v>419.46167689980001</v>
      </c>
      <c r="DK15" s="17">
        <v>421.47732696420002</v>
      </c>
      <c r="DL15" s="17">
        <v>433.47732696420002</v>
      </c>
      <c r="DM15" s="17">
        <v>435.49297702860002</v>
      </c>
      <c r="DN15" s="17">
        <v>447.49297702860002</v>
      </c>
      <c r="DO15" s="17">
        <v>449.50862709300003</v>
      </c>
      <c r="DP15" s="17">
        <v>461.50862709300003</v>
      </c>
      <c r="DQ15" s="17">
        <v>463.52427715739998</v>
      </c>
      <c r="DR15" s="17">
        <v>55.0547752254</v>
      </c>
      <c r="DS15" s="17">
        <v>57.070425289800006</v>
      </c>
      <c r="DT15" s="17">
        <v>69.070425289799999</v>
      </c>
      <c r="DU15" s="17">
        <v>71.086075354200005</v>
      </c>
      <c r="DV15" s="17">
        <v>81.070425289799999</v>
      </c>
      <c r="DW15" s="17">
        <v>83.086075354200005</v>
      </c>
      <c r="DX15" s="17">
        <v>85.101725418599997</v>
      </c>
      <c r="DY15" s="17">
        <v>95.086075354200005</v>
      </c>
      <c r="DZ15" s="17">
        <v>97.101725418599997</v>
      </c>
      <c r="EA15" s="17">
        <v>99.117375483000004</v>
      </c>
      <c r="EB15" s="17">
        <v>109.1017254186</v>
      </c>
      <c r="EC15" s="17">
        <v>111.117375483</v>
      </c>
      <c r="ED15" s="17">
        <v>113.13302554740001</v>
      </c>
      <c r="EE15" s="17">
        <v>123.117375483</v>
      </c>
      <c r="EF15" s="17">
        <v>125.13302554740001</v>
      </c>
      <c r="EG15" s="17">
        <v>127.1486756118</v>
      </c>
      <c r="EH15" s="17">
        <v>137.1330255474</v>
      </c>
      <c r="EI15" s="17">
        <v>139.1486756118</v>
      </c>
      <c r="EJ15" s="17">
        <v>141.16432567620001</v>
      </c>
      <c r="EK15" s="17">
        <v>149.1330255474</v>
      </c>
      <c r="EL15" s="17">
        <v>151.1486756118</v>
      </c>
      <c r="EM15" s="17">
        <v>153.16432567620001</v>
      </c>
      <c r="EN15" s="17">
        <v>155.17997574060001</v>
      </c>
      <c r="EO15" s="17">
        <v>163.1486756118</v>
      </c>
      <c r="EP15" s="17">
        <v>165.16432567620001</v>
      </c>
      <c r="EQ15" s="17">
        <v>167.17997574060001</v>
      </c>
      <c r="ER15" s="17">
        <v>169.19562580499999</v>
      </c>
      <c r="ES15" s="17">
        <v>177.16432567620001</v>
      </c>
      <c r="ET15" s="17">
        <v>179.17997574060001</v>
      </c>
      <c r="EU15" s="17">
        <v>181.19562580499999</v>
      </c>
      <c r="EV15" s="17">
        <v>183.2112758694</v>
      </c>
      <c r="EW15" s="17">
        <v>191.17997574060001</v>
      </c>
      <c r="EX15" s="17">
        <v>193.19562580499999</v>
      </c>
      <c r="EY15" s="17">
        <v>195.2112758694</v>
      </c>
      <c r="EZ15" s="17">
        <v>197.2269259338</v>
      </c>
      <c r="FA15" s="17">
        <v>205.19562580499999</v>
      </c>
      <c r="FB15" s="17">
        <v>207.2112758694</v>
      </c>
      <c r="FC15" s="17">
        <v>209.2269259338</v>
      </c>
      <c r="FD15" s="17">
        <v>211.24257599820001</v>
      </c>
      <c r="FE15" s="17">
        <v>217.19562580499999</v>
      </c>
      <c r="FF15" s="17">
        <v>219.2112758694</v>
      </c>
      <c r="FG15" s="17">
        <v>221.2269259338</v>
      </c>
      <c r="FH15" s="17">
        <v>223.24257599820001</v>
      </c>
      <c r="FI15" s="17">
        <v>225.25822606260002</v>
      </c>
      <c r="FJ15" s="17">
        <v>231.2112758694</v>
      </c>
      <c r="FK15" s="17">
        <v>233.2269259338</v>
      </c>
      <c r="FL15" s="17">
        <v>235.24257599820001</v>
      </c>
      <c r="FM15" s="17">
        <v>237.25822606260002</v>
      </c>
      <c r="FN15" s="17">
        <v>239.27387612699999</v>
      </c>
      <c r="FO15" s="17">
        <v>245.2269259338</v>
      </c>
      <c r="FP15" s="17">
        <v>247.24257599820001</v>
      </c>
      <c r="FQ15" s="17">
        <v>249.25822606260002</v>
      </c>
      <c r="FR15" s="17">
        <v>251.27387612699999</v>
      </c>
      <c r="FS15" s="17">
        <v>253.2895261914</v>
      </c>
      <c r="FT15" s="17">
        <v>259.24257599819998</v>
      </c>
      <c r="FU15" s="17">
        <v>261.25822606259999</v>
      </c>
      <c r="FV15" s="17">
        <v>263.27387612699999</v>
      </c>
      <c r="FW15" s="17">
        <v>265.2895261914</v>
      </c>
      <c r="FX15" s="17">
        <v>267.30517625580001</v>
      </c>
      <c r="FY15" s="17">
        <v>273.25822606259999</v>
      </c>
      <c r="FZ15" s="17">
        <v>130.321</v>
      </c>
      <c r="GA15" s="17">
        <v>16.290125</v>
      </c>
      <c r="GB15" s="17">
        <v>2.036265625</v>
      </c>
      <c r="GC15" s="17">
        <v>1.0181328125</v>
      </c>
      <c r="GD15" s="17">
        <v>4.9152000000000022</v>
      </c>
      <c r="GE15" s="17">
        <v>2</v>
      </c>
      <c r="GF15" s="17">
        <v>0</v>
      </c>
      <c r="GG15" s="17">
        <v>16.384000000000007</v>
      </c>
      <c r="GH15" s="17">
        <v>9.1022222222222258</v>
      </c>
      <c r="GI15" s="17">
        <v>6.3715555555555579</v>
      </c>
      <c r="GJ15" s="17">
        <v>2.1238518518518528</v>
      </c>
      <c r="GK15" s="17">
        <v>26.244000000000007</v>
      </c>
      <c r="GL15" s="17">
        <v>26.244000000000007</v>
      </c>
      <c r="GM15" s="17">
        <v>13.122000000000003</v>
      </c>
      <c r="GN15" s="17">
        <v>26.244000000000007</v>
      </c>
      <c r="GO15" s="17">
        <v>5.248800000000001</v>
      </c>
      <c r="GP15" s="17">
        <v>15</v>
      </c>
      <c r="GQ15" s="17">
        <v>3.75</v>
      </c>
      <c r="GR15" s="17">
        <v>18</v>
      </c>
      <c r="GS15" s="17">
        <v>9</v>
      </c>
      <c r="GT15" s="17">
        <v>80</v>
      </c>
      <c r="GU15" s="17">
        <v>44.444444444444443</v>
      </c>
      <c r="GV15" s="17">
        <v>31.111111111111107</v>
      </c>
      <c r="GW15" s="17">
        <v>10.370370370370368</v>
      </c>
      <c r="GX15" s="17">
        <v>40</v>
      </c>
      <c r="GY15" s="17">
        <v>40</v>
      </c>
      <c r="GZ15" s="17">
        <v>20</v>
      </c>
      <c r="HA15" s="17">
        <v>40</v>
      </c>
      <c r="HB15" s="17">
        <v>8</v>
      </c>
      <c r="HC15" s="17">
        <v>15</v>
      </c>
      <c r="HD15" s="17">
        <v>3.75</v>
      </c>
      <c r="HE15" s="17">
        <v>7.4649599999999978</v>
      </c>
      <c r="HF15" s="17">
        <v>3.7324799999999989</v>
      </c>
      <c r="HG15" s="17">
        <v>3.125</v>
      </c>
      <c r="HH15" s="17">
        <v>17.634217114246702</v>
      </c>
      <c r="HI15" s="17">
        <v>9.5367431640625</v>
      </c>
      <c r="HJ15" s="17">
        <v>38.737824305871641</v>
      </c>
      <c r="HK15" s="17">
        <v>23.73046875</v>
      </c>
      <c r="HL15" s="17">
        <v>49.957498862084663</v>
      </c>
      <c r="HM15" s="17">
        <v>51.2908935546875</v>
      </c>
      <c r="HN15" s="17">
        <v>11.299044151115158</v>
      </c>
      <c r="HO15" s="17">
        <v>100</v>
      </c>
      <c r="HP15" s="17">
        <v>12.768263541192534</v>
      </c>
      <c r="HQ15" s="17">
        <v>81.014023322061405</v>
      </c>
      <c r="HR15" s="17">
        <v>13.370960400546201</v>
      </c>
      <c r="HS15" s="17">
        <v>65.132027498296409</v>
      </c>
      <c r="HT15" s="17">
        <v>15.112938097405555</v>
      </c>
      <c r="HU15" s="17">
        <v>51.93403908250599</v>
      </c>
      <c r="HV15" s="17">
        <v>17</v>
      </c>
      <c r="HW15" s="17">
        <v>41.044225466741565</v>
      </c>
      <c r="HX15" s="17">
        <v>15.112938097405555</v>
      </c>
      <c r="HY15" s="17">
        <v>32.127687206130908</v>
      </c>
      <c r="HZ15" s="17">
        <v>13.370960400546201</v>
      </c>
      <c r="IA15" s="17">
        <v>24.887371388049534</v>
      </c>
      <c r="IB15" s="17">
        <v>11.768263541192534</v>
      </c>
      <c r="IC15" s="17">
        <v>19.061106045638713</v>
      </c>
      <c r="ID15" s="17">
        <v>10.299044151115158</v>
      </c>
      <c r="IE15" s="17">
        <v>14.418755615669616</v>
      </c>
      <c r="IF15" s="17">
        <v>8.9574988620846607</v>
      </c>
      <c r="IG15" s="17">
        <v>10.759497440753508</v>
      </c>
      <c r="IH15" s="17">
        <v>7.7378243058716416</v>
      </c>
      <c r="II15" s="17">
        <v>7.9092193158983397</v>
      </c>
      <c r="IJ15" s="17">
        <v>6.6342171142467024</v>
      </c>
      <c r="IK15" s="17">
        <v>5.7180380794114836</v>
      </c>
      <c r="IL15" s="17">
        <v>5.6408739189804269</v>
      </c>
      <c r="IM15" s="17">
        <v>4.0579392481486094</v>
      </c>
      <c r="IN15" s="17">
        <v>4.7519913518434231</v>
      </c>
      <c r="IO15" s="17">
        <v>2.8205376971088865</v>
      </c>
      <c r="IP15" s="17">
        <v>3.9617660446062817</v>
      </c>
      <c r="IQ15" s="17">
        <v>1.9149593833762957</v>
      </c>
      <c r="IR15" s="17">
        <v>3.2643946290395984</v>
      </c>
      <c r="IS15" s="17">
        <v>1.2658441144072095</v>
      </c>
      <c r="IT15" s="17">
        <v>2.6540737369139733</v>
      </c>
      <c r="IU15" s="17">
        <v>0.81146936066415609</v>
      </c>
      <c r="IV15" s="17">
        <v>2.125</v>
      </c>
      <c r="IW15" s="17">
        <v>0.50199511259579543</v>
      </c>
      <c r="IX15" s="17">
        <v>1.6713700500682751</v>
      </c>
      <c r="IY15" s="17">
        <v>0.29782978196310489</v>
      </c>
      <c r="IZ15" s="17">
        <v>1.2873805188893952</v>
      </c>
      <c r="JA15" s="17">
        <v>0.16811714751177356</v>
      </c>
      <c r="JB15" s="17">
        <v>0.9672280382339552</v>
      </c>
      <c r="JC15" s="17">
        <v>8.9344344990804431E-2</v>
      </c>
      <c r="JD15" s="17">
        <v>0.70510923987255336</v>
      </c>
      <c r="JE15" s="17">
        <v>4.4070901517326351E-2</v>
      </c>
      <c r="JF15" s="17">
        <v>0.49522075557578521</v>
      </c>
      <c r="JG15" s="17">
        <v>1.9778814287612648E-2</v>
      </c>
      <c r="JH15" s="17">
        <v>0.33175921711424688</v>
      </c>
      <c r="JI15" s="17">
        <v>7.8436736343093037E-3</v>
      </c>
      <c r="JJ15" s="17">
        <v>0.20892125625853425</v>
      </c>
      <c r="JK15" s="17">
        <v>2.6268304298714619E-3</v>
      </c>
      <c r="JL15" s="17">
        <v>0.1209035047792444</v>
      </c>
      <c r="JM15" s="17">
        <v>6.8860783620822423E-4</v>
      </c>
      <c r="JN15" s="17">
        <v>6.1902594446973151E-2</v>
      </c>
      <c r="JO15" s="17">
        <v>0.1953125</v>
      </c>
      <c r="JP15" s="17">
        <v>1.3453686845698682</v>
      </c>
      <c r="JQ15" s="17">
        <v>0.59604644775390625</v>
      </c>
      <c r="JR15" s="17">
        <v>1.5495129722348657</v>
      </c>
      <c r="JS15" s="17">
        <v>0.4449462890625</v>
      </c>
      <c r="JT15" s="17">
        <v>1.483154296875</v>
      </c>
      <c r="JU15" s="17">
        <v>1.6782999544833865</v>
      </c>
      <c r="JV15" s="17">
        <v>1.1219882965087891</v>
      </c>
      <c r="JW15" s="17">
        <v>5.0633764576288378</v>
      </c>
      <c r="JX15" s="17">
        <v>1.4119617660446062</v>
      </c>
      <c r="JY15" s="17">
        <v>2.5</v>
      </c>
      <c r="JZ15" s="17">
        <v>6.25</v>
      </c>
      <c r="KA15" s="17">
        <v>0.47073054164770134</v>
      </c>
      <c r="KB15" s="17">
        <v>1.9555109077738959</v>
      </c>
      <c r="KC15" s="17">
        <v>5.0633764576288378</v>
      </c>
      <c r="KD15" s="17">
        <v>0.53483841602184801</v>
      </c>
      <c r="KE15" s="17">
        <v>1.5160040883224166</v>
      </c>
      <c r="KF15" s="17">
        <v>4.0707517186435256</v>
      </c>
      <c r="KG15" s="17">
        <v>0.60451752389622226</v>
      </c>
      <c r="KH15" s="17">
        <v>1.0719767711593104</v>
      </c>
      <c r="KI15" s="17">
        <v>1.1640388070216858</v>
      </c>
      <c r="KJ15" s="17">
        <v>3.2458774426566244</v>
      </c>
      <c r="KK15" s="17">
        <v>0.68</v>
      </c>
      <c r="KL15" s="17">
        <v>0.82309973400933301</v>
      </c>
      <c r="KM15" s="17">
        <v>0.88457382471425772</v>
      </c>
      <c r="KN15" s="17">
        <v>2.5652640916713478</v>
      </c>
      <c r="KO15" s="17">
        <v>0.60451752389622226</v>
      </c>
      <c r="KP15" s="17">
        <v>0.625488149915572</v>
      </c>
      <c r="KQ15" s="17">
        <v>0.66471076978201882</v>
      </c>
      <c r="KR15" s="17">
        <v>2.0079804503831817</v>
      </c>
      <c r="KS15" s="17">
        <v>0.53483841602184801</v>
      </c>
      <c r="KT15" s="17">
        <v>0.47002149284059552</v>
      </c>
      <c r="KU15" s="17">
        <v>0.49345650165960286</v>
      </c>
      <c r="KV15" s="17">
        <v>1.5554607117530959</v>
      </c>
      <c r="KW15" s="17">
        <v>0.47073054164770134</v>
      </c>
      <c r="KX15" s="17">
        <v>0.348926438544096</v>
      </c>
      <c r="KY15" s="17">
        <v>0.36150373534832037</v>
      </c>
      <c r="KZ15" s="17">
        <v>1.1913191278524196</v>
      </c>
      <c r="LA15" s="17">
        <v>0.41196176604460633</v>
      </c>
      <c r="LB15" s="17">
        <v>0.25562174268906435</v>
      </c>
      <c r="LC15" s="17">
        <v>0.84238983386168942</v>
      </c>
      <c r="LD15" s="17">
        <v>0.26102919649057066</v>
      </c>
      <c r="LE15" s="17">
        <v>0.90117222597935098</v>
      </c>
      <c r="LF15" s="17">
        <v>0.35829995448338642</v>
      </c>
      <c r="LG15" s="17">
        <v>0.18457551492615826</v>
      </c>
      <c r="LH15" s="17">
        <v>0.6372249920069748</v>
      </c>
      <c r="LI15" s="17">
        <v>0.1855085765647157</v>
      </c>
      <c r="LJ15" s="17">
        <v>0.67246859004709425</v>
      </c>
      <c r="LK15" s="17">
        <v>0.30951297223486568</v>
      </c>
      <c r="LL15" s="17">
        <v>0.13117437245717431</v>
      </c>
      <c r="LM15" s="17">
        <v>0.47550710015725678</v>
      </c>
      <c r="LN15" s="17">
        <v>0.12954755776040386</v>
      </c>
      <c r="LO15" s="17">
        <v>0.49432620724364623</v>
      </c>
      <c r="LP15" s="17">
        <v>0.26536868456986812</v>
      </c>
      <c r="LQ15" s="17">
        <v>9.160395657853751E-2</v>
      </c>
      <c r="LR15" s="17">
        <v>0.34954141326020888</v>
      </c>
      <c r="LS15" s="17">
        <v>8.8728177094316144E-2</v>
      </c>
      <c r="LT15" s="17">
        <v>0.35737737996321772</v>
      </c>
      <c r="LU15" s="17">
        <v>0.22563495675921708</v>
      </c>
      <c r="LV15" s="17">
        <v>6.2740295705711838E-2</v>
      </c>
    </row>
    <row r="16" spans="1:334" s="4" customFormat="1" ht="14.25" x14ac:dyDescent="0.2">
      <c r="A16" s="16">
        <v>10</v>
      </c>
      <c r="B16" s="17" t="s">
        <v>684</v>
      </c>
      <c r="C16" s="18" t="s">
        <v>421</v>
      </c>
      <c r="D16" s="18" t="s">
        <v>98</v>
      </c>
      <c r="E16" s="18" t="s">
        <v>421</v>
      </c>
      <c r="F16" s="19" t="s">
        <v>99</v>
      </c>
      <c r="G16" s="19" t="s">
        <v>422</v>
      </c>
      <c r="H16" s="20">
        <v>-1</v>
      </c>
      <c r="I16" s="21">
        <v>33.15</v>
      </c>
      <c r="J16" s="22">
        <v>24.1797</v>
      </c>
      <c r="K16" s="20" t="s">
        <v>100</v>
      </c>
      <c r="L16" s="18">
        <v>0</v>
      </c>
      <c r="M16" s="18">
        <v>1</v>
      </c>
      <c r="N16" s="18" t="s">
        <v>421</v>
      </c>
      <c r="O16" s="23">
        <v>0</v>
      </c>
      <c r="P16" s="23">
        <v>0</v>
      </c>
      <c r="Q16" s="23">
        <v>3</v>
      </c>
      <c r="R16" s="23">
        <v>2</v>
      </c>
      <c r="S16" s="23">
        <v>0</v>
      </c>
      <c r="T16" s="23">
        <v>40</v>
      </c>
      <c r="U16" s="23">
        <v>0</v>
      </c>
      <c r="V16" s="23">
        <v>40</v>
      </c>
      <c r="W16" s="23">
        <v>0</v>
      </c>
      <c r="X16" s="18" t="s">
        <v>421</v>
      </c>
      <c r="Y16" s="17">
        <v>730.61154293400011</v>
      </c>
      <c r="Z16" s="17">
        <v>712.60098293400006</v>
      </c>
      <c r="AA16" s="17">
        <v>730.61154293400011</v>
      </c>
      <c r="AB16" s="17">
        <v>712.60098293400006</v>
      </c>
      <c r="AC16" s="17">
        <v>1292.2449629340001</v>
      </c>
      <c r="AD16" s="17">
        <v>1274.2343982500001</v>
      </c>
      <c r="AE16" s="17">
        <v>1256.2238335660002</v>
      </c>
      <c r="AF16" s="17">
        <v>1238.2132688820002</v>
      </c>
      <c r="AG16" s="17">
        <v>1218.2081835016002</v>
      </c>
      <c r="AH16" s="17">
        <v>1200.1976188176002</v>
      </c>
      <c r="AI16" s="17">
        <v>1108.1502747012003</v>
      </c>
      <c r="AJ16" s="17">
        <v>739.68156055120016</v>
      </c>
      <c r="AK16" s="17">
        <v>721.67099586720019</v>
      </c>
      <c r="AL16" s="17">
        <v>703.66043118320022</v>
      </c>
      <c r="AM16" s="17">
        <v>685.64986649920024</v>
      </c>
      <c r="AN16" s="17">
        <v>665.64478111880021</v>
      </c>
      <c r="AO16" s="17">
        <v>647.63421643480024</v>
      </c>
      <c r="AP16" s="17">
        <v>629.62365175080026</v>
      </c>
      <c r="AQ16" s="17">
        <v>611.61308706680029</v>
      </c>
      <c r="AR16" s="17">
        <v>593.60252238280032</v>
      </c>
      <c r="AS16" s="17">
        <v>609.61856637040023</v>
      </c>
      <c r="AT16" s="17">
        <v>591.60800168640026</v>
      </c>
      <c r="AU16" s="17">
        <v>551.55557738280004</v>
      </c>
      <c r="AV16" s="17">
        <v>569.56614206680001</v>
      </c>
      <c r="AW16" s="17">
        <v>737.66591048680016</v>
      </c>
      <c r="AX16" s="17">
        <v>719.65534580280018</v>
      </c>
      <c r="AY16" s="17">
        <v>701.64478111880021</v>
      </c>
      <c r="AZ16" s="17">
        <v>683.63421643480024</v>
      </c>
      <c r="BA16" s="17">
        <v>663.6291310544002</v>
      </c>
      <c r="BB16" s="17">
        <v>645.61856637040023</v>
      </c>
      <c r="BC16" s="17">
        <v>627.60800168640026</v>
      </c>
      <c r="BD16" s="17">
        <v>609.59743700240028</v>
      </c>
      <c r="BE16" s="17">
        <v>591.58687231840031</v>
      </c>
      <c r="BF16" s="17">
        <v>607.60291630600022</v>
      </c>
      <c r="BG16" s="17">
        <v>589.59235162200025</v>
      </c>
      <c r="BH16" s="17">
        <v>553.57122744720004</v>
      </c>
      <c r="BI16" s="17">
        <v>571.58179213120002</v>
      </c>
      <c r="BJ16" s="17">
        <v>55.0547752254</v>
      </c>
      <c r="BK16" s="17">
        <v>57.070425289800006</v>
      </c>
      <c r="BL16" s="17">
        <v>69.070425289799999</v>
      </c>
      <c r="BM16" s="17">
        <v>71.086075354200005</v>
      </c>
      <c r="BN16" s="17">
        <v>81.070425289799999</v>
      </c>
      <c r="BO16" s="17">
        <v>83.086075354200005</v>
      </c>
      <c r="BP16" s="17">
        <v>85.101725418599997</v>
      </c>
      <c r="BQ16" s="17">
        <v>95.086075354200005</v>
      </c>
      <c r="BR16" s="17">
        <v>97.101725418599997</v>
      </c>
      <c r="BS16" s="17">
        <v>99.117375483000004</v>
      </c>
      <c r="BT16" s="17">
        <v>109.1017254186</v>
      </c>
      <c r="BU16" s="17">
        <v>111.117375483</v>
      </c>
      <c r="BV16" s="17">
        <v>113.13302554740001</v>
      </c>
      <c r="BW16" s="17">
        <v>123.117375483</v>
      </c>
      <c r="BX16" s="17">
        <v>125.13302554740001</v>
      </c>
      <c r="BY16" s="17">
        <v>127.1486756118</v>
      </c>
      <c r="BZ16" s="17">
        <v>137.1330255474</v>
      </c>
      <c r="CA16" s="17">
        <v>139.1486756118</v>
      </c>
      <c r="CB16" s="17">
        <v>141.16432567620001</v>
      </c>
      <c r="CC16" s="17">
        <v>149.1330255474</v>
      </c>
      <c r="CD16" s="17">
        <v>151.1486756118</v>
      </c>
      <c r="CE16" s="17">
        <v>153.16432567620001</v>
      </c>
      <c r="CF16" s="17">
        <v>155.17997574060001</v>
      </c>
      <c r="CG16" s="17">
        <v>163.1486756118</v>
      </c>
      <c r="CH16" s="17">
        <v>165.16432567620001</v>
      </c>
      <c r="CI16" s="17">
        <v>167.17997574060001</v>
      </c>
      <c r="CJ16" s="17">
        <v>169.19562580499999</v>
      </c>
      <c r="CK16" s="17">
        <v>177.16432567620001</v>
      </c>
      <c r="CL16" s="17">
        <v>179.17997574060001</v>
      </c>
      <c r="CM16" s="17">
        <v>181.19562580499999</v>
      </c>
      <c r="CN16" s="17">
        <v>183.2112758694</v>
      </c>
      <c r="CO16" s="17">
        <v>191.17997574060001</v>
      </c>
      <c r="CP16" s="17">
        <v>193.19562580499999</v>
      </c>
      <c r="CQ16" s="17">
        <v>195.2112758694</v>
      </c>
      <c r="CR16" s="17">
        <v>197.2269259338</v>
      </c>
      <c r="CS16" s="17">
        <v>205.19562580499999</v>
      </c>
      <c r="CT16" s="17">
        <v>207.2112758694</v>
      </c>
      <c r="CU16" s="17">
        <v>209.2269259338</v>
      </c>
      <c r="CV16" s="17">
        <v>211.24257599820001</v>
      </c>
      <c r="CW16" s="17">
        <v>217.19562580499999</v>
      </c>
      <c r="CX16" s="17">
        <v>219.2112758694</v>
      </c>
      <c r="CY16" s="17">
        <v>221.2269259338</v>
      </c>
      <c r="CZ16" s="17">
        <v>223.24257599820001</v>
      </c>
      <c r="DA16" s="17">
        <v>225.25822606260002</v>
      </c>
      <c r="DB16" s="17">
        <v>231.2112758694</v>
      </c>
      <c r="DC16" s="17">
        <v>233.2269259338</v>
      </c>
      <c r="DD16" s="17">
        <v>235.24257599820001</v>
      </c>
      <c r="DE16" s="17">
        <v>237.25822606260002</v>
      </c>
      <c r="DF16" s="17">
        <v>239.27387612699999</v>
      </c>
      <c r="DG16" s="17">
        <v>245.2269259338</v>
      </c>
      <c r="DH16" s="17">
        <v>247.24257599820001</v>
      </c>
      <c r="DI16" s="17">
        <v>249.25822606260002</v>
      </c>
      <c r="DJ16" s="17">
        <v>251.27387612699999</v>
      </c>
      <c r="DK16" s="17">
        <v>253.2895261914</v>
      </c>
      <c r="DL16" s="17">
        <v>259.24257599819998</v>
      </c>
      <c r="DM16" s="17">
        <v>261.25822606259999</v>
      </c>
      <c r="DN16" s="17">
        <v>263.27387612699999</v>
      </c>
      <c r="DO16" s="17">
        <v>265.2895261914</v>
      </c>
      <c r="DP16" s="17">
        <v>267.30517625580001</v>
      </c>
      <c r="DQ16" s="17">
        <v>273.25822606259999</v>
      </c>
      <c r="DR16" s="17">
        <v>55.0547752254</v>
      </c>
      <c r="DS16" s="17">
        <v>57.070425289800006</v>
      </c>
      <c r="DT16" s="17">
        <v>69.070425289799999</v>
      </c>
      <c r="DU16" s="17">
        <v>71.086075354200005</v>
      </c>
      <c r="DV16" s="17">
        <v>81.070425289799999</v>
      </c>
      <c r="DW16" s="17">
        <v>83.086075354200005</v>
      </c>
      <c r="DX16" s="17">
        <v>85.101725418599997</v>
      </c>
      <c r="DY16" s="17">
        <v>95.086075354200005</v>
      </c>
      <c r="DZ16" s="17">
        <v>97.101725418599997</v>
      </c>
      <c r="EA16" s="17">
        <v>99.117375483000004</v>
      </c>
      <c r="EB16" s="17">
        <v>109.1017254186</v>
      </c>
      <c r="EC16" s="17">
        <v>111.117375483</v>
      </c>
      <c r="ED16" s="17">
        <v>113.13302554740001</v>
      </c>
      <c r="EE16" s="17">
        <v>123.117375483</v>
      </c>
      <c r="EF16" s="17">
        <v>125.13302554740001</v>
      </c>
      <c r="EG16" s="17">
        <v>127.1486756118</v>
      </c>
      <c r="EH16" s="17">
        <v>137.1330255474</v>
      </c>
      <c r="EI16" s="17">
        <v>139.1486756118</v>
      </c>
      <c r="EJ16" s="17">
        <v>141.16432567620001</v>
      </c>
      <c r="EK16" s="17">
        <v>149.1330255474</v>
      </c>
      <c r="EL16" s="17">
        <v>151.1486756118</v>
      </c>
      <c r="EM16" s="17">
        <v>153.16432567620001</v>
      </c>
      <c r="EN16" s="17">
        <v>155.17997574060001</v>
      </c>
      <c r="EO16" s="17">
        <v>163.1486756118</v>
      </c>
      <c r="EP16" s="17">
        <v>165.16432567620001</v>
      </c>
      <c r="EQ16" s="17">
        <v>167.17997574060001</v>
      </c>
      <c r="ER16" s="17">
        <v>169.19562580499999</v>
      </c>
      <c r="ES16" s="17">
        <v>177.16432567620001</v>
      </c>
      <c r="ET16" s="17">
        <v>179.17997574060001</v>
      </c>
      <c r="EU16" s="17">
        <v>181.19562580499999</v>
      </c>
      <c r="EV16" s="17">
        <v>183.2112758694</v>
      </c>
      <c r="EW16" s="17">
        <v>191.17997574060001</v>
      </c>
      <c r="EX16" s="17">
        <v>193.19562580499999</v>
      </c>
      <c r="EY16" s="17">
        <v>195.2112758694</v>
      </c>
      <c r="EZ16" s="17">
        <v>197.2269259338</v>
      </c>
      <c r="FA16" s="17">
        <v>205.19562580499999</v>
      </c>
      <c r="FB16" s="17">
        <v>207.2112758694</v>
      </c>
      <c r="FC16" s="17">
        <v>209.2269259338</v>
      </c>
      <c r="FD16" s="17">
        <v>211.24257599820001</v>
      </c>
      <c r="FE16" s="17">
        <v>219.2112758694</v>
      </c>
      <c r="FF16" s="17">
        <v>221.2269259338</v>
      </c>
      <c r="FG16" s="17">
        <v>223.24257599820001</v>
      </c>
      <c r="FH16" s="17">
        <v>225.25822606260002</v>
      </c>
      <c r="FI16" s="17">
        <v>233.2269259338</v>
      </c>
      <c r="FJ16" s="17">
        <v>235.24257599820001</v>
      </c>
      <c r="FK16" s="17">
        <v>237.25822606260002</v>
      </c>
      <c r="FL16" s="17">
        <v>239.27387612699999</v>
      </c>
      <c r="FM16" s="17">
        <v>247.24257599820001</v>
      </c>
      <c r="FN16" s="17">
        <v>249.25822606260002</v>
      </c>
      <c r="FO16" s="17">
        <v>251.27387612699999</v>
      </c>
      <c r="FP16" s="17">
        <v>253.2895261914</v>
      </c>
      <c r="FQ16" s="17">
        <v>261.25822606259999</v>
      </c>
      <c r="FR16" s="17">
        <v>263.27387612699999</v>
      </c>
      <c r="FS16" s="17">
        <v>265.2895261914</v>
      </c>
      <c r="FT16" s="17">
        <v>267.30517625580001</v>
      </c>
      <c r="FU16" s="17">
        <v>275.27387612699999</v>
      </c>
      <c r="FV16" s="17">
        <v>277.2895261914</v>
      </c>
      <c r="FW16" s="17">
        <v>279.30517625580001</v>
      </c>
      <c r="FX16" s="17">
        <v>281.32082632020001</v>
      </c>
      <c r="FY16" s="17">
        <v>289.2895261914</v>
      </c>
      <c r="FZ16" s="17">
        <v>123.80494999999999</v>
      </c>
      <c r="GA16" s="17">
        <v>15.475618749999999</v>
      </c>
      <c r="GB16" s="17">
        <v>1.9344523437499999</v>
      </c>
      <c r="GC16" s="17">
        <v>0.96722617187499993</v>
      </c>
      <c r="GD16" s="17">
        <v>3.9321600000000023</v>
      </c>
      <c r="GE16" s="17">
        <v>2</v>
      </c>
      <c r="GF16" s="17">
        <v>0</v>
      </c>
      <c r="GG16" s="17">
        <v>51.20000000000001</v>
      </c>
      <c r="GH16" s="17">
        <v>28.44444444444445</v>
      </c>
      <c r="GI16" s="17">
        <v>19.911111111111115</v>
      </c>
      <c r="GJ16" s="17">
        <v>6.6370370370370386</v>
      </c>
      <c r="GK16" s="17">
        <v>32.400000000000006</v>
      </c>
      <c r="GL16" s="17">
        <v>32.400000000000006</v>
      </c>
      <c r="GM16" s="17">
        <v>16.200000000000003</v>
      </c>
      <c r="GN16" s="17">
        <v>32.400000000000006</v>
      </c>
      <c r="GO16" s="17">
        <v>6.4800000000000013</v>
      </c>
      <c r="GP16" s="17">
        <v>15</v>
      </c>
      <c r="GQ16" s="17">
        <v>3.75</v>
      </c>
      <c r="GR16" s="17">
        <v>23.327999999999999</v>
      </c>
      <c r="GS16" s="17">
        <v>11.664</v>
      </c>
      <c r="GT16" s="17">
        <v>20.480000000000004</v>
      </c>
      <c r="GU16" s="17">
        <v>11.37777777777778</v>
      </c>
      <c r="GV16" s="17">
        <v>7.9644444444444451</v>
      </c>
      <c r="GW16" s="17">
        <v>2.6548148148148152</v>
      </c>
      <c r="GX16" s="17">
        <v>29.160000000000004</v>
      </c>
      <c r="GY16" s="17">
        <v>29.160000000000004</v>
      </c>
      <c r="GZ16" s="17">
        <v>14.580000000000002</v>
      </c>
      <c r="HA16" s="17">
        <v>29.160000000000004</v>
      </c>
      <c r="HB16" s="17">
        <v>5.8320000000000007</v>
      </c>
      <c r="HC16" s="17">
        <v>15</v>
      </c>
      <c r="HD16" s="17">
        <v>3.75</v>
      </c>
      <c r="HE16" s="17">
        <v>25.919999999999998</v>
      </c>
      <c r="HF16" s="17">
        <v>12.959999999999999</v>
      </c>
      <c r="HG16" s="17">
        <v>0.476837158203125</v>
      </c>
      <c r="HH16" s="17">
        <v>1.5708885696404189</v>
      </c>
      <c r="HI16" s="17">
        <v>1.4551915228366852</v>
      </c>
      <c r="HJ16" s="17">
        <v>1.9523640191169775</v>
      </c>
      <c r="HK16" s="17">
        <v>1.0862946510314941</v>
      </c>
      <c r="HL16" s="17">
        <v>3.6209821701049805</v>
      </c>
      <c r="HM16" s="17">
        <v>2.1848436788802914</v>
      </c>
      <c r="HN16" s="17">
        <v>2.7392292395234108</v>
      </c>
      <c r="HO16" s="17">
        <v>12.361758929757904</v>
      </c>
      <c r="HP16" s="17">
        <v>1.6436902594446974</v>
      </c>
      <c r="HQ16" s="17">
        <v>6.103515625</v>
      </c>
      <c r="HR16" s="17">
        <v>15.2587890625</v>
      </c>
      <c r="HS16" s="17">
        <v>0.73551647132453335</v>
      </c>
      <c r="HT16" s="17">
        <v>4.7741965521823628</v>
      </c>
      <c r="HU16" s="17">
        <v>12.361758929757904</v>
      </c>
      <c r="HV16" s="17">
        <v>0.83568502503413755</v>
      </c>
      <c r="HW16" s="17">
        <v>3.7011818562559</v>
      </c>
      <c r="HX16" s="17">
        <v>9.938358688094544</v>
      </c>
      <c r="HY16" s="17">
        <v>0.94455863108784721</v>
      </c>
      <c r="HZ16" s="17">
        <v>2.6171307889631601</v>
      </c>
      <c r="IA16" s="17">
        <v>2.8418916187052878</v>
      </c>
      <c r="IB16" s="17">
        <v>7.9245054752358994</v>
      </c>
      <c r="IC16" s="17">
        <v>1.0625</v>
      </c>
      <c r="ID16" s="17">
        <v>2.0095208349837232</v>
      </c>
      <c r="IE16" s="17">
        <v>2.1596040642437933</v>
      </c>
      <c r="IF16" s="17">
        <v>6.2628517863070012</v>
      </c>
      <c r="IG16" s="17">
        <v>0.94455863108784721</v>
      </c>
      <c r="IH16" s="17">
        <v>1.5270706785048145</v>
      </c>
      <c r="II16" s="17">
        <v>1.6228290277881319</v>
      </c>
      <c r="IJ16" s="17">
        <v>4.9022960214433144</v>
      </c>
      <c r="IK16" s="17">
        <v>0.83568502503413755</v>
      </c>
      <c r="IL16" s="17">
        <v>1.1475134102553601</v>
      </c>
      <c r="IM16" s="17">
        <v>1.2047277872548898</v>
      </c>
      <c r="IN16" s="17">
        <v>3.7975115033034568</v>
      </c>
      <c r="IO16" s="17">
        <v>0.73551647132453335</v>
      </c>
      <c r="IP16" s="17">
        <v>0.85187118785179694</v>
      </c>
      <c r="IQ16" s="17">
        <v>0.8825774788777353</v>
      </c>
      <c r="IR16" s="17">
        <v>2.908493964483446</v>
      </c>
      <c r="IS16" s="17">
        <v>0.64369025944469738</v>
      </c>
      <c r="IT16" s="17">
        <v>0.62407652023697346</v>
      </c>
      <c r="IU16" s="17">
        <v>2.0566158053263899</v>
      </c>
      <c r="IV16" s="17">
        <v>0.63727831174455729</v>
      </c>
      <c r="IW16" s="17">
        <v>2.2001275048323996</v>
      </c>
      <c r="IX16" s="17">
        <v>0.5598436788802913</v>
      </c>
      <c r="IY16" s="17">
        <v>0.45062381573769106</v>
      </c>
      <c r="IZ16" s="17">
        <v>1.5557250781420282</v>
      </c>
      <c r="JA16" s="17">
        <v>0.45290179825370042</v>
      </c>
      <c r="JB16" s="17">
        <v>1.6417690186696638</v>
      </c>
      <c r="JC16" s="17">
        <v>0.4836140191169776</v>
      </c>
      <c r="JD16" s="17">
        <v>0.32024993275677321</v>
      </c>
      <c r="JE16" s="17">
        <v>1.1609060062433028</v>
      </c>
      <c r="JF16" s="17">
        <v>0.31627821718848598</v>
      </c>
      <c r="JG16" s="17">
        <v>1.2068510919034332</v>
      </c>
      <c r="JH16" s="17">
        <v>0.4146385696404189</v>
      </c>
      <c r="JI16" s="17">
        <v>0.22364247211557009</v>
      </c>
      <c r="JJ16" s="17">
        <v>0.85337259096730689</v>
      </c>
      <c r="JK16" s="17">
        <v>0.21662152610917026</v>
      </c>
      <c r="JL16" s="17">
        <v>0.8725033690508246</v>
      </c>
      <c r="JM16" s="17">
        <v>0.35255461993627668</v>
      </c>
      <c r="JN16" s="17">
        <v>0.15317455006277303</v>
      </c>
      <c r="JO16" s="17">
        <v>0.98876953125</v>
      </c>
      <c r="JP16" s="17">
        <v>2.1075056052866707</v>
      </c>
      <c r="JQ16" s="17">
        <v>3.0174851417541504</v>
      </c>
      <c r="JR16" s="17">
        <v>2.9708693673190716</v>
      </c>
      <c r="JS16" s="17">
        <v>2.2525405883789063</v>
      </c>
      <c r="JT16" s="17">
        <v>7.5084686279296875</v>
      </c>
      <c r="JU16" s="17">
        <v>3.4767591328242213</v>
      </c>
      <c r="JV16" s="17">
        <v>5.6800657510757446</v>
      </c>
      <c r="JW16" s="17">
        <v>25.633343316745989</v>
      </c>
      <c r="JX16" s="17">
        <v>2.1443382390127956</v>
      </c>
      <c r="JY16" s="17">
        <v>12.65625</v>
      </c>
      <c r="JZ16" s="17">
        <v>31.640625</v>
      </c>
      <c r="KA16" s="17">
        <v>1.3075848379102815</v>
      </c>
      <c r="KB16" s="17">
        <v>9.8997739706053487</v>
      </c>
      <c r="KC16" s="17">
        <v>25.633343316745989</v>
      </c>
      <c r="KD16" s="17">
        <v>1.4856622667273556</v>
      </c>
      <c r="KE16" s="17">
        <v>7.6747706971322343</v>
      </c>
      <c r="KF16" s="17">
        <v>20.608180575632847</v>
      </c>
      <c r="KG16" s="17">
        <v>1.6792153441561728</v>
      </c>
      <c r="KH16" s="17">
        <v>5.4268824039940089</v>
      </c>
      <c r="KI16" s="17">
        <v>5.8929464605472841</v>
      </c>
      <c r="KJ16" s="17">
        <v>16.432254553449162</v>
      </c>
      <c r="KK16" s="17">
        <v>1.8888888888888888</v>
      </c>
      <c r="KL16" s="17">
        <v>4.1669424034222482</v>
      </c>
      <c r="KM16" s="17">
        <v>4.4781549876159294</v>
      </c>
      <c r="KN16" s="17">
        <v>12.986649464086197</v>
      </c>
      <c r="KO16" s="17">
        <v>1.6792153441561728</v>
      </c>
      <c r="KP16" s="17">
        <v>3.1665337589475833</v>
      </c>
      <c r="KQ16" s="17">
        <v>3.3650982720214704</v>
      </c>
      <c r="KR16" s="17">
        <v>10.165401030064857</v>
      </c>
      <c r="KS16" s="17">
        <v>1.4856622667273556</v>
      </c>
      <c r="KT16" s="17">
        <v>2.3794838075055149</v>
      </c>
      <c r="KU16" s="17">
        <v>2.4981235396517394</v>
      </c>
      <c r="KV16" s="17">
        <v>7.8745198532500478</v>
      </c>
      <c r="KW16" s="17">
        <v>1.3075848379102815</v>
      </c>
      <c r="KX16" s="17">
        <v>1.7664400951294859</v>
      </c>
      <c r="KY16" s="17">
        <v>1.8301126602008719</v>
      </c>
      <c r="KZ16" s="17">
        <v>6.031053084752874</v>
      </c>
      <c r="LA16" s="17">
        <v>1.1443382390127954</v>
      </c>
      <c r="LB16" s="17">
        <v>1.2940850723633883</v>
      </c>
      <c r="LC16" s="17">
        <v>1.321460307233514</v>
      </c>
      <c r="LD16" s="17">
        <v>4.5621843940204645</v>
      </c>
      <c r="LE16" s="17">
        <v>0.99527765134274004</v>
      </c>
      <c r="LF16" s="17">
        <v>0.93441354431367618</v>
      </c>
      <c r="LG16" s="17">
        <v>0.93913716885887322</v>
      </c>
      <c r="LH16" s="17">
        <v>3.4043722371134146</v>
      </c>
      <c r="LI16" s="17">
        <v>0.8597582562079602</v>
      </c>
      <c r="LJ16" s="17">
        <v>0.66407026056444496</v>
      </c>
      <c r="LK16" s="17">
        <v>0.6558345111620445</v>
      </c>
      <c r="LL16" s="17">
        <v>2.5025264241709593</v>
      </c>
      <c r="LM16" s="17">
        <v>0.73713523491630029</v>
      </c>
      <c r="LN16" s="17">
        <v>0.46374503017884611</v>
      </c>
      <c r="LO16" s="17">
        <v>0.4491863965399755</v>
      </c>
      <c r="LP16" s="17">
        <v>1.8092229860637898</v>
      </c>
      <c r="LQ16" s="17">
        <v>0.62676376877560303</v>
      </c>
      <c r="LR16" s="17">
        <v>0.31762274701016618</v>
      </c>
      <c r="LS16" s="17">
        <v>0.3010658590894742</v>
      </c>
      <c r="LT16" s="17">
        <v>1.283957340234521</v>
      </c>
      <c r="LU16" s="17">
        <v>0.52799903909371371</v>
      </c>
      <c r="LV16" s="17">
        <v>0.21288571054592076</v>
      </c>
    </row>
    <row r="17" spans="1:334" s="4" customFormat="1" ht="14.25" x14ac:dyDescent="0.2">
      <c r="A17" s="16">
        <v>11</v>
      </c>
      <c r="B17" s="17" t="s">
        <v>684</v>
      </c>
      <c r="C17" s="18" t="s">
        <v>423</v>
      </c>
      <c r="D17" s="18" t="s">
        <v>98</v>
      </c>
      <c r="E17" s="18" t="s">
        <v>423</v>
      </c>
      <c r="F17" s="19" t="s">
        <v>101</v>
      </c>
      <c r="G17" s="19" t="s">
        <v>424</v>
      </c>
      <c r="H17" s="20">
        <v>-1</v>
      </c>
      <c r="I17" s="21">
        <v>32.729999999999997</v>
      </c>
      <c r="J17" s="22">
        <v>24.1797</v>
      </c>
      <c r="K17" s="20" t="s">
        <v>102</v>
      </c>
      <c r="L17" s="18">
        <v>0</v>
      </c>
      <c r="M17" s="18">
        <v>2</v>
      </c>
      <c r="N17" s="18" t="s">
        <v>423</v>
      </c>
      <c r="O17" s="23">
        <v>0</v>
      </c>
      <c r="P17" s="23">
        <v>0</v>
      </c>
      <c r="Q17" s="23">
        <v>1</v>
      </c>
      <c r="R17" s="23">
        <v>4</v>
      </c>
      <c r="S17" s="23">
        <v>0</v>
      </c>
      <c r="T17" s="23">
        <v>40</v>
      </c>
      <c r="U17" s="23">
        <v>0</v>
      </c>
      <c r="V17" s="23">
        <v>40</v>
      </c>
      <c r="W17" s="23">
        <v>0</v>
      </c>
      <c r="X17" s="18" t="s">
        <v>423</v>
      </c>
      <c r="Y17" s="17">
        <v>730.61154293400011</v>
      </c>
      <c r="Z17" s="17">
        <v>712.60098293400006</v>
      </c>
      <c r="AA17" s="17">
        <v>730.61154293400011</v>
      </c>
      <c r="AB17" s="17">
        <v>712.60098293400006</v>
      </c>
      <c r="AC17" s="17">
        <v>1292.2449629340001</v>
      </c>
      <c r="AD17" s="17">
        <v>1274.2343982500001</v>
      </c>
      <c r="AE17" s="17">
        <v>1256.2238335660002</v>
      </c>
      <c r="AF17" s="17">
        <v>1238.2132688820002</v>
      </c>
      <c r="AG17" s="17">
        <v>1218.2081835016002</v>
      </c>
      <c r="AH17" s="17">
        <v>1200.1976188176002</v>
      </c>
      <c r="AI17" s="17">
        <v>1108.1502747012003</v>
      </c>
      <c r="AJ17" s="17">
        <v>735.65026042240015</v>
      </c>
      <c r="AK17" s="17">
        <v>717.63969573840018</v>
      </c>
      <c r="AL17" s="17">
        <v>699.6291310544002</v>
      </c>
      <c r="AM17" s="17">
        <v>681.61856637040023</v>
      </c>
      <c r="AN17" s="17">
        <v>661.6134809900002</v>
      </c>
      <c r="AO17" s="17">
        <v>643.60291630600022</v>
      </c>
      <c r="AP17" s="17">
        <v>625.59235162200025</v>
      </c>
      <c r="AQ17" s="17">
        <v>607.58178693800028</v>
      </c>
      <c r="AR17" s="17">
        <v>589.5712222540003</v>
      </c>
      <c r="AS17" s="17">
        <v>605.58726624160022</v>
      </c>
      <c r="AT17" s="17">
        <v>587.57670155760024</v>
      </c>
      <c r="AU17" s="17">
        <v>555.58687751160005</v>
      </c>
      <c r="AV17" s="17">
        <v>573.59744219560002</v>
      </c>
      <c r="AW17" s="17">
        <v>741.69721061560017</v>
      </c>
      <c r="AX17" s="17">
        <v>723.6866459316002</v>
      </c>
      <c r="AY17" s="17">
        <v>705.67608124760022</v>
      </c>
      <c r="AZ17" s="17">
        <v>687.66551656360025</v>
      </c>
      <c r="BA17" s="17">
        <v>667.66043118320022</v>
      </c>
      <c r="BB17" s="17">
        <v>649.64986649920024</v>
      </c>
      <c r="BC17" s="17">
        <v>631.63930181520027</v>
      </c>
      <c r="BD17" s="17">
        <v>613.6287371312003</v>
      </c>
      <c r="BE17" s="17">
        <v>595.61817244720032</v>
      </c>
      <c r="BF17" s="17">
        <v>611.63421643480024</v>
      </c>
      <c r="BG17" s="17">
        <v>593.62365175080026</v>
      </c>
      <c r="BH17" s="17">
        <v>549.53992731840003</v>
      </c>
      <c r="BI17" s="17">
        <v>567.55049200240001</v>
      </c>
      <c r="BJ17" s="17">
        <v>55.0547752254</v>
      </c>
      <c r="BK17" s="17">
        <v>57.070425289800006</v>
      </c>
      <c r="BL17" s="17">
        <v>69.070425289799999</v>
      </c>
      <c r="BM17" s="17">
        <v>71.086075354200005</v>
      </c>
      <c r="BN17" s="17">
        <v>81.070425289799999</v>
      </c>
      <c r="BO17" s="17">
        <v>83.086075354200005</v>
      </c>
      <c r="BP17" s="17">
        <v>85.101725418599997</v>
      </c>
      <c r="BQ17" s="17">
        <v>95.086075354200005</v>
      </c>
      <c r="BR17" s="17">
        <v>97.101725418599997</v>
      </c>
      <c r="BS17" s="17">
        <v>99.117375483000004</v>
      </c>
      <c r="BT17" s="17">
        <v>109.1017254186</v>
      </c>
      <c r="BU17" s="17">
        <v>111.117375483</v>
      </c>
      <c r="BV17" s="17">
        <v>113.13302554740001</v>
      </c>
      <c r="BW17" s="17">
        <v>123.117375483</v>
      </c>
      <c r="BX17" s="17">
        <v>125.13302554740001</v>
      </c>
      <c r="BY17" s="17">
        <v>127.1486756118</v>
      </c>
      <c r="BZ17" s="17">
        <v>137.1330255474</v>
      </c>
      <c r="CA17" s="17">
        <v>139.1486756118</v>
      </c>
      <c r="CB17" s="17">
        <v>141.16432567620001</v>
      </c>
      <c r="CC17" s="17">
        <v>151.1486756118</v>
      </c>
      <c r="CD17" s="17">
        <v>153.16432567620001</v>
      </c>
      <c r="CE17" s="17">
        <v>155.17997574060001</v>
      </c>
      <c r="CF17" s="17">
        <v>165.16432567620001</v>
      </c>
      <c r="CG17" s="17">
        <v>167.17997574060001</v>
      </c>
      <c r="CH17" s="17">
        <v>169.19562580499999</v>
      </c>
      <c r="CI17" s="17">
        <v>179.17997574060001</v>
      </c>
      <c r="CJ17" s="17">
        <v>181.19562580499999</v>
      </c>
      <c r="CK17" s="17">
        <v>183.2112758694</v>
      </c>
      <c r="CL17" s="17">
        <v>193.19562580499999</v>
      </c>
      <c r="CM17" s="17">
        <v>195.2112758694</v>
      </c>
      <c r="CN17" s="17">
        <v>197.2269259338</v>
      </c>
      <c r="CO17" s="17">
        <v>207.2112758694</v>
      </c>
      <c r="CP17" s="17">
        <v>209.2269259338</v>
      </c>
      <c r="CQ17" s="17">
        <v>211.24257599820001</v>
      </c>
      <c r="CR17" s="17">
        <v>221.2269259338</v>
      </c>
      <c r="CS17" s="17">
        <v>223.24257599820001</v>
      </c>
      <c r="CT17" s="17">
        <v>225.25822606260002</v>
      </c>
      <c r="CU17" s="17">
        <v>235.24257599820001</v>
      </c>
      <c r="CV17" s="17">
        <v>237.25822606260002</v>
      </c>
      <c r="CW17" s="17">
        <v>239.27387612699999</v>
      </c>
      <c r="CX17" s="17">
        <v>249.25822606260002</v>
      </c>
      <c r="CY17" s="17">
        <v>251.27387612699999</v>
      </c>
      <c r="CZ17" s="17">
        <v>253.2895261914</v>
      </c>
      <c r="DA17" s="17">
        <v>263.27387612699999</v>
      </c>
      <c r="DB17" s="17">
        <v>265.2895261914</v>
      </c>
      <c r="DC17" s="17">
        <v>267.30517625580001</v>
      </c>
      <c r="DD17" s="17">
        <v>277.2895261914</v>
      </c>
      <c r="DE17" s="17">
        <v>279.30517625580001</v>
      </c>
      <c r="DF17" s="17">
        <v>281.32082632020001</v>
      </c>
      <c r="DG17" s="17">
        <v>291.30517625580001</v>
      </c>
      <c r="DH17" s="17">
        <v>293.32082632020001</v>
      </c>
      <c r="DI17" s="17">
        <v>295.33647638460002</v>
      </c>
      <c r="DJ17" s="17">
        <v>305.32082632020001</v>
      </c>
      <c r="DK17" s="17">
        <v>307.33647638460002</v>
      </c>
      <c r="DL17" s="17">
        <v>309.35212644900002</v>
      </c>
      <c r="DM17" s="17">
        <v>319.33647638460002</v>
      </c>
      <c r="DN17" s="17">
        <v>321.35212644900002</v>
      </c>
      <c r="DO17" s="17">
        <v>323.36777651340003</v>
      </c>
      <c r="DP17" s="17">
        <v>333.35212644900002</v>
      </c>
      <c r="DQ17" s="17">
        <v>335.36777651340003</v>
      </c>
      <c r="DR17" s="17">
        <v>55.0547752254</v>
      </c>
      <c r="DS17" s="17">
        <v>57.070425289800006</v>
      </c>
      <c r="DT17" s="17">
        <v>69.070425289799999</v>
      </c>
      <c r="DU17" s="17">
        <v>71.086075354200005</v>
      </c>
      <c r="DV17" s="17">
        <v>81.070425289799999</v>
      </c>
      <c r="DW17" s="17">
        <v>83.086075354200005</v>
      </c>
      <c r="DX17" s="17">
        <v>85.101725418599997</v>
      </c>
      <c r="DY17" s="17">
        <v>95.086075354200005</v>
      </c>
      <c r="DZ17" s="17">
        <v>97.101725418599997</v>
      </c>
      <c r="EA17" s="17">
        <v>99.117375483000004</v>
      </c>
      <c r="EB17" s="17">
        <v>109.1017254186</v>
      </c>
      <c r="EC17" s="17">
        <v>111.117375483</v>
      </c>
      <c r="ED17" s="17">
        <v>113.13302554740001</v>
      </c>
      <c r="EE17" s="17">
        <v>123.117375483</v>
      </c>
      <c r="EF17" s="17">
        <v>125.13302554740001</v>
      </c>
      <c r="EG17" s="17">
        <v>127.1486756118</v>
      </c>
      <c r="EH17" s="17">
        <v>137.1330255474</v>
      </c>
      <c r="EI17" s="17">
        <v>139.1486756118</v>
      </c>
      <c r="EJ17" s="17">
        <v>141.16432567620001</v>
      </c>
      <c r="EK17" s="17">
        <v>149.1330255474</v>
      </c>
      <c r="EL17" s="17">
        <v>151.1486756118</v>
      </c>
      <c r="EM17" s="17">
        <v>153.16432567620001</v>
      </c>
      <c r="EN17" s="17">
        <v>155.17997574060001</v>
      </c>
      <c r="EO17" s="17">
        <v>163.1486756118</v>
      </c>
      <c r="EP17" s="17">
        <v>165.16432567620001</v>
      </c>
      <c r="EQ17" s="17">
        <v>167.17997574060001</v>
      </c>
      <c r="ER17" s="17">
        <v>169.19562580499999</v>
      </c>
      <c r="ES17" s="17">
        <v>177.16432567620001</v>
      </c>
      <c r="ET17" s="17">
        <v>179.17997574060001</v>
      </c>
      <c r="EU17" s="17">
        <v>181.19562580499999</v>
      </c>
      <c r="EV17" s="17">
        <v>183.2112758694</v>
      </c>
      <c r="EW17" s="17">
        <v>191.17997574060001</v>
      </c>
      <c r="EX17" s="17">
        <v>193.19562580499999</v>
      </c>
      <c r="EY17" s="17">
        <v>195.2112758694</v>
      </c>
      <c r="EZ17" s="17">
        <v>197.2269259338</v>
      </c>
      <c r="FA17" s="17">
        <v>205.19562580499999</v>
      </c>
      <c r="FB17" s="17">
        <v>207.2112758694</v>
      </c>
      <c r="FC17" s="17">
        <v>209.2269259338</v>
      </c>
      <c r="FD17" s="17">
        <v>211.24257599820001</v>
      </c>
      <c r="FE17" s="17">
        <v>217.19562580499999</v>
      </c>
      <c r="FF17" s="17">
        <v>219.2112758694</v>
      </c>
      <c r="FG17" s="17">
        <v>221.2269259338</v>
      </c>
      <c r="FH17" s="17">
        <v>223.24257599820001</v>
      </c>
      <c r="FI17" s="17">
        <v>225.25822606260002</v>
      </c>
      <c r="FJ17" s="17">
        <v>231.2112758694</v>
      </c>
      <c r="FK17" s="17">
        <v>233.2269259338</v>
      </c>
      <c r="FL17" s="17">
        <v>235.24257599820001</v>
      </c>
      <c r="FM17" s="17">
        <v>237.25822606260002</v>
      </c>
      <c r="FN17" s="17">
        <v>239.27387612699999</v>
      </c>
      <c r="FO17" s="17">
        <v>245.2269259338</v>
      </c>
      <c r="FP17" s="17">
        <v>247.24257599820001</v>
      </c>
      <c r="FQ17" s="17">
        <v>249.25822606260002</v>
      </c>
      <c r="FR17" s="17">
        <v>251.27387612699999</v>
      </c>
      <c r="FS17" s="17">
        <v>253.2895261914</v>
      </c>
      <c r="FT17" s="17">
        <v>259.24257599819998</v>
      </c>
      <c r="FU17" s="17">
        <v>261.25822606259999</v>
      </c>
      <c r="FV17" s="17">
        <v>263.27387612699999</v>
      </c>
      <c r="FW17" s="17">
        <v>265.2895261914</v>
      </c>
      <c r="FX17" s="17">
        <v>267.30517625580001</v>
      </c>
      <c r="FY17" s="17">
        <v>273.25822606259999</v>
      </c>
      <c r="FZ17" s="17">
        <v>123.80494999999999</v>
      </c>
      <c r="GA17" s="17">
        <v>15.475618749999999</v>
      </c>
      <c r="GB17" s="17">
        <v>1.9344523437499999</v>
      </c>
      <c r="GC17" s="17">
        <v>0.96722617187499993</v>
      </c>
      <c r="GD17" s="17">
        <v>3.9321600000000023</v>
      </c>
      <c r="GE17" s="17">
        <v>2</v>
      </c>
      <c r="GF17" s="17">
        <v>0</v>
      </c>
      <c r="GG17" s="17">
        <v>16.384000000000007</v>
      </c>
      <c r="GH17" s="17">
        <v>9.1022222222222258</v>
      </c>
      <c r="GI17" s="17">
        <v>6.3715555555555579</v>
      </c>
      <c r="GJ17" s="17">
        <v>2.1238518518518528</v>
      </c>
      <c r="GK17" s="17">
        <v>26.244000000000007</v>
      </c>
      <c r="GL17" s="17">
        <v>26.244000000000007</v>
      </c>
      <c r="GM17" s="17">
        <v>13.122000000000003</v>
      </c>
      <c r="GN17" s="17">
        <v>26.244000000000007</v>
      </c>
      <c r="GO17" s="17">
        <v>5.248800000000001</v>
      </c>
      <c r="GP17" s="17">
        <v>15</v>
      </c>
      <c r="GQ17" s="17">
        <v>3.75</v>
      </c>
      <c r="GR17" s="17">
        <v>21.599999999999998</v>
      </c>
      <c r="GS17" s="17">
        <v>10.799999999999999</v>
      </c>
      <c r="GT17" s="17">
        <v>64</v>
      </c>
      <c r="GU17" s="17">
        <v>35.555555555555557</v>
      </c>
      <c r="GV17" s="17">
        <v>24.888888888888889</v>
      </c>
      <c r="GW17" s="17">
        <v>8.2962962962962958</v>
      </c>
      <c r="GX17" s="17">
        <v>36</v>
      </c>
      <c r="GY17" s="17">
        <v>36</v>
      </c>
      <c r="GZ17" s="17">
        <v>18</v>
      </c>
      <c r="HA17" s="17">
        <v>36</v>
      </c>
      <c r="HB17" s="17">
        <v>7.2</v>
      </c>
      <c r="HC17" s="17">
        <v>15</v>
      </c>
      <c r="HD17" s="17">
        <v>3.75</v>
      </c>
      <c r="HE17" s="17">
        <v>14.929919999999999</v>
      </c>
      <c r="HF17" s="17">
        <v>7.4649599999999996</v>
      </c>
      <c r="HG17" s="17">
        <v>1.831817626953125</v>
      </c>
      <c r="HH17" s="17">
        <v>3.9085542785616756</v>
      </c>
      <c r="HI17" s="17">
        <v>5.5902637541294098</v>
      </c>
      <c r="HJ17" s="17">
        <v>6.6844560764679102</v>
      </c>
      <c r="HK17" s="17">
        <v>4.1731095314025879</v>
      </c>
      <c r="HL17" s="17">
        <v>13.910365104675293</v>
      </c>
      <c r="HM17" s="17">
        <v>8.2393747155211656</v>
      </c>
      <c r="HN17" s="17">
        <v>10.523023046553135</v>
      </c>
      <c r="HO17" s="17">
        <v>47.488933104557965</v>
      </c>
      <c r="HP17" s="17">
        <v>3.5747610377787895</v>
      </c>
      <c r="HQ17" s="17">
        <v>23.447265625</v>
      </c>
      <c r="HR17" s="17">
        <v>58.6181640625</v>
      </c>
      <c r="HS17" s="17">
        <v>2.9420658852981334</v>
      </c>
      <c r="HT17" s="17">
        <v>18.340553474863764</v>
      </c>
      <c r="HU17" s="17">
        <v>47.488933104557965</v>
      </c>
      <c r="HV17" s="17">
        <v>3.3427401001365502</v>
      </c>
      <c r="HW17" s="17">
        <v>14.218460218992666</v>
      </c>
      <c r="HX17" s="17">
        <v>38.179198736184006</v>
      </c>
      <c r="HY17" s="17">
        <v>3.7782345243513888</v>
      </c>
      <c r="HZ17" s="17">
        <v>10.917410842418233</v>
      </c>
      <c r="IA17" s="17">
        <v>30.44278023366623</v>
      </c>
      <c r="IB17" s="17">
        <v>4.25</v>
      </c>
      <c r="IC17" s="17">
        <v>8.296334973198956</v>
      </c>
      <c r="ID17" s="17">
        <v>24.059371422276975</v>
      </c>
      <c r="IE17" s="17">
        <v>3.7782345243513888</v>
      </c>
      <c r="IF17" s="17">
        <v>6.2342599931508875</v>
      </c>
      <c r="IG17" s="17">
        <v>18.832660395976639</v>
      </c>
      <c r="IH17" s="17">
        <v>3.3427401001365502</v>
      </c>
      <c r="II17" s="17">
        <v>4.6280822675183844</v>
      </c>
      <c r="IJ17" s="17">
        <v>14.588520191090559</v>
      </c>
      <c r="IK17" s="17">
        <v>2.9420658852981334</v>
      </c>
      <c r="IL17" s="17">
        <v>3.3905096428567076</v>
      </c>
      <c r="IM17" s="17">
        <v>11.173270413959607</v>
      </c>
      <c r="IN17" s="17">
        <v>2.5747610377787895</v>
      </c>
      <c r="IO17" s="17">
        <v>2.4481683623978912</v>
      </c>
      <c r="IP17" s="17">
        <v>8.4520098225641469</v>
      </c>
      <c r="IQ17" s="17">
        <v>2.2393747155211652</v>
      </c>
      <c r="IR17" s="17">
        <v>1.7398675481714156</v>
      </c>
      <c r="IS17" s="17">
        <v>6.30701986212138</v>
      </c>
      <c r="IT17" s="17">
        <v>1.9344560764679104</v>
      </c>
      <c r="IU17" s="17">
        <v>1.2150143991512878</v>
      </c>
      <c r="IV17" s="17">
        <v>4.6362391546562289</v>
      </c>
      <c r="IW17" s="17">
        <v>1.6585542785616756</v>
      </c>
      <c r="IX17" s="17">
        <v>0.83217325470098846</v>
      </c>
      <c r="IY17" s="17">
        <v>3.3518089425456479</v>
      </c>
      <c r="IZ17" s="17">
        <v>1.4102184797451067</v>
      </c>
      <c r="JA17" s="17">
        <v>0.55776167258782994</v>
      </c>
      <c r="JB17" s="17">
        <v>2.3786894860363308</v>
      </c>
      <c r="JC17" s="17">
        <v>1.1879978379608558</v>
      </c>
      <c r="JD17" s="17">
        <v>0.36487667083827779</v>
      </c>
      <c r="JE17" s="17">
        <v>1.6533474147359464</v>
      </c>
      <c r="JF17" s="17">
        <v>0.99044151115157042</v>
      </c>
      <c r="JG17" s="17">
        <v>0.23224428270574216</v>
      </c>
      <c r="JH17" s="17">
        <v>1.1225140330777554</v>
      </c>
      <c r="JI17" s="17">
        <v>0.81609865725989961</v>
      </c>
      <c r="JJ17" s="17">
        <v>0.14328557402237305</v>
      </c>
      <c r="JK17" s="17">
        <v>0.74201457975871821</v>
      </c>
      <c r="JL17" s="17">
        <v>0.66351843422849333</v>
      </c>
      <c r="JM17" s="17">
        <v>8.5292272206392447E-2</v>
      </c>
      <c r="JN17" s="17">
        <v>0.47566844115103485</v>
      </c>
      <c r="JO17" s="17">
        <v>0.1953125</v>
      </c>
      <c r="JP17" s="17">
        <v>1.3453686845698682</v>
      </c>
      <c r="JQ17" s="17">
        <v>0.59604644775390625</v>
      </c>
      <c r="JR17" s="17">
        <v>1.5495129722348657</v>
      </c>
      <c r="JS17" s="17">
        <v>0.4449462890625</v>
      </c>
      <c r="JT17" s="17">
        <v>1.483154296875</v>
      </c>
      <c r="JU17" s="17">
        <v>1.6782999544833865</v>
      </c>
      <c r="JV17" s="17">
        <v>1.1219882965087891</v>
      </c>
      <c r="JW17" s="17">
        <v>5.0633764576288378</v>
      </c>
      <c r="JX17" s="17">
        <v>1.4119617660446062</v>
      </c>
      <c r="JY17" s="17">
        <v>2.5</v>
      </c>
      <c r="JZ17" s="17">
        <v>6.25</v>
      </c>
      <c r="KA17" s="17">
        <v>0.47073054164770134</v>
      </c>
      <c r="KB17" s="17">
        <v>1.9555109077738959</v>
      </c>
      <c r="KC17" s="17">
        <v>5.0633764576288378</v>
      </c>
      <c r="KD17" s="17">
        <v>0.53483841602184801</v>
      </c>
      <c r="KE17" s="17">
        <v>1.5160040883224166</v>
      </c>
      <c r="KF17" s="17">
        <v>4.0707517186435256</v>
      </c>
      <c r="KG17" s="17">
        <v>0.60451752389622226</v>
      </c>
      <c r="KH17" s="17">
        <v>1.0719767711593104</v>
      </c>
      <c r="KI17" s="17">
        <v>1.1640388070216858</v>
      </c>
      <c r="KJ17" s="17">
        <v>3.2458774426566244</v>
      </c>
      <c r="KK17" s="17">
        <v>0.68</v>
      </c>
      <c r="KL17" s="17">
        <v>0.82309973400933301</v>
      </c>
      <c r="KM17" s="17">
        <v>0.88457382471425772</v>
      </c>
      <c r="KN17" s="17">
        <v>2.5652640916713478</v>
      </c>
      <c r="KO17" s="17">
        <v>0.60451752389622226</v>
      </c>
      <c r="KP17" s="17">
        <v>0.625488149915572</v>
      </c>
      <c r="KQ17" s="17">
        <v>0.66471076978201882</v>
      </c>
      <c r="KR17" s="17">
        <v>2.0079804503831817</v>
      </c>
      <c r="KS17" s="17">
        <v>0.53483841602184801</v>
      </c>
      <c r="KT17" s="17">
        <v>0.47002149284059552</v>
      </c>
      <c r="KU17" s="17">
        <v>0.49345650165960286</v>
      </c>
      <c r="KV17" s="17">
        <v>1.5554607117530959</v>
      </c>
      <c r="KW17" s="17">
        <v>0.47073054164770134</v>
      </c>
      <c r="KX17" s="17">
        <v>0.348926438544096</v>
      </c>
      <c r="KY17" s="17">
        <v>0.36150373534832037</v>
      </c>
      <c r="KZ17" s="17">
        <v>1.1913191278524196</v>
      </c>
      <c r="LA17" s="17">
        <v>0.41196176604460633</v>
      </c>
      <c r="LB17" s="17">
        <v>0.25562174268906435</v>
      </c>
      <c r="LC17" s="17">
        <v>0.84238983386168942</v>
      </c>
      <c r="LD17" s="17">
        <v>0.26102919649057066</v>
      </c>
      <c r="LE17" s="17">
        <v>0.90117222597935098</v>
      </c>
      <c r="LF17" s="17">
        <v>0.35829995448338642</v>
      </c>
      <c r="LG17" s="17">
        <v>0.18457551492615826</v>
      </c>
      <c r="LH17" s="17">
        <v>0.6372249920069748</v>
      </c>
      <c r="LI17" s="17">
        <v>0.1855085765647157</v>
      </c>
      <c r="LJ17" s="17">
        <v>0.67246859004709425</v>
      </c>
      <c r="LK17" s="17">
        <v>0.30951297223486568</v>
      </c>
      <c r="LL17" s="17">
        <v>0.13117437245717431</v>
      </c>
      <c r="LM17" s="17">
        <v>0.47550710015725678</v>
      </c>
      <c r="LN17" s="17">
        <v>0.12954755776040386</v>
      </c>
      <c r="LO17" s="17">
        <v>0.49432620724364623</v>
      </c>
      <c r="LP17" s="17">
        <v>0.26536868456986812</v>
      </c>
      <c r="LQ17" s="17">
        <v>9.160395657853751E-2</v>
      </c>
      <c r="LR17" s="17">
        <v>0.34954141326020888</v>
      </c>
      <c r="LS17" s="17">
        <v>8.8728177094316144E-2</v>
      </c>
      <c r="LT17" s="17">
        <v>0.35737737996321772</v>
      </c>
      <c r="LU17" s="17">
        <v>0.22563495675921708</v>
      </c>
      <c r="LV17" s="17">
        <v>6.2740295705711838E-2</v>
      </c>
    </row>
    <row r="18" spans="1:334" s="4" customFormat="1" ht="14.25" x14ac:dyDescent="0.2">
      <c r="A18" s="16">
        <v>12</v>
      </c>
      <c r="B18" s="17" t="s">
        <v>685</v>
      </c>
      <c r="C18" s="18" t="s">
        <v>425</v>
      </c>
      <c r="D18" s="18" t="s">
        <v>103</v>
      </c>
      <c r="E18" s="18" t="s">
        <v>425</v>
      </c>
      <c r="F18" s="19" t="s">
        <v>104</v>
      </c>
      <c r="G18" s="19" t="s">
        <v>426</v>
      </c>
      <c r="H18" s="20">
        <v>-1</v>
      </c>
      <c r="I18" s="21">
        <v>33.35</v>
      </c>
      <c r="J18" s="22">
        <v>23.7896</v>
      </c>
      <c r="K18" s="20" t="s">
        <v>105</v>
      </c>
      <c r="L18" s="18">
        <v>0</v>
      </c>
      <c r="M18" s="18">
        <v>1</v>
      </c>
      <c r="N18" s="18" t="s">
        <v>425</v>
      </c>
      <c r="O18" s="23">
        <v>0</v>
      </c>
      <c r="P18" s="23">
        <v>0</v>
      </c>
      <c r="Q18" s="23">
        <v>3</v>
      </c>
      <c r="R18" s="23">
        <v>3</v>
      </c>
      <c r="S18" s="23">
        <v>0</v>
      </c>
      <c r="T18" s="23">
        <v>40</v>
      </c>
      <c r="U18" s="23">
        <v>0</v>
      </c>
      <c r="V18" s="23">
        <v>40</v>
      </c>
      <c r="W18" s="23">
        <v>0</v>
      </c>
      <c r="X18" s="18" t="s">
        <v>425</v>
      </c>
      <c r="Y18" s="17">
        <v>728.59589286960011</v>
      </c>
      <c r="Z18" s="17">
        <v>710.58533286960005</v>
      </c>
      <c r="AA18" s="17">
        <v>728.59589286960011</v>
      </c>
      <c r="AB18" s="17">
        <v>710.58533286960005</v>
      </c>
      <c r="AC18" s="17">
        <v>1290.2293128696001</v>
      </c>
      <c r="AD18" s="17">
        <v>1272.2187481856001</v>
      </c>
      <c r="AE18" s="17">
        <v>1254.2081835016002</v>
      </c>
      <c r="AF18" s="17">
        <v>1236.1976188176002</v>
      </c>
      <c r="AG18" s="17">
        <v>1216.1925334372002</v>
      </c>
      <c r="AH18" s="17">
        <v>1198.1819687532002</v>
      </c>
      <c r="AI18" s="17">
        <v>1106.1346246368003</v>
      </c>
      <c r="AJ18" s="17">
        <v>737.66591048680016</v>
      </c>
      <c r="AK18" s="17">
        <v>719.65534580280018</v>
      </c>
      <c r="AL18" s="17">
        <v>701.64478111880021</v>
      </c>
      <c r="AM18" s="17">
        <v>683.63421643480024</v>
      </c>
      <c r="AN18" s="17">
        <v>663.6291310544002</v>
      </c>
      <c r="AO18" s="17">
        <v>645.61856637040023</v>
      </c>
      <c r="AP18" s="17">
        <v>627.60800168640026</v>
      </c>
      <c r="AQ18" s="17">
        <v>609.59743700240028</v>
      </c>
      <c r="AR18" s="17">
        <v>591.58687231840031</v>
      </c>
      <c r="AS18" s="17">
        <v>607.60291630600022</v>
      </c>
      <c r="AT18" s="17">
        <v>589.59235162200025</v>
      </c>
      <c r="AU18" s="17">
        <v>553.57122738280009</v>
      </c>
      <c r="AV18" s="17">
        <v>571.58179206680006</v>
      </c>
      <c r="AW18" s="17">
        <v>737.66591048680016</v>
      </c>
      <c r="AX18" s="17">
        <v>719.65534580280018</v>
      </c>
      <c r="AY18" s="17">
        <v>701.64478111880021</v>
      </c>
      <c r="AZ18" s="17">
        <v>683.63421643480024</v>
      </c>
      <c r="BA18" s="17">
        <v>663.6291310544002</v>
      </c>
      <c r="BB18" s="17">
        <v>645.61856637040023</v>
      </c>
      <c r="BC18" s="17">
        <v>627.60800168640026</v>
      </c>
      <c r="BD18" s="17">
        <v>609.59743700240028</v>
      </c>
      <c r="BE18" s="17">
        <v>591.58687231840031</v>
      </c>
      <c r="BF18" s="17">
        <v>607.60291630600022</v>
      </c>
      <c r="BG18" s="17">
        <v>589.59235162200025</v>
      </c>
      <c r="BH18" s="17">
        <v>551.55557738280004</v>
      </c>
      <c r="BI18" s="17">
        <v>569.56614206680001</v>
      </c>
      <c r="BJ18" s="17">
        <v>55.0547752254</v>
      </c>
      <c r="BK18" s="17">
        <v>57.070425289800006</v>
      </c>
      <c r="BL18" s="17">
        <v>69.070425289799999</v>
      </c>
      <c r="BM18" s="17">
        <v>71.086075354200005</v>
      </c>
      <c r="BN18" s="17">
        <v>81.070425289799999</v>
      </c>
      <c r="BO18" s="17">
        <v>83.086075354200005</v>
      </c>
      <c r="BP18" s="17">
        <v>85.101725418599997</v>
      </c>
      <c r="BQ18" s="17">
        <v>95.086075354200005</v>
      </c>
      <c r="BR18" s="17">
        <v>97.101725418599997</v>
      </c>
      <c r="BS18" s="17">
        <v>99.117375483000004</v>
      </c>
      <c r="BT18" s="17">
        <v>109.1017254186</v>
      </c>
      <c r="BU18" s="17">
        <v>111.117375483</v>
      </c>
      <c r="BV18" s="17">
        <v>113.13302554740001</v>
      </c>
      <c r="BW18" s="17">
        <v>123.117375483</v>
      </c>
      <c r="BX18" s="17">
        <v>125.13302554740001</v>
      </c>
      <c r="BY18" s="17">
        <v>127.1486756118</v>
      </c>
      <c r="BZ18" s="17">
        <v>137.1330255474</v>
      </c>
      <c r="CA18" s="17">
        <v>139.1486756118</v>
      </c>
      <c r="CB18" s="17">
        <v>141.16432567620001</v>
      </c>
      <c r="CC18" s="17">
        <v>149.1330255474</v>
      </c>
      <c r="CD18" s="17">
        <v>151.1486756118</v>
      </c>
      <c r="CE18" s="17">
        <v>153.16432567620001</v>
      </c>
      <c r="CF18" s="17">
        <v>155.17997574060001</v>
      </c>
      <c r="CG18" s="17">
        <v>163.1486756118</v>
      </c>
      <c r="CH18" s="17">
        <v>165.16432567620001</v>
      </c>
      <c r="CI18" s="17">
        <v>167.17997574060001</v>
      </c>
      <c r="CJ18" s="17">
        <v>169.19562580499999</v>
      </c>
      <c r="CK18" s="17">
        <v>177.16432567620001</v>
      </c>
      <c r="CL18" s="17">
        <v>179.17997574060001</v>
      </c>
      <c r="CM18" s="17">
        <v>181.19562580499999</v>
      </c>
      <c r="CN18" s="17">
        <v>183.2112758694</v>
      </c>
      <c r="CO18" s="17">
        <v>191.17997574060001</v>
      </c>
      <c r="CP18" s="17">
        <v>193.19562580499999</v>
      </c>
      <c r="CQ18" s="17">
        <v>195.2112758694</v>
      </c>
      <c r="CR18" s="17">
        <v>197.2269259338</v>
      </c>
      <c r="CS18" s="17">
        <v>205.19562580499999</v>
      </c>
      <c r="CT18" s="17">
        <v>207.2112758694</v>
      </c>
      <c r="CU18" s="17">
        <v>209.2269259338</v>
      </c>
      <c r="CV18" s="17">
        <v>211.24257599820001</v>
      </c>
      <c r="CW18" s="17">
        <v>217.19562580499999</v>
      </c>
      <c r="CX18" s="17">
        <v>219.2112758694</v>
      </c>
      <c r="CY18" s="17">
        <v>221.2269259338</v>
      </c>
      <c r="CZ18" s="17">
        <v>223.24257599820001</v>
      </c>
      <c r="DA18" s="17">
        <v>225.25822606260002</v>
      </c>
      <c r="DB18" s="17">
        <v>231.2112758694</v>
      </c>
      <c r="DC18" s="17">
        <v>233.2269259338</v>
      </c>
      <c r="DD18" s="17">
        <v>235.24257599820001</v>
      </c>
      <c r="DE18" s="17">
        <v>237.25822606260002</v>
      </c>
      <c r="DF18" s="17">
        <v>239.27387612699999</v>
      </c>
      <c r="DG18" s="17">
        <v>245.2269259338</v>
      </c>
      <c r="DH18" s="17">
        <v>247.24257599820001</v>
      </c>
      <c r="DI18" s="17">
        <v>249.25822606260002</v>
      </c>
      <c r="DJ18" s="17">
        <v>251.27387612699999</v>
      </c>
      <c r="DK18" s="17">
        <v>253.2895261914</v>
      </c>
      <c r="DL18" s="17">
        <v>259.24257599819998</v>
      </c>
      <c r="DM18" s="17">
        <v>261.25822606259999</v>
      </c>
      <c r="DN18" s="17">
        <v>263.27387612699999</v>
      </c>
      <c r="DO18" s="17">
        <v>265.2895261914</v>
      </c>
      <c r="DP18" s="17">
        <v>267.30517625580001</v>
      </c>
      <c r="DQ18" s="17">
        <v>273.25822606259999</v>
      </c>
      <c r="DR18" s="17">
        <v>55.0547752254</v>
      </c>
      <c r="DS18" s="17">
        <v>57.070425289800006</v>
      </c>
      <c r="DT18" s="17">
        <v>69.070425289799999</v>
      </c>
      <c r="DU18" s="17">
        <v>71.086075354200005</v>
      </c>
      <c r="DV18" s="17">
        <v>81.070425289799999</v>
      </c>
      <c r="DW18" s="17">
        <v>83.086075354200005</v>
      </c>
      <c r="DX18" s="17">
        <v>85.101725418599997</v>
      </c>
      <c r="DY18" s="17">
        <v>95.086075354200005</v>
      </c>
      <c r="DZ18" s="17">
        <v>97.101725418599997</v>
      </c>
      <c r="EA18" s="17">
        <v>99.117375483000004</v>
      </c>
      <c r="EB18" s="17">
        <v>109.1017254186</v>
      </c>
      <c r="EC18" s="17">
        <v>111.117375483</v>
      </c>
      <c r="ED18" s="17">
        <v>113.13302554740001</v>
      </c>
      <c r="EE18" s="17">
        <v>123.117375483</v>
      </c>
      <c r="EF18" s="17">
        <v>125.13302554740001</v>
      </c>
      <c r="EG18" s="17">
        <v>127.1486756118</v>
      </c>
      <c r="EH18" s="17">
        <v>137.1330255474</v>
      </c>
      <c r="EI18" s="17">
        <v>139.1486756118</v>
      </c>
      <c r="EJ18" s="17">
        <v>141.16432567620001</v>
      </c>
      <c r="EK18" s="17">
        <v>149.1330255474</v>
      </c>
      <c r="EL18" s="17">
        <v>151.1486756118</v>
      </c>
      <c r="EM18" s="17">
        <v>153.16432567620001</v>
      </c>
      <c r="EN18" s="17">
        <v>155.17997574060001</v>
      </c>
      <c r="EO18" s="17">
        <v>163.1486756118</v>
      </c>
      <c r="EP18" s="17">
        <v>165.16432567620001</v>
      </c>
      <c r="EQ18" s="17">
        <v>167.17997574060001</v>
      </c>
      <c r="ER18" s="17">
        <v>169.19562580499999</v>
      </c>
      <c r="ES18" s="17">
        <v>177.16432567620001</v>
      </c>
      <c r="ET18" s="17">
        <v>179.17997574060001</v>
      </c>
      <c r="EU18" s="17">
        <v>181.19562580499999</v>
      </c>
      <c r="EV18" s="17">
        <v>183.2112758694</v>
      </c>
      <c r="EW18" s="17">
        <v>191.17997574060001</v>
      </c>
      <c r="EX18" s="17">
        <v>193.19562580499999</v>
      </c>
      <c r="EY18" s="17">
        <v>195.2112758694</v>
      </c>
      <c r="EZ18" s="17">
        <v>197.2269259338</v>
      </c>
      <c r="FA18" s="17">
        <v>205.19562580499999</v>
      </c>
      <c r="FB18" s="17">
        <v>207.2112758694</v>
      </c>
      <c r="FC18" s="17">
        <v>209.2269259338</v>
      </c>
      <c r="FD18" s="17">
        <v>211.24257599820001</v>
      </c>
      <c r="FE18" s="17">
        <v>217.19562580499999</v>
      </c>
      <c r="FF18" s="17">
        <v>219.2112758694</v>
      </c>
      <c r="FG18" s="17">
        <v>221.2269259338</v>
      </c>
      <c r="FH18" s="17">
        <v>223.24257599820001</v>
      </c>
      <c r="FI18" s="17">
        <v>225.25822606260002</v>
      </c>
      <c r="FJ18" s="17">
        <v>231.2112758694</v>
      </c>
      <c r="FK18" s="17">
        <v>233.2269259338</v>
      </c>
      <c r="FL18" s="17">
        <v>235.24257599820001</v>
      </c>
      <c r="FM18" s="17">
        <v>237.25822606260002</v>
      </c>
      <c r="FN18" s="17">
        <v>239.27387612699999</v>
      </c>
      <c r="FO18" s="17">
        <v>245.2269259338</v>
      </c>
      <c r="FP18" s="17">
        <v>247.24257599820001</v>
      </c>
      <c r="FQ18" s="17">
        <v>249.25822606260002</v>
      </c>
      <c r="FR18" s="17">
        <v>251.27387612699999</v>
      </c>
      <c r="FS18" s="17">
        <v>253.2895261914</v>
      </c>
      <c r="FT18" s="17">
        <v>259.24257599819998</v>
      </c>
      <c r="FU18" s="17">
        <v>261.25822606259999</v>
      </c>
      <c r="FV18" s="17">
        <v>263.27387612699999</v>
      </c>
      <c r="FW18" s="17">
        <v>265.2895261914</v>
      </c>
      <c r="FX18" s="17">
        <v>267.30517625580001</v>
      </c>
      <c r="FY18" s="17">
        <v>273.25822606259999</v>
      </c>
      <c r="FZ18" s="17">
        <v>117.61470249999999</v>
      </c>
      <c r="GA18" s="17">
        <v>14.701837812499999</v>
      </c>
      <c r="GB18" s="17">
        <v>1.8377297265624999</v>
      </c>
      <c r="GC18" s="17">
        <v>0.91886486328124994</v>
      </c>
      <c r="GD18" s="17">
        <v>3.1457280000000019</v>
      </c>
      <c r="GE18" s="17">
        <v>2</v>
      </c>
      <c r="GF18" s="17">
        <v>0</v>
      </c>
      <c r="GG18" s="17">
        <v>40.960000000000008</v>
      </c>
      <c r="GH18" s="17">
        <v>22.75555555555556</v>
      </c>
      <c r="GI18" s="17">
        <v>15.92888888888889</v>
      </c>
      <c r="GJ18" s="17">
        <v>5.3096296296296304</v>
      </c>
      <c r="GK18" s="17">
        <v>29.160000000000004</v>
      </c>
      <c r="GL18" s="17">
        <v>29.160000000000004</v>
      </c>
      <c r="GM18" s="17">
        <v>14.580000000000002</v>
      </c>
      <c r="GN18" s="17">
        <v>29.160000000000004</v>
      </c>
      <c r="GO18" s="17">
        <v>5.8320000000000007</v>
      </c>
      <c r="GP18" s="17">
        <v>15</v>
      </c>
      <c r="GQ18" s="17">
        <v>3.75</v>
      </c>
      <c r="GR18" s="17">
        <v>31.103999999999999</v>
      </c>
      <c r="GS18" s="17">
        <v>15.552</v>
      </c>
      <c r="GT18" s="17">
        <v>40.960000000000008</v>
      </c>
      <c r="GU18" s="17">
        <v>22.75555555555556</v>
      </c>
      <c r="GV18" s="17">
        <v>15.92888888888889</v>
      </c>
      <c r="GW18" s="17">
        <v>5.3096296296296304</v>
      </c>
      <c r="GX18" s="17">
        <v>29.160000000000004</v>
      </c>
      <c r="GY18" s="17">
        <v>29.160000000000004</v>
      </c>
      <c r="GZ18" s="17">
        <v>14.580000000000002</v>
      </c>
      <c r="HA18" s="17">
        <v>29.160000000000004</v>
      </c>
      <c r="HB18" s="17">
        <v>5.8320000000000007</v>
      </c>
      <c r="HC18" s="17">
        <v>15</v>
      </c>
      <c r="HD18" s="17">
        <v>3.75</v>
      </c>
      <c r="HE18" s="17">
        <v>31.103999999999999</v>
      </c>
      <c r="HF18" s="17">
        <v>15.552</v>
      </c>
      <c r="HG18" s="17">
        <v>0.476837158203125</v>
      </c>
      <c r="HH18" s="17">
        <v>1.5708885696404189</v>
      </c>
      <c r="HI18" s="17">
        <v>1.4551915228366852</v>
      </c>
      <c r="HJ18" s="17">
        <v>1.9523640191169775</v>
      </c>
      <c r="HK18" s="17">
        <v>1.0862946510314941</v>
      </c>
      <c r="HL18" s="17">
        <v>3.6209821701049805</v>
      </c>
      <c r="HM18" s="17">
        <v>2.1848436788802914</v>
      </c>
      <c r="HN18" s="17">
        <v>2.7392292395234108</v>
      </c>
      <c r="HO18" s="17">
        <v>12.361758929757904</v>
      </c>
      <c r="HP18" s="17">
        <v>1.6436902594446974</v>
      </c>
      <c r="HQ18" s="17">
        <v>6.103515625</v>
      </c>
      <c r="HR18" s="17">
        <v>15.2587890625</v>
      </c>
      <c r="HS18" s="17">
        <v>0.73551647132453335</v>
      </c>
      <c r="HT18" s="17">
        <v>4.7741965521823628</v>
      </c>
      <c r="HU18" s="17">
        <v>12.361758929757904</v>
      </c>
      <c r="HV18" s="17">
        <v>0.83568502503413755</v>
      </c>
      <c r="HW18" s="17">
        <v>3.7011818562559</v>
      </c>
      <c r="HX18" s="17">
        <v>9.938358688094544</v>
      </c>
      <c r="HY18" s="17">
        <v>0.94455863108784721</v>
      </c>
      <c r="HZ18" s="17">
        <v>2.6171307889631601</v>
      </c>
      <c r="IA18" s="17">
        <v>2.8418916187052878</v>
      </c>
      <c r="IB18" s="17">
        <v>7.9245054752358994</v>
      </c>
      <c r="IC18" s="17">
        <v>1.0625</v>
      </c>
      <c r="ID18" s="17">
        <v>2.0095208349837232</v>
      </c>
      <c r="IE18" s="17">
        <v>2.1596040642437933</v>
      </c>
      <c r="IF18" s="17">
        <v>6.2628517863070012</v>
      </c>
      <c r="IG18" s="17">
        <v>0.94455863108784721</v>
      </c>
      <c r="IH18" s="17">
        <v>1.5270706785048145</v>
      </c>
      <c r="II18" s="17">
        <v>1.6228290277881319</v>
      </c>
      <c r="IJ18" s="17">
        <v>4.9022960214433144</v>
      </c>
      <c r="IK18" s="17">
        <v>0.83568502503413755</v>
      </c>
      <c r="IL18" s="17">
        <v>1.1475134102553601</v>
      </c>
      <c r="IM18" s="17">
        <v>1.2047277872548898</v>
      </c>
      <c r="IN18" s="17">
        <v>3.7975115033034568</v>
      </c>
      <c r="IO18" s="17">
        <v>0.73551647132453335</v>
      </c>
      <c r="IP18" s="17">
        <v>0.85187118785179694</v>
      </c>
      <c r="IQ18" s="17">
        <v>0.8825774788777353</v>
      </c>
      <c r="IR18" s="17">
        <v>2.908493964483446</v>
      </c>
      <c r="IS18" s="17">
        <v>0.64369025944469738</v>
      </c>
      <c r="IT18" s="17">
        <v>0.62407652023697346</v>
      </c>
      <c r="IU18" s="17">
        <v>2.0566158053263899</v>
      </c>
      <c r="IV18" s="17">
        <v>0.63727831174455729</v>
      </c>
      <c r="IW18" s="17">
        <v>2.2001275048323996</v>
      </c>
      <c r="IX18" s="17">
        <v>0.5598436788802913</v>
      </c>
      <c r="IY18" s="17">
        <v>0.45062381573769106</v>
      </c>
      <c r="IZ18" s="17">
        <v>1.5557250781420282</v>
      </c>
      <c r="JA18" s="17">
        <v>0.45290179825370042</v>
      </c>
      <c r="JB18" s="17">
        <v>1.6417690186696638</v>
      </c>
      <c r="JC18" s="17">
        <v>0.4836140191169776</v>
      </c>
      <c r="JD18" s="17">
        <v>0.32024993275677321</v>
      </c>
      <c r="JE18" s="17">
        <v>1.1609060062433028</v>
      </c>
      <c r="JF18" s="17">
        <v>0.31627821718848598</v>
      </c>
      <c r="JG18" s="17">
        <v>1.2068510919034332</v>
      </c>
      <c r="JH18" s="17">
        <v>0.4146385696404189</v>
      </c>
      <c r="JI18" s="17">
        <v>0.22364247211557009</v>
      </c>
      <c r="JJ18" s="17">
        <v>0.85337259096730689</v>
      </c>
      <c r="JK18" s="17">
        <v>0.21662152610917026</v>
      </c>
      <c r="JL18" s="17">
        <v>0.8725033690508246</v>
      </c>
      <c r="JM18" s="17">
        <v>0.35255461993627668</v>
      </c>
      <c r="JN18" s="17">
        <v>0.15317455006277303</v>
      </c>
      <c r="JO18" s="17">
        <v>0.476837158203125</v>
      </c>
      <c r="JP18" s="17">
        <v>1.5708885696404189</v>
      </c>
      <c r="JQ18" s="17">
        <v>1.4551915228366852</v>
      </c>
      <c r="JR18" s="17">
        <v>1.9523640191169775</v>
      </c>
      <c r="JS18" s="17">
        <v>1.0862946510314941</v>
      </c>
      <c r="JT18" s="17">
        <v>3.6209821701049805</v>
      </c>
      <c r="JU18" s="17">
        <v>2.1848436788802914</v>
      </c>
      <c r="JV18" s="17">
        <v>2.7392292395234108</v>
      </c>
      <c r="JW18" s="17">
        <v>12.361758929757904</v>
      </c>
      <c r="JX18" s="17">
        <v>1.6436902594446974</v>
      </c>
      <c r="JY18" s="17">
        <v>6.103515625</v>
      </c>
      <c r="JZ18" s="17">
        <v>15.2587890625</v>
      </c>
      <c r="KA18" s="17">
        <v>0.73551647132453335</v>
      </c>
      <c r="KB18" s="17">
        <v>4.7741965521823628</v>
      </c>
      <c r="KC18" s="17">
        <v>12.361758929757904</v>
      </c>
      <c r="KD18" s="17">
        <v>0.83568502503413755</v>
      </c>
      <c r="KE18" s="17">
        <v>3.7011818562559</v>
      </c>
      <c r="KF18" s="17">
        <v>9.938358688094544</v>
      </c>
      <c r="KG18" s="17">
        <v>0.94455863108784721</v>
      </c>
      <c r="KH18" s="17">
        <v>2.6171307889631601</v>
      </c>
      <c r="KI18" s="17">
        <v>2.8418916187052878</v>
      </c>
      <c r="KJ18" s="17">
        <v>7.9245054752358994</v>
      </c>
      <c r="KK18" s="17">
        <v>1.0625</v>
      </c>
      <c r="KL18" s="17">
        <v>2.0095208349837232</v>
      </c>
      <c r="KM18" s="17">
        <v>2.1596040642437933</v>
      </c>
      <c r="KN18" s="17">
        <v>6.2628517863070012</v>
      </c>
      <c r="KO18" s="17">
        <v>0.94455863108784721</v>
      </c>
      <c r="KP18" s="17">
        <v>1.5270706785048145</v>
      </c>
      <c r="KQ18" s="17">
        <v>1.6228290277881319</v>
      </c>
      <c r="KR18" s="17">
        <v>4.9022960214433144</v>
      </c>
      <c r="KS18" s="17">
        <v>0.83568502503413755</v>
      </c>
      <c r="KT18" s="17">
        <v>1.1475134102553601</v>
      </c>
      <c r="KU18" s="17">
        <v>1.2047277872548898</v>
      </c>
      <c r="KV18" s="17">
        <v>3.7975115033034568</v>
      </c>
      <c r="KW18" s="17">
        <v>0.73551647132453335</v>
      </c>
      <c r="KX18" s="17">
        <v>0.85187118785179694</v>
      </c>
      <c r="KY18" s="17">
        <v>0.8825774788777353</v>
      </c>
      <c r="KZ18" s="17">
        <v>2.908493964483446</v>
      </c>
      <c r="LA18" s="17">
        <v>0.64369025944469738</v>
      </c>
      <c r="LB18" s="17">
        <v>0.62407652023697346</v>
      </c>
      <c r="LC18" s="17">
        <v>2.0566158053263899</v>
      </c>
      <c r="LD18" s="17">
        <v>0.63727831174455729</v>
      </c>
      <c r="LE18" s="17">
        <v>2.2001275048323996</v>
      </c>
      <c r="LF18" s="17">
        <v>0.5598436788802913</v>
      </c>
      <c r="LG18" s="17">
        <v>0.45062381573769106</v>
      </c>
      <c r="LH18" s="17">
        <v>1.5557250781420282</v>
      </c>
      <c r="LI18" s="17">
        <v>0.45290179825370042</v>
      </c>
      <c r="LJ18" s="17">
        <v>1.6417690186696638</v>
      </c>
      <c r="LK18" s="17">
        <v>0.4836140191169776</v>
      </c>
      <c r="LL18" s="17">
        <v>0.32024993275677321</v>
      </c>
      <c r="LM18" s="17">
        <v>1.1609060062433028</v>
      </c>
      <c r="LN18" s="17">
        <v>0.31627821718848598</v>
      </c>
      <c r="LO18" s="17">
        <v>1.2068510919034332</v>
      </c>
      <c r="LP18" s="17">
        <v>0.4146385696404189</v>
      </c>
      <c r="LQ18" s="17">
        <v>0.22364247211557009</v>
      </c>
      <c r="LR18" s="17">
        <v>0.85337259096730689</v>
      </c>
      <c r="LS18" s="17">
        <v>0.21662152610917026</v>
      </c>
      <c r="LT18" s="17">
        <v>0.8725033690508246</v>
      </c>
      <c r="LU18" s="17">
        <v>0.35255461993627668</v>
      </c>
      <c r="LV18" s="17">
        <v>0.15317455006277303</v>
      </c>
    </row>
    <row r="19" spans="1:334" s="4" customFormat="1" ht="14.25" x14ac:dyDescent="0.2">
      <c r="A19" s="16">
        <v>13</v>
      </c>
      <c r="B19" s="17" t="s">
        <v>685</v>
      </c>
      <c r="C19" s="18" t="s">
        <v>427</v>
      </c>
      <c r="D19" s="18" t="s">
        <v>103</v>
      </c>
      <c r="E19" s="18" t="s">
        <v>427</v>
      </c>
      <c r="F19" s="19" t="s">
        <v>106</v>
      </c>
      <c r="G19" s="19" t="s">
        <v>428</v>
      </c>
      <c r="H19" s="20">
        <v>-1</v>
      </c>
      <c r="I19" s="21">
        <v>33.130000000000003</v>
      </c>
      <c r="J19" s="22">
        <v>23.7896</v>
      </c>
      <c r="K19" s="20" t="s">
        <v>107</v>
      </c>
      <c r="L19" s="18">
        <v>0</v>
      </c>
      <c r="M19" s="18">
        <v>2</v>
      </c>
      <c r="N19" s="18" t="s">
        <v>427</v>
      </c>
      <c r="O19" s="23">
        <v>0</v>
      </c>
      <c r="P19" s="23">
        <v>0</v>
      </c>
      <c r="Q19" s="23">
        <v>2</v>
      </c>
      <c r="R19" s="23">
        <v>4</v>
      </c>
      <c r="S19" s="23">
        <v>0</v>
      </c>
      <c r="T19" s="23">
        <v>40</v>
      </c>
      <c r="U19" s="23">
        <v>0</v>
      </c>
      <c r="V19" s="23">
        <v>40</v>
      </c>
      <c r="W19" s="23">
        <v>0</v>
      </c>
      <c r="X19" s="18" t="s">
        <v>427</v>
      </c>
      <c r="Y19" s="17">
        <v>728.59589286960011</v>
      </c>
      <c r="Z19" s="17">
        <v>710.58533286960005</v>
      </c>
      <c r="AA19" s="17">
        <v>728.59589286960011</v>
      </c>
      <c r="AB19" s="17">
        <v>710.58533286960005</v>
      </c>
      <c r="AC19" s="17">
        <v>1290.2293128696001</v>
      </c>
      <c r="AD19" s="17">
        <v>1272.2187481856001</v>
      </c>
      <c r="AE19" s="17">
        <v>1254.2081835016002</v>
      </c>
      <c r="AF19" s="17">
        <v>1236.1976188176002</v>
      </c>
      <c r="AG19" s="17">
        <v>1216.1925334372002</v>
      </c>
      <c r="AH19" s="17">
        <v>1198.1819687532002</v>
      </c>
      <c r="AI19" s="17">
        <v>1106.1346246368003</v>
      </c>
      <c r="AJ19" s="17">
        <v>735.65026042240015</v>
      </c>
      <c r="AK19" s="17">
        <v>717.63969573840018</v>
      </c>
      <c r="AL19" s="17">
        <v>699.6291310544002</v>
      </c>
      <c r="AM19" s="17">
        <v>681.61856637040023</v>
      </c>
      <c r="AN19" s="17">
        <v>661.6134809900002</v>
      </c>
      <c r="AO19" s="17">
        <v>643.60291630600022</v>
      </c>
      <c r="AP19" s="17">
        <v>625.59235162200025</v>
      </c>
      <c r="AQ19" s="17">
        <v>607.58178693800028</v>
      </c>
      <c r="AR19" s="17">
        <v>589.5712222540003</v>
      </c>
      <c r="AS19" s="17">
        <v>605.58726624160022</v>
      </c>
      <c r="AT19" s="17">
        <v>587.57670155760024</v>
      </c>
      <c r="AU19" s="17">
        <v>553.57122744720004</v>
      </c>
      <c r="AV19" s="17">
        <v>571.58179213120002</v>
      </c>
      <c r="AW19" s="17">
        <v>739.68156055120016</v>
      </c>
      <c r="AX19" s="17">
        <v>721.67099586720019</v>
      </c>
      <c r="AY19" s="17">
        <v>703.66043118320022</v>
      </c>
      <c r="AZ19" s="17">
        <v>685.64986649920024</v>
      </c>
      <c r="BA19" s="17">
        <v>665.64478111880021</v>
      </c>
      <c r="BB19" s="17">
        <v>647.63421643480024</v>
      </c>
      <c r="BC19" s="17">
        <v>629.62365175080026</v>
      </c>
      <c r="BD19" s="17">
        <v>611.61308706680029</v>
      </c>
      <c r="BE19" s="17">
        <v>593.60252238280032</v>
      </c>
      <c r="BF19" s="17">
        <v>609.61856637040023</v>
      </c>
      <c r="BG19" s="17">
        <v>591.60800168640026</v>
      </c>
      <c r="BH19" s="17">
        <v>549.53992731840003</v>
      </c>
      <c r="BI19" s="17">
        <v>567.55049200240001</v>
      </c>
      <c r="BJ19" s="17">
        <v>55.0547752254</v>
      </c>
      <c r="BK19" s="17">
        <v>57.070425289800006</v>
      </c>
      <c r="BL19" s="17">
        <v>69.070425289799999</v>
      </c>
      <c r="BM19" s="17">
        <v>71.086075354200005</v>
      </c>
      <c r="BN19" s="17">
        <v>81.070425289799999</v>
      </c>
      <c r="BO19" s="17">
        <v>83.086075354200005</v>
      </c>
      <c r="BP19" s="17">
        <v>85.101725418599997</v>
      </c>
      <c r="BQ19" s="17">
        <v>95.086075354200005</v>
      </c>
      <c r="BR19" s="17">
        <v>97.101725418599997</v>
      </c>
      <c r="BS19" s="17">
        <v>99.117375483000004</v>
      </c>
      <c r="BT19" s="17">
        <v>109.1017254186</v>
      </c>
      <c r="BU19" s="17">
        <v>111.117375483</v>
      </c>
      <c r="BV19" s="17">
        <v>113.13302554740001</v>
      </c>
      <c r="BW19" s="17">
        <v>123.117375483</v>
      </c>
      <c r="BX19" s="17">
        <v>125.13302554740001</v>
      </c>
      <c r="BY19" s="17">
        <v>127.1486756118</v>
      </c>
      <c r="BZ19" s="17">
        <v>137.1330255474</v>
      </c>
      <c r="CA19" s="17">
        <v>139.1486756118</v>
      </c>
      <c r="CB19" s="17">
        <v>141.16432567620001</v>
      </c>
      <c r="CC19" s="17">
        <v>149.1330255474</v>
      </c>
      <c r="CD19" s="17">
        <v>151.1486756118</v>
      </c>
      <c r="CE19" s="17">
        <v>153.16432567620001</v>
      </c>
      <c r="CF19" s="17">
        <v>155.17997574060001</v>
      </c>
      <c r="CG19" s="17">
        <v>163.1486756118</v>
      </c>
      <c r="CH19" s="17">
        <v>165.16432567620001</v>
      </c>
      <c r="CI19" s="17">
        <v>167.17997574060001</v>
      </c>
      <c r="CJ19" s="17">
        <v>169.19562580499999</v>
      </c>
      <c r="CK19" s="17">
        <v>177.16432567620001</v>
      </c>
      <c r="CL19" s="17">
        <v>179.17997574060001</v>
      </c>
      <c r="CM19" s="17">
        <v>181.19562580499999</v>
      </c>
      <c r="CN19" s="17">
        <v>183.2112758694</v>
      </c>
      <c r="CO19" s="17">
        <v>191.17997574060001</v>
      </c>
      <c r="CP19" s="17">
        <v>193.19562580499999</v>
      </c>
      <c r="CQ19" s="17">
        <v>195.2112758694</v>
      </c>
      <c r="CR19" s="17">
        <v>197.2269259338</v>
      </c>
      <c r="CS19" s="17">
        <v>205.19562580499999</v>
      </c>
      <c r="CT19" s="17">
        <v>207.2112758694</v>
      </c>
      <c r="CU19" s="17">
        <v>209.2269259338</v>
      </c>
      <c r="CV19" s="17">
        <v>211.24257599820001</v>
      </c>
      <c r="CW19" s="17">
        <v>219.2112758694</v>
      </c>
      <c r="CX19" s="17">
        <v>221.2269259338</v>
      </c>
      <c r="CY19" s="17">
        <v>223.24257599820001</v>
      </c>
      <c r="CZ19" s="17">
        <v>225.25822606260002</v>
      </c>
      <c r="DA19" s="17">
        <v>233.2269259338</v>
      </c>
      <c r="DB19" s="17">
        <v>235.24257599820001</v>
      </c>
      <c r="DC19" s="17">
        <v>237.25822606260002</v>
      </c>
      <c r="DD19" s="17">
        <v>239.27387612699999</v>
      </c>
      <c r="DE19" s="17">
        <v>247.24257599820001</v>
      </c>
      <c r="DF19" s="17">
        <v>249.25822606260002</v>
      </c>
      <c r="DG19" s="17">
        <v>251.27387612699999</v>
      </c>
      <c r="DH19" s="17">
        <v>253.2895261914</v>
      </c>
      <c r="DI19" s="17">
        <v>261.25822606259999</v>
      </c>
      <c r="DJ19" s="17">
        <v>263.27387612699999</v>
      </c>
      <c r="DK19" s="17">
        <v>265.2895261914</v>
      </c>
      <c r="DL19" s="17">
        <v>267.30517625580001</v>
      </c>
      <c r="DM19" s="17">
        <v>275.27387612699999</v>
      </c>
      <c r="DN19" s="17">
        <v>277.2895261914</v>
      </c>
      <c r="DO19" s="17">
        <v>279.30517625580001</v>
      </c>
      <c r="DP19" s="17">
        <v>281.32082632020001</v>
      </c>
      <c r="DQ19" s="17">
        <v>289.2895261914</v>
      </c>
      <c r="DR19" s="17">
        <v>55.0547752254</v>
      </c>
      <c r="DS19" s="17">
        <v>57.070425289800006</v>
      </c>
      <c r="DT19" s="17">
        <v>69.070425289799999</v>
      </c>
      <c r="DU19" s="17">
        <v>71.086075354200005</v>
      </c>
      <c r="DV19" s="17">
        <v>81.070425289799999</v>
      </c>
      <c r="DW19" s="17">
        <v>83.086075354200005</v>
      </c>
      <c r="DX19" s="17">
        <v>85.101725418599997</v>
      </c>
      <c r="DY19" s="17">
        <v>95.086075354200005</v>
      </c>
      <c r="DZ19" s="17">
        <v>97.101725418599997</v>
      </c>
      <c r="EA19" s="17">
        <v>99.117375483000004</v>
      </c>
      <c r="EB19" s="17">
        <v>109.1017254186</v>
      </c>
      <c r="EC19" s="17">
        <v>111.117375483</v>
      </c>
      <c r="ED19" s="17">
        <v>113.13302554740001</v>
      </c>
      <c r="EE19" s="17">
        <v>123.117375483</v>
      </c>
      <c r="EF19" s="17">
        <v>125.13302554740001</v>
      </c>
      <c r="EG19" s="17">
        <v>127.1486756118</v>
      </c>
      <c r="EH19" s="17">
        <v>137.1330255474</v>
      </c>
      <c r="EI19" s="17">
        <v>139.1486756118</v>
      </c>
      <c r="EJ19" s="17">
        <v>141.16432567620001</v>
      </c>
      <c r="EK19" s="17">
        <v>149.1330255474</v>
      </c>
      <c r="EL19" s="17">
        <v>151.1486756118</v>
      </c>
      <c r="EM19" s="17">
        <v>153.16432567620001</v>
      </c>
      <c r="EN19" s="17">
        <v>155.17997574060001</v>
      </c>
      <c r="EO19" s="17">
        <v>163.1486756118</v>
      </c>
      <c r="EP19" s="17">
        <v>165.16432567620001</v>
      </c>
      <c r="EQ19" s="17">
        <v>167.17997574060001</v>
      </c>
      <c r="ER19" s="17">
        <v>169.19562580499999</v>
      </c>
      <c r="ES19" s="17">
        <v>177.16432567620001</v>
      </c>
      <c r="ET19" s="17">
        <v>179.17997574060001</v>
      </c>
      <c r="EU19" s="17">
        <v>181.19562580499999</v>
      </c>
      <c r="EV19" s="17">
        <v>183.2112758694</v>
      </c>
      <c r="EW19" s="17">
        <v>191.17997574060001</v>
      </c>
      <c r="EX19" s="17">
        <v>193.19562580499999</v>
      </c>
      <c r="EY19" s="17">
        <v>195.2112758694</v>
      </c>
      <c r="EZ19" s="17">
        <v>197.2269259338</v>
      </c>
      <c r="FA19" s="17">
        <v>205.19562580499999</v>
      </c>
      <c r="FB19" s="17">
        <v>207.2112758694</v>
      </c>
      <c r="FC19" s="17">
        <v>209.2269259338</v>
      </c>
      <c r="FD19" s="17">
        <v>211.24257599820001</v>
      </c>
      <c r="FE19" s="17">
        <v>217.19562580499999</v>
      </c>
      <c r="FF19" s="17">
        <v>219.2112758694</v>
      </c>
      <c r="FG19" s="17">
        <v>221.2269259338</v>
      </c>
      <c r="FH19" s="17">
        <v>223.24257599820001</v>
      </c>
      <c r="FI19" s="17">
        <v>225.25822606260002</v>
      </c>
      <c r="FJ19" s="17">
        <v>231.2112758694</v>
      </c>
      <c r="FK19" s="17">
        <v>233.2269259338</v>
      </c>
      <c r="FL19" s="17">
        <v>235.24257599820001</v>
      </c>
      <c r="FM19" s="17">
        <v>237.25822606260002</v>
      </c>
      <c r="FN19" s="17">
        <v>239.27387612699999</v>
      </c>
      <c r="FO19" s="17">
        <v>245.2269259338</v>
      </c>
      <c r="FP19" s="17">
        <v>247.24257599820001</v>
      </c>
      <c r="FQ19" s="17">
        <v>249.25822606260002</v>
      </c>
      <c r="FR19" s="17">
        <v>251.27387612699999</v>
      </c>
      <c r="FS19" s="17">
        <v>253.2895261914</v>
      </c>
      <c r="FT19" s="17">
        <v>259.24257599819998</v>
      </c>
      <c r="FU19" s="17">
        <v>261.25822606259999</v>
      </c>
      <c r="FV19" s="17">
        <v>263.27387612699999</v>
      </c>
      <c r="FW19" s="17">
        <v>265.2895261914</v>
      </c>
      <c r="FX19" s="17">
        <v>267.30517625580001</v>
      </c>
      <c r="FY19" s="17">
        <v>273.25822606259999</v>
      </c>
      <c r="FZ19" s="17">
        <v>117.61470249999999</v>
      </c>
      <c r="GA19" s="17">
        <v>14.701837812499999</v>
      </c>
      <c r="GB19" s="17">
        <v>1.8377297265624999</v>
      </c>
      <c r="GC19" s="17">
        <v>0.91886486328124994</v>
      </c>
      <c r="GD19" s="17">
        <v>3.1457280000000019</v>
      </c>
      <c r="GE19" s="17">
        <v>2</v>
      </c>
      <c r="GF19" s="17">
        <v>0</v>
      </c>
      <c r="GG19" s="17">
        <v>16.384000000000007</v>
      </c>
      <c r="GH19" s="17">
        <v>9.1022222222222258</v>
      </c>
      <c r="GI19" s="17">
        <v>6.3715555555555579</v>
      </c>
      <c r="GJ19" s="17">
        <v>2.1238518518518528</v>
      </c>
      <c r="GK19" s="17">
        <v>26.244000000000007</v>
      </c>
      <c r="GL19" s="17">
        <v>26.244000000000007</v>
      </c>
      <c r="GM19" s="17">
        <v>13.122000000000003</v>
      </c>
      <c r="GN19" s="17">
        <v>26.244000000000007</v>
      </c>
      <c r="GO19" s="17">
        <v>5.248800000000001</v>
      </c>
      <c r="GP19" s="17">
        <v>15</v>
      </c>
      <c r="GQ19" s="17">
        <v>3.75</v>
      </c>
      <c r="GR19" s="17">
        <v>25.919999999999998</v>
      </c>
      <c r="GS19" s="17">
        <v>12.959999999999999</v>
      </c>
      <c r="GT19" s="17">
        <v>51.20000000000001</v>
      </c>
      <c r="GU19" s="17">
        <v>28.44444444444445</v>
      </c>
      <c r="GV19" s="17">
        <v>19.911111111111115</v>
      </c>
      <c r="GW19" s="17">
        <v>6.6370370370370386</v>
      </c>
      <c r="GX19" s="17">
        <v>32.400000000000006</v>
      </c>
      <c r="GY19" s="17">
        <v>32.400000000000006</v>
      </c>
      <c r="GZ19" s="17">
        <v>16.200000000000003</v>
      </c>
      <c r="HA19" s="17">
        <v>32.400000000000006</v>
      </c>
      <c r="HB19" s="17">
        <v>6.4800000000000013</v>
      </c>
      <c r="HC19" s="17">
        <v>15</v>
      </c>
      <c r="HD19" s="17">
        <v>3.75</v>
      </c>
      <c r="HE19" s="17">
        <v>22.394879999999997</v>
      </c>
      <c r="HF19" s="17">
        <v>11.197439999999999</v>
      </c>
      <c r="HG19" s="17">
        <v>0.98876953125</v>
      </c>
      <c r="HH19" s="17">
        <v>2.1075056052866707</v>
      </c>
      <c r="HI19" s="17">
        <v>3.0174851417541504</v>
      </c>
      <c r="HJ19" s="17">
        <v>2.9708693673190716</v>
      </c>
      <c r="HK19" s="17">
        <v>2.2525405883789063</v>
      </c>
      <c r="HL19" s="17">
        <v>7.5084686279296875</v>
      </c>
      <c r="HM19" s="17">
        <v>3.4767591328242213</v>
      </c>
      <c r="HN19" s="17">
        <v>5.6800657510757446</v>
      </c>
      <c r="HO19" s="17">
        <v>25.633343316745989</v>
      </c>
      <c r="HP19" s="17">
        <v>2.1443382390127956</v>
      </c>
      <c r="HQ19" s="17">
        <v>12.65625</v>
      </c>
      <c r="HR19" s="17">
        <v>31.640625</v>
      </c>
      <c r="HS19" s="17">
        <v>1.3075848379102815</v>
      </c>
      <c r="HT19" s="17">
        <v>9.8997739706053487</v>
      </c>
      <c r="HU19" s="17">
        <v>25.633343316745989</v>
      </c>
      <c r="HV19" s="17">
        <v>1.4856622667273556</v>
      </c>
      <c r="HW19" s="17">
        <v>7.6747706971322343</v>
      </c>
      <c r="HX19" s="17">
        <v>20.608180575632847</v>
      </c>
      <c r="HY19" s="17">
        <v>1.6792153441561728</v>
      </c>
      <c r="HZ19" s="17">
        <v>5.4268824039940089</v>
      </c>
      <c r="IA19" s="17">
        <v>5.8929464605472841</v>
      </c>
      <c r="IB19" s="17">
        <v>16.432254553449162</v>
      </c>
      <c r="IC19" s="17">
        <v>1.8888888888888888</v>
      </c>
      <c r="ID19" s="17">
        <v>4.1669424034222482</v>
      </c>
      <c r="IE19" s="17">
        <v>4.4781549876159294</v>
      </c>
      <c r="IF19" s="17">
        <v>12.986649464086197</v>
      </c>
      <c r="IG19" s="17">
        <v>1.6792153441561728</v>
      </c>
      <c r="IH19" s="17">
        <v>3.1665337589475833</v>
      </c>
      <c r="II19" s="17">
        <v>3.3650982720214704</v>
      </c>
      <c r="IJ19" s="17">
        <v>10.165401030064857</v>
      </c>
      <c r="IK19" s="17">
        <v>1.4856622667273556</v>
      </c>
      <c r="IL19" s="17">
        <v>2.3794838075055149</v>
      </c>
      <c r="IM19" s="17">
        <v>2.4981235396517394</v>
      </c>
      <c r="IN19" s="17">
        <v>7.8745198532500478</v>
      </c>
      <c r="IO19" s="17">
        <v>1.3075848379102815</v>
      </c>
      <c r="IP19" s="17">
        <v>1.7664400951294859</v>
      </c>
      <c r="IQ19" s="17">
        <v>1.8301126602008719</v>
      </c>
      <c r="IR19" s="17">
        <v>6.031053084752874</v>
      </c>
      <c r="IS19" s="17">
        <v>1.1443382390127954</v>
      </c>
      <c r="IT19" s="17">
        <v>1.2940850723633883</v>
      </c>
      <c r="IU19" s="17">
        <v>1.321460307233514</v>
      </c>
      <c r="IV19" s="17">
        <v>4.5621843940204645</v>
      </c>
      <c r="IW19" s="17">
        <v>0.99527765134274004</v>
      </c>
      <c r="IX19" s="17">
        <v>0.93441354431367618</v>
      </c>
      <c r="IY19" s="17">
        <v>0.93913716885887322</v>
      </c>
      <c r="IZ19" s="17">
        <v>3.4043722371134146</v>
      </c>
      <c r="JA19" s="17">
        <v>0.8597582562079602</v>
      </c>
      <c r="JB19" s="17">
        <v>0.66407026056444496</v>
      </c>
      <c r="JC19" s="17">
        <v>0.6558345111620445</v>
      </c>
      <c r="JD19" s="17">
        <v>2.5025264241709593</v>
      </c>
      <c r="JE19" s="17">
        <v>0.73713523491630029</v>
      </c>
      <c r="JF19" s="17">
        <v>0.46374503017884611</v>
      </c>
      <c r="JG19" s="17">
        <v>0.4491863965399755</v>
      </c>
      <c r="JH19" s="17">
        <v>1.8092229860637898</v>
      </c>
      <c r="JI19" s="17">
        <v>0.62676376877560303</v>
      </c>
      <c r="JJ19" s="17">
        <v>0.31762274701016618</v>
      </c>
      <c r="JK19" s="17">
        <v>0.3010658590894742</v>
      </c>
      <c r="JL19" s="17">
        <v>1.283957340234521</v>
      </c>
      <c r="JM19" s="17">
        <v>0.52799903909371371</v>
      </c>
      <c r="JN19" s="17">
        <v>0.21288571054592076</v>
      </c>
      <c r="JO19" s="17">
        <v>0.1953125</v>
      </c>
      <c r="JP19" s="17">
        <v>1.3453686845698682</v>
      </c>
      <c r="JQ19" s="17">
        <v>0.59604644775390625</v>
      </c>
      <c r="JR19" s="17">
        <v>1.5495129722348657</v>
      </c>
      <c r="JS19" s="17">
        <v>0.4449462890625</v>
      </c>
      <c r="JT19" s="17">
        <v>1.483154296875</v>
      </c>
      <c r="JU19" s="17">
        <v>1.6782999544833865</v>
      </c>
      <c r="JV19" s="17">
        <v>1.1219882965087891</v>
      </c>
      <c r="JW19" s="17">
        <v>5.0633764576288378</v>
      </c>
      <c r="JX19" s="17">
        <v>1.4119617660446062</v>
      </c>
      <c r="JY19" s="17">
        <v>2.5</v>
      </c>
      <c r="JZ19" s="17">
        <v>6.25</v>
      </c>
      <c r="KA19" s="17">
        <v>0.47073054164770134</v>
      </c>
      <c r="KB19" s="17">
        <v>1.9555109077738959</v>
      </c>
      <c r="KC19" s="17">
        <v>5.0633764576288378</v>
      </c>
      <c r="KD19" s="17">
        <v>0.53483841602184801</v>
      </c>
      <c r="KE19" s="17">
        <v>1.5160040883224166</v>
      </c>
      <c r="KF19" s="17">
        <v>4.0707517186435256</v>
      </c>
      <c r="KG19" s="17">
        <v>0.60451752389622226</v>
      </c>
      <c r="KH19" s="17">
        <v>1.0719767711593104</v>
      </c>
      <c r="KI19" s="17">
        <v>1.1640388070216858</v>
      </c>
      <c r="KJ19" s="17">
        <v>3.2458774426566244</v>
      </c>
      <c r="KK19" s="17">
        <v>0.68</v>
      </c>
      <c r="KL19" s="17">
        <v>0.82309973400933301</v>
      </c>
      <c r="KM19" s="17">
        <v>0.88457382471425772</v>
      </c>
      <c r="KN19" s="17">
        <v>2.5652640916713478</v>
      </c>
      <c r="KO19" s="17">
        <v>0.60451752389622226</v>
      </c>
      <c r="KP19" s="17">
        <v>0.625488149915572</v>
      </c>
      <c r="KQ19" s="17">
        <v>0.66471076978201882</v>
      </c>
      <c r="KR19" s="17">
        <v>2.0079804503831817</v>
      </c>
      <c r="KS19" s="17">
        <v>0.53483841602184801</v>
      </c>
      <c r="KT19" s="17">
        <v>0.47002149284059552</v>
      </c>
      <c r="KU19" s="17">
        <v>0.49345650165960286</v>
      </c>
      <c r="KV19" s="17">
        <v>1.5554607117530959</v>
      </c>
      <c r="KW19" s="17">
        <v>0.47073054164770134</v>
      </c>
      <c r="KX19" s="17">
        <v>0.348926438544096</v>
      </c>
      <c r="KY19" s="17">
        <v>0.36150373534832037</v>
      </c>
      <c r="KZ19" s="17">
        <v>1.1913191278524196</v>
      </c>
      <c r="LA19" s="17">
        <v>0.41196176604460633</v>
      </c>
      <c r="LB19" s="17">
        <v>0.25562174268906435</v>
      </c>
      <c r="LC19" s="17">
        <v>0.84238983386168942</v>
      </c>
      <c r="LD19" s="17">
        <v>0.26102919649057066</v>
      </c>
      <c r="LE19" s="17">
        <v>0.90117222597935098</v>
      </c>
      <c r="LF19" s="17">
        <v>0.35829995448338642</v>
      </c>
      <c r="LG19" s="17">
        <v>0.18457551492615826</v>
      </c>
      <c r="LH19" s="17">
        <v>0.6372249920069748</v>
      </c>
      <c r="LI19" s="17">
        <v>0.1855085765647157</v>
      </c>
      <c r="LJ19" s="17">
        <v>0.67246859004709425</v>
      </c>
      <c r="LK19" s="17">
        <v>0.30951297223486568</v>
      </c>
      <c r="LL19" s="17">
        <v>0.13117437245717431</v>
      </c>
      <c r="LM19" s="17">
        <v>0.47550710015725678</v>
      </c>
      <c r="LN19" s="17">
        <v>0.12954755776040386</v>
      </c>
      <c r="LO19" s="17">
        <v>0.49432620724364623</v>
      </c>
      <c r="LP19" s="17">
        <v>0.26536868456986812</v>
      </c>
      <c r="LQ19" s="17">
        <v>9.160395657853751E-2</v>
      </c>
      <c r="LR19" s="17">
        <v>0.34954141326020888</v>
      </c>
      <c r="LS19" s="17">
        <v>8.8728177094316144E-2</v>
      </c>
      <c r="LT19" s="17">
        <v>0.35737737996321772</v>
      </c>
      <c r="LU19" s="17">
        <v>0.22563495675921708</v>
      </c>
      <c r="LV19" s="17">
        <v>6.2740295705711838E-2</v>
      </c>
    </row>
    <row r="20" spans="1:334" s="4" customFormat="1" ht="14.25" x14ac:dyDescent="0.2">
      <c r="A20" s="16">
        <v>14</v>
      </c>
      <c r="B20" s="17" t="s">
        <v>686</v>
      </c>
      <c r="C20" s="18" t="s">
        <v>40</v>
      </c>
      <c r="D20" s="18" t="s">
        <v>108</v>
      </c>
      <c r="E20" s="18" t="s">
        <v>40</v>
      </c>
      <c r="F20" s="19" t="s">
        <v>109</v>
      </c>
      <c r="G20" s="19" t="s">
        <v>429</v>
      </c>
      <c r="H20" s="20">
        <v>-1</v>
      </c>
      <c r="I20" s="21">
        <v>33.49</v>
      </c>
      <c r="J20" s="22">
        <v>23.3995</v>
      </c>
      <c r="K20" s="20" t="s">
        <v>110</v>
      </c>
      <c r="L20" s="18">
        <v>0</v>
      </c>
      <c r="M20" s="18">
        <v>2</v>
      </c>
      <c r="N20" s="18" t="s">
        <v>40</v>
      </c>
      <c r="O20" s="23">
        <v>0</v>
      </c>
      <c r="P20" s="23">
        <v>0</v>
      </c>
      <c r="Q20" s="23">
        <v>3</v>
      </c>
      <c r="R20" s="23">
        <v>4</v>
      </c>
      <c r="S20" s="23">
        <v>0</v>
      </c>
      <c r="T20" s="23">
        <v>40</v>
      </c>
      <c r="U20" s="23">
        <v>0</v>
      </c>
      <c r="V20" s="23">
        <v>40</v>
      </c>
      <c r="W20" s="23">
        <v>0</v>
      </c>
      <c r="X20" s="18" t="s">
        <v>40</v>
      </c>
      <c r="Y20" s="17">
        <v>726.5802428052001</v>
      </c>
      <c r="Z20" s="17">
        <v>708.56968280520005</v>
      </c>
      <c r="AA20" s="17">
        <v>726.5802428052001</v>
      </c>
      <c r="AB20" s="17">
        <v>708.56968280520005</v>
      </c>
      <c r="AC20" s="17">
        <v>1288.2136628052001</v>
      </c>
      <c r="AD20" s="17">
        <v>1270.2030981212001</v>
      </c>
      <c r="AE20" s="17">
        <v>1252.1925334372002</v>
      </c>
      <c r="AF20" s="17">
        <v>1234.1819687532002</v>
      </c>
      <c r="AG20" s="17">
        <v>1214.1768833728001</v>
      </c>
      <c r="AH20" s="17">
        <v>1196.1663186888002</v>
      </c>
      <c r="AI20" s="17">
        <v>1104.1189745724002</v>
      </c>
      <c r="AJ20" s="17">
        <v>735.65026042240015</v>
      </c>
      <c r="AK20" s="17">
        <v>717.63969573840018</v>
      </c>
      <c r="AL20" s="17">
        <v>699.6291310544002</v>
      </c>
      <c r="AM20" s="17">
        <v>681.61856637040023</v>
      </c>
      <c r="AN20" s="17">
        <v>661.6134809900002</v>
      </c>
      <c r="AO20" s="17">
        <v>643.60291630600022</v>
      </c>
      <c r="AP20" s="17">
        <v>625.59235162200025</v>
      </c>
      <c r="AQ20" s="17">
        <v>607.58178693800028</v>
      </c>
      <c r="AR20" s="17">
        <v>589.5712222540003</v>
      </c>
      <c r="AS20" s="17">
        <v>605.58726624160022</v>
      </c>
      <c r="AT20" s="17">
        <v>587.57670155760024</v>
      </c>
      <c r="AU20" s="17">
        <v>551.55557738280004</v>
      </c>
      <c r="AV20" s="17">
        <v>569.56614206680001</v>
      </c>
      <c r="AW20" s="17">
        <v>737.66591048680016</v>
      </c>
      <c r="AX20" s="17">
        <v>719.65534580280018</v>
      </c>
      <c r="AY20" s="17">
        <v>701.64478111880021</v>
      </c>
      <c r="AZ20" s="17">
        <v>683.63421643480024</v>
      </c>
      <c r="BA20" s="17">
        <v>663.6291310544002</v>
      </c>
      <c r="BB20" s="17">
        <v>645.61856637040023</v>
      </c>
      <c r="BC20" s="17">
        <v>627.60800168640026</v>
      </c>
      <c r="BD20" s="17">
        <v>609.59743700240028</v>
      </c>
      <c r="BE20" s="17">
        <v>591.58687231840031</v>
      </c>
      <c r="BF20" s="17">
        <v>607.60291630600022</v>
      </c>
      <c r="BG20" s="17">
        <v>589.59235162200025</v>
      </c>
      <c r="BH20" s="17">
        <v>549.53992731840003</v>
      </c>
      <c r="BI20" s="17">
        <v>567.55049200240001</v>
      </c>
      <c r="BJ20" s="17">
        <v>55.0547752254</v>
      </c>
      <c r="BK20" s="17">
        <v>57.070425289800006</v>
      </c>
      <c r="BL20" s="17">
        <v>69.070425289799999</v>
      </c>
      <c r="BM20" s="17">
        <v>71.086075354200005</v>
      </c>
      <c r="BN20" s="17">
        <v>81.070425289799999</v>
      </c>
      <c r="BO20" s="17">
        <v>83.086075354200005</v>
      </c>
      <c r="BP20" s="17">
        <v>85.101725418599997</v>
      </c>
      <c r="BQ20" s="17">
        <v>95.086075354200005</v>
      </c>
      <c r="BR20" s="17">
        <v>97.101725418599997</v>
      </c>
      <c r="BS20" s="17">
        <v>99.117375483000004</v>
      </c>
      <c r="BT20" s="17">
        <v>109.1017254186</v>
      </c>
      <c r="BU20" s="17">
        <v>111.117375483</v>
      </c>
      <c r="BV20" s="17">
        <v>113.13302554740001</v>
      </c>
      <c r="BW20" s="17">
        <v>123.117375483</v>
      </c>
      <c r="BX20" s="17">
        <v>125.13302554740001</v>
      </c>
      <c r="BY20" s="17">
        <v>127.1486756118</v>
      </c>
      <c r="BZ20" s="17">
        <v>137.1330255474</v>
      </c>
      <c r="CA20" s="17">
        <v>139.1486756118</v>
      </c>
      <c r="CB20" s="17">
        <v>141.16432567620001</v>
      </c>
      <c r="CC20" s="17">
        <v>149.1330255474</v>
      </c>
      <c r="CD20" s="17">
        <v>151.1486756118</v>
      </c>
      <c r="CE20" s="17">
        <v>153.16432567620001</v>
      </c>
      <c r="CF20" s="17">
        <v>155.17997574060001</v>
      </c>
      <c r="CG20" s="17">
        <v>163.1486756118</v>
      </c>
      <c r="CH20" s="17">
        <v>165.16432567620001</v>
      </c>
      <c r="CI20" s="17">
        <v>167.17997574060001</v>
      </c>
      <c r="CJ20" s="17">
        <v>169.19562580499999</v>
      </c>
      <c r="CK20" s="17">
        <v>177.16432567620001</v>
      </c>
      <c r="CL20" s="17">
        <v>179.17997574060001</v>
      </c>
      <c r="CM20" s="17">
        <v>181.19562580499999</v>
      </c>
      <c r="CN20" s="17">
        <v>183.2112758694</v>
      </c>
      <c r="CO20" s="17">
        <v>191.17997574060001</v>
      </c>
      <c r="CP20" s="17">
        <v>193.19562580499999</v>
      </c>
      <c r="CQ20" s="17">
        <v>195.2112758694</v>
      </c>
      <c r="CR20" s="17">
        <v>197.2269259338</v>
      </c>
      <c r="CS20" s="17">
        <v>205.19562580499999</v>
      </c>
      <c r="CT20" s="17">
        <v>207.2112758694</v>
      </c>
      <c r="CU20" s="17">
        <v>209.2269259338</v>
      </c>
      <c r="CV20" s="17">
        <v>211.24257599820001</v>
      </c>
      <c r="CW20" s="17">
        <v>217.19562580499999</v>
      </c>
      <c r="CX20" s="17">
        <v>219.2112758694</v>
      </c>
      <c r="CY20" s="17">
        <v>221.2269259338</v>
      </c>
      <c r="CZ20" s="17">
        <v>223.24257599820001</v>
      </c>
      <c r="DA20" s="17">
        <v>225.25822606260002</v>
      </c>
      <c r="DB20" s="17">
        <v>231.2112758694</v>
      </c>
      <c r="DC20" s="17">
        <v>233.2269259338</v>
      </c>
      <c r="DD20" s="17">
        <v>235.24257599820001</v>
      </c>
      <c r="DE20" s="17">
        <v>237.25822606260002</v>
      </c>
      <c r="DF20" s="17">
        <v>239.27387612699999</v>
      </c>
      <c r="DG20" s="17">
        <v>245.2269259338</v>
      </c>
      <c r="DH20" s="17">
        <v>247.24257599820001</v>
      </c>
      <c r="DI20" s="17">
        <v>249.25822606260002</v>
      </c>
      <c r="DJ20" s="17">
        <v>251.27387612699999</v>
      </c>
      <c r="DK20" s="17">
        <v>253.2895261914</v>
      </c>
      <c r="DL20" s="17">
        <v>259.24257599819998</v>
      </c>
      <c r="DM20" s="17">
        <v>261.25822606259999</v>
      </c>
      <c r="DN20" s="17">
        <v>263.27387612699999</v>
      </c>
      <c r="DO20" s="17">
        <v>265.2895261914</v>
      </c>
      <c r="DP20" s="17">
        <v>267.30517625580001</v>
      </c>
      <c r="DQ20" s="17">
        <v>273.25822606259999</v>
      </c>
      <c r="DR20" s="17">
        <v>55.0547752254</v>
      </c>
      <c r="DS20" s="17">
        <v>57.070425289800006</v>
      </c>
      <c r="DT20" s="17">
        <v>69.070425289799999</v>
      </c>
      <c r="DU20" s="17">
        <v>71.086075354200005</v>
      </c>
      <c r="DV20" s="17">
        <v>81.070425289799999</v>
      </c>
      <c r="DW20" s="17">
        <v>83.086075354200005</v>
      </c>
      <c r="DX20" s="17">
        <v>85.101725418599997</v>
      </c>
      <c r="DY20" s="17">
        <v>95.086075354200005</v>
      </c>
      <c r="DZ20" s="17">
        <v>97.101725418599997</v>
      </c>
      <c r="EA20" s="17">
        <v>99.117375483000004</v>
      </c>
      <c r="EB20" s="17">
        <v>109.1017254186</v>
      </c>
      <c r="EC20" s="17">
        <v>111.117375483</v>
      </c>
      <c r="ED20" s="17">
        <v>113.13302554740001</v>
      </c>
      <c r="EE20" s="17">
        <v>123.117375483</v>
      </c>
      <c r="EF20" s="17">
        <v>125.13302554740001</v>
      </c>
      <c r="EG20" s="17">
        <v>127.1486756118</v>
      </c>
      <c r="EH20" s="17">
        <v>137.1330255474</v>
      </c>
      <c r="EI20" s="17">
        <v>139.1486756118</v>
      </c>
      <c r="EJ20" s="17">
        <v>141.16432567620001</v>
      </c>
      <c r="EK20" s="17">
        <v>149.1330255474</v>
      </c>
      <c r="EL20" s="17">
        <v>151.1486756118</v>
      </c>
      <c r="EM20" s="17">
        <v>153.16432567620001</v>
      </c>
      <c r="EN20" s="17">
        <v>155.17997574060001</v>
      </c>
      <c r="EO20" s="17">
        <v>163.1486756118</v>
      </c>
      <c r="EP20" s="17">
        <v>165.16432567620001</v>
      </c>
      <c r="EQ20" s="17">
        <v>167.17997574060001</v>
      </c>
      <c r="ER20" s="17">
        <v>169.19562580499999</v>
      </c>
      <c r="ES20" s="17">
        <v>177.16432567620001</v>
      </c>
      <c r="ET20" s="17">
        <v>179.17997574060001</v>
      </c>
      <c r="EU20" s="17">
        <v>181.19562580499999</v>
      </c>
      <c r="EV20" s="17">
        <v>183.2112758694</v>
      </c>
      <c r="EW20" s="17">
        <v>191.17997574060001</v>
      </c>
      <c r="EX20" s="17">
        <v>193.19562580499999</v>
      </c>
      <c r="EY20" s="17">
        <v>195.2112758694</v>
      </c>
      <c r="EZ20" s="17">
        <v>197.2269259338</v>
      </c>
      <c r="FA20" s="17">
        <v>205.19562580499999</v>
      </c>
      <c r="FB20" s="17">
        <v>207.2112758694</v>
      </c>
      <c r="FC20" s="17">
        <v>209.2269259338</v>
      </c>
      <c r="FD20" s="17">
        <v>211.24257599820001</v>
      </c>
      <c r="FE20" s="17">
        <v>217.19562580499999</v>
      </c>
      <c r="FF20" s="17">
        <v>219.2112758694</v>
      </c>
      <c r="FG20" s="17">
        <v>221.2269259338</v>
      </c>
      <c r="FH20" s="17">
        <v>223.24257599820001</v>
      </c>
      <c r="FI20" s="17">
        <v>225.25822606260002</v>
      </c>
      <c r="FJ20" s="17">
        <v>231.2112758694</v>
      </c>
      <c r="FK20" s="17">
        <v>233.2269259338</v>
      </c>
      <c r="FL20" s="17">
        <v>235.24257599820001</v>
      </c>
      <c r="FM20" s="17">
        <v>237.25822606260002</v>
      </c>
      <c r="FN20" s="17">
        <v>239.27387612699999</v>
      </c>
      <c r="FO20" s="17">
        <v>245.2269259338</v>
      </c>
      <c r="FP20" s="17">
        <v>247.24257599820001</v>
      </c>
      <c r="FQ20" s="17">
        <v>249.25822606260002</v>
      </c>
      <c r="FR20" s="17">
        <v>251.27387612699999</v>
      </c>
      <c r="FS20" s="17">
        <v>253.2895261914</v>
      </c>
      <c r="FT20" s="17">
        <v>259.24257599819998</v>
      </c>
      <c r="FU20" s="17">
        <v>261.25822606259999</v>
      </c>
      <c r="FV20" s="17">
        <v>263.27387612699999</v>
      </c>
      <c r="FW20" s="17">
        <v>265.2895261914</v>
      </c>
      <c r="FX20" s="17">
        <v>267.30517625580001</v>
      </c>
      <c r="FY20" s="17">
        <v>273.25822606259999</v>
      </c>
      <c r="FZ20" s="17">
        <v>111.73396737499999</v>
      </c>
      <c r="GA20" s="17">
        <v>13.966745921874999</v>
      </c>
      <c r="GB20" s="17">
        <v>1.7458432402343749</v>
      </c>
      <c r="GC20" s="17">
        <v>0.87292162011718744</v>
      </c>
      <c r="GD20" s="17">
        <v>2.5165824000000017</v>
      </c>
      <c r="GE20" s="17">
        <v>2</v>
      </c>
      <c r="GF20" s="17">
        <v>0</v>
      </c>
      <c r="GG20" s="17">
        <v>16.384000000000007</v>
      </c>
      <c r="GH20" s="17">
        <v>9.1022222222222258</v>
      </c>
      <c r="GI20" s="17">
        <v>6.3715555555555579</v>
      </c>
      <c r="GJ20" s="17">
        <v>2.1238518518518528</v>
      </c>
      <c r="GK20" s="17">
        <v>26.244000000000007</v>
      </c>
      <c r="GL20" s="17">
        <v>26.244000000000007</v>
      </c>
      <c r="GM20" s="17">
        <v>13.122000000000003</v>
      </c>
      <c r="GN20" s="17">
        <v>26.244000000000007</v>
      </c>
      <c r="GO20" s="17">
        <v>5.248800000000001</v>
      </c>
      <c r="GP20" s="17">
        <v>15</v>
      </c>
      <c r="GQ20" s="17">
        <v>3.75</v>
      </c>
      <c r="GR20" s="17">
        <v>31.103999999999999</v>
      </c>
      <c r="GS20" s="17">
        <v>15.552</v>
      </c>
      <c r="GT20" s="17">
        <v>40.960000000000008</v>
      </c>
      <c r="GU20" s="17">
        <v>22.75555555555556</v>
      </c>
      <c r="GV20" s="17">
        <v>15.92888888888889</v>
      </c>
      <c r="GW20" s="17">
        <v>5.3096296296296304</v>
      </c>
      <c r="GX20" s="17">
        <v>29.160000000000004</v>
      </c>
      <c r="GY20" s="17">
        <v>29.160000000000004</v>
      </c>
      <c r="GZ20" s="17">
        <v>14.580000000000002</v>
      </c>
      <c r="HA20" s="17">
        <v>29.160000000000004</v>
      </c>
      <c r="HB20" s="17">
        <v>5.8320000000000007</v>
      </c>
      <c r="HC20" s="17">
        <v>15</v>
      </c>
      <c r="HD20" s="17">
        <v>3.75</v>
      </c>
      <c r="HE20" s="17">
        <v>29.859839999999998</v>
      </c>
      <c r="HF20" s="17">
        <v>14.929919999999999</v>
      </c>
      <c r="HG20" s="17">
        <v>0.476837158203125</v>
      </c>
      <c r="HH20" s="17">
        <v>1.5708885696404189</v>
      </c>
      <c r="HI20" s="17">
        <v>1.4551915228366852</v>
      </c>
      <c r="HJ20" s="17">
        <v>1.9523640191169775</v>
      </c>
      <c r="HK20" s="17">
        <v>1.0862946510314941</v>
      </c>
      <c r="HL20" s="17">
        <v>3.6209821701049805</v>
      </c>
      <c r="HM20" s="17">
        <v>2.1848436788802914</v>
      </c>
      <c r="HN20" s="17">
        <v>2.7392292395234108</v>
      </c>
      <c r="HO20" s="17">
        <v>12.361758929757904</v>
      </c>
      <c r="HP20" s="17">
        <v>1.6436902594446974</v>
      </c>
      <c r="HQ20" s="17">
        <v>6.103515625</v>
      </c>
      <c r="HR20" s="17">
        <v>15.2587890625</v>
      </c>
      <c r="HS20" s="17">
        <v>0.73551647132453335</v>
      </c>
      <c r="HT20" s="17">
        <v>4.7741965521823628</v>
      </c>
      <c r="HU20" s="17">
        <v>12.361758929757904</v>
      </c>
      <c r="HV20" s="17">
        <v>0.83568502503413755</v>
      </c>
      <c r="HW20" s="17">
        <v>3.7011818562559</v>
      </c>
      <c r="HX20" s="17">
        <v>9.938358688094544</v>
      </c>
      <c r="HY20" s="17">
        <v>0.94455863108784721</v>
      </c>
      <c r="HZ20" s="17">
        <v>2.6171307889631601</v>
      </c>
      <c r="IA20" s="17">
        <v>2.8418916187052878</v>
      </c>
      <c r="IB20" s="17">
        <v>7.9245054752358994</v>
      </c>
      <c r="IC20" s="17">
        <v>1.0625</v>
      </c>
      <c r="ID20" s="17">
        <v>2.0095208349837232</v>
      </c>
      <c r="IE20" s="17">
        <v>2.1596040642437933</v>
      </c>
      <c r="IF20" s="17">
        <v>6.2628517863070012</v>
      </c>
      <c r="IG20" s="17">
        <v>0.94455863108784721</v>
      </c>
      <c r="IH20" s="17">
        <v>1.5270706785048145</v>
      </c>
      <c r="II20" s="17">
        <v>1.6228290277881319</v>
      </c>
      <c r="IJ20" s="17">
        <v>4.9022960214433144</v>
      </c>
      <c r="IK20" s="17">
        <v>0.83568502503413755</v>
      </c>
      <c r="IL20" s="17">
        <v>1.1475134102553601</v>
      </c>
      <c r="IM20" s="17">
        <v>1.2047277872548898</v>
      </c>
      <c r="IN20" s="17">
        <v>3.7975115033034568</v>
      </c>
      <c r="IO20" s="17">
        <v>0.73551647132453335</v>
      </c>
      <c r="IP20" s="17">
        <v>0.85187118785179694</v>
      </c>
      <c r="IQ20" s="17">
        <v>0.8825774788777353</v>
      </c>
      <c r="IR20" s="17">
        <v>2.908493964483446</v>
      </c>
      <c r="IS20" s="17">
        <v>0.64369025944469738</v>
      </c>
      <c r="IT20" s="17">
        <v>0.62407652023697346</v>
      </c>
      <c r="IU20" s="17">
        <v>2.0566158053263899</v>
      </c>
      <c r="IV20" s="17">
        <v>0.63727831174455729</v>
      </c>
      <c r="IW20" s="17">
        <v>2.2001275048323996</v>
      </c>
      <c r="IX20" s="17">
        <v>0.5598436788802913</v>
      </c>
      <c r="IY20" s="17">
        <v>0.45062381573769106</v>
      </c>
      <c r="IZ20" s="17">
        <v>1.5557250781420282</v>
      </c>
      <c r="JA20" s="17">
        <v>0.45290179825370042</v>
      </c>
      <c r="JB20" s="17">
        <v>1.6417690186696638</v>
      </c>
      <c r="JC20" s="17">
        <v>0.4836140191169776</v>
      </c>
      <c r="JD20" s="17">
        <v>0.32024993275677321</v>
      </c>
      <c r="JE20" s="17">
        <v>1.1609060062433028</v>
      </c>
      <c r="JF20" s="17">
        <v>0.31627821718848598</v>
      </c>
      <c r="JG20" s="17">
        <v>1.2068510919034332</v>
      </c>
      <c r="JH20" s="17">
        <v>0.4146385696404189</v>
      </c>
      <c r="JI20" s="17">
        <v>0.22364247211557009</v>
      </c>
      <c r="JJ20" s="17">
        <v>0.85337259096730689</v>
      </c>
      <c r="JK20" s="17">
        <v>0.21662152610917026</v>
      </c>
      <c r="JL20" s="17">
        <v>0.8725033690508246</v>
      </c>
      <c r="JM20" s="17">
        <v>0.35255461993627668</v>
      </c>
      <c r="JN20" s="17">
        <v>0.15317455006277303</v>
      </c>
      <c r="JO20" s="17">
        <v>0.1953125</v>
      </c>
      <c r="JP20" s="17">
        <v>1.3453686845698682</v>
      </c>
      <c r="JQ20" s="17">
        <v>0.59604644775390625</v>
      </c>
      <c r="JR20" s="17">
        <v>1.5495129722348657</v>
      </c>
      <c r="JS20" s="17">
        <v>0.4449462890625</v>
      </c>
      <c r="JT20" s="17">
        <v>1.483154296875</v>
      </c>
      <c r="JU20" s="17">
        <v>1.6782999544833865</v>
      </c>
      <c r="JV20" s="17">
        <v>1.1219882965087891</v>
      </c>
      <c r="JW20" s="17">
        <v>5.0633764576288378</v>
      </c>
      <c r="JX20" s="17">
        <v>1.4119617660446062</v>
      </c>
      <c r="JY20" s="17">
        <v>2.5</v>
      </c>
      <c r="JZ20" s="17">
        <v>6.25</v>
      </c>
      <c r="KA20" s="17">
        <v>0.47073054164770134</v>
      </c>
      <c r="KB20" s="17">
        <v>1.9555109077738959</v>
      </c>
      <c r="KC20" s="17">
        <v>5.0633764576288378</v>
      </c>
      <c r="KD20" s="17">
        <v>0.53483841602184801</v>
      </c>
      <c r="KE20" s="17">
        <v>1.5160040883224166</v>
      </c>
      <c r="KF20" s="17">
        <v>4.0707517186435256</v>
      </c>
      <c r="KG20" s="17">
        <v>0.60451752389622226</v>
      </c>
      <c r="KH20" s="17">
        <v>1.0719767711593104</v>
      </c>
      <c r="KI20" s="17">
        <v>1.1640388070216858</v>
      </c>
      <c r="KJ20" s="17">
        <v>3.2458774426566244</v>
      </c>
      <c r="KK20" s="17">
        <v>0.68</v>
      </c>
      <c r="KL20" s="17">
        <v>0.82309973400933301</v>
      </c>
      <c r="KM20" s="17">
        <v>0.88457382471425772</v>
      </c>
      <c r="KN20" s="17">
        <v>2.5652640916713478</v>
      </c>
      <c r="KO20" s="17">
        <v>0.60451752389622226</v>
      </c>
      <c r="KP20" s="17">
        <v>0.625488149915572</v>
      </c>
      <c r="KQ20" s="17">
        <v>0.66471076978201882</v>
      </c>
      <c r="KR20" s="17">
        <v>2.0079804503831817</v>
      </c>
      <c r="KS20" s="17">
        <v>0.53483841602184801</v>
      </c>
      <c r="KT20" s="17">
        <v>0.47002149284059552</v>
      </c>
      <c r="KU20" s="17">
        <v>0.49345650165960286</v>
      </c>
      <c r="KV20" s="17">
        <v>1.5554607117530959</v>
      </c>
      <c r="KW20" s="17">
        <v>0.47073054164770134</v>
      </c>
      <c r="KX20" s="17">
        <v>0.348926438544096</v>
      </c>
      <c r="KY20" s="17">
        <v>0.36150373534832037</v>
      </c>
      <c r="KZ20" s="17">
        <v>1.1913191278524196</v>
      </c>
      <c r="LA20" s="17">
        <v>0.41196176604460633</v>
      </c>
      <c r="LB20" s="17">
        <v>0.25562174268906435</v>
      </c>
      <c r="LC20" s="17">
        <v>0.84238983386168942</v>
      </c>
      <c r="LD20" s="17">
        <v>0.26102919649057066</v>
      </c>
      <c r="LE20" s="17">
        <v>0.90117222597935098</v>
      </c>
      <c r="LF20" s="17">
        <v>0.35829995448338642</v>
      </c>
      <c r="LG20" s="17">
        <v>0.18457551492615826</v>
      </c>
      <c r="LH20" s="17">
        <v>0.6372249920069748</v>
      </c>
      <c r="LI20" s="17">
        <v>0.1855085765647157</v>
      </c>
      <c r="LJ20" s="17">
        <v>0.67246859004709425</v>
      </c>
      <c r="LK20" s="17">
        <v>0.30951297223486568</v>
      </c>
      <c r="LL20" s="17">
        <v>0.13117437245717431</v>
      </c>
      <c r="LM20" s="17">
        <v>0.47550710015725678</v>
      </c>
      <c r="LN20" s="17">
        <v>0.12954755776040386</v>
      </c>
      <c r="LO20" s="17">
        <v>0.49432620724364623</v>
      </c>
      <c r="LP20" s="17">
        <v>0.26536868456986812</v>
      </c>
      <c r="LQ20" s="17">
        <v>9.160395657853751E-2</v>
      </c>
      <c r="LR20" s="17">
        <v>0.34954141326020888</v>
      </c>
      <c r="LS20" s="17">
        <v>8.8728177094316144E-2</v>
      </c>
      <c r="LT20" s="17">
        <v>0.35737737996321772</v>
      </c>
      <c r="LU20" s="17">
        <v>0.22563495675921708</v>
      </c>
      <c r="LV20" s="17">
        <v>6.2740295705711838E-2</v>
      </c>
    </row>
    <row r="21" spans="1:334" s="4" customFormat="1" ht="14.25" x14ac:dyDescent="0.2">
      <c r="A21" s="16">
        <v>15</v>
      </c>
      <c r="B21" s="17" t="s">
        <v>687</v>
      </c>
      <c r="C21" s="18" t="s">
        <v>41</v>
      </c>
      <c r="D21" s="18" t="s">
        <v>111</v>
      </c>
      <c r="E21" s="18" t="s">
        <v>41</v>
      </c>
      <c r="F21" s="19" t="s">
        <v>112</v>
      </c>
      <c r="G21" s="19" t="s">
        <v>430</v>
      </c>
      <c r="H21" s="20">
        <v>-1</v>
      </c>
      <c r="I21" s="21">
        <v>33.72</v>
      </c>
      <c r="J21" s="22">
        <v>23.009399999999999</v>
      </c>
      <c r="K21" s="20" t="s">
        <v>113</v>
      </c>
      <c r="L21" s="18">
        <v>0</v>
      </c>
      <c r="M21" s="18">
        <v>2</v>
      </c>
      <c r="N21" s="18" t="s">
        <v>41</v>
      </c>
      <c r="O21" s="23">
        <v>0</v>
      </c>
      <c r="P21" s="23">
        <v>0</v>
      </c>
      <c r="Q21" s="23">
        <v>4</v>
      </c>
      <c r="R21" s="23">
        <v>4</v>
      </c>
      <c r="S21" s="23">
        <v>0</v>
      </c>
      <c r="T21" s="23">
        <v>40</v>
      </c>
      <c r="U21" s="23">
        <v>0</v>
      </c>
      <c r="V21" s="23">
        <v>40</v>
      </c>
      <c r="W21" s="23">
        <v>0</v>
      </c>
      <c r="X21" s="18" t="s">
        <v>41</v>
      </c>
      <c r="Y21" s="17">
        <v>724.56459274080009</v>
      </c>
      <c r="Z21" s="17">
        <v>706.55403274080004</v>
      </c>
      <c r="AA21" s="17">
        <v>724.56459274080009</v>
      </c>
      <c r="AB21" s="17">
        <v>706.55403274080004</v>
      </c>
      <c r="AC21" s="17">
        <v>1286.1980127408001</v>
      </c>
      <c r="AD21" s="17">
        <v>1268.1874480568001</v>
      </c>
      <c r="AE21" s="17">
        <v>1250.1768833728001</v>
      </c>
      <c r="AF21" s="17">
        <v>1232.1663186888002</v>
      </c>
      <c r="AG21" s="17">
        <v>1212.1612333084001</v>
      </c>
      <c r="AH21" s="17">
        <v>1194.1506686244002</v>
      </c>
      <c r="AI21" s="17">
        <v>1102.1033245080002</v>
      </c>
      <c r="AJ21" s="17">
        <v>735.65026042240015</v>
      </c>
      <c r="AK21" s="17">
        <v>717.63969573840018</v>
      </c>
      <c r="AL21" s="17">
        <v>699.6291310544002</v>
      </c>
      <c r="AM21" s="17">
        <v>681.61856637040023</v>
      </c>
      <c r="AN21" s="17">
        <v>661.6134809900002</v>
      </c>
      <c r="AO21" s="17">
        <v>643.60291630600022</v>
      </c>
      <c r="AP21" s="17">
        <v>625.59235162200025</v>
      </c>
      <c r="AQ21" s="17">
        <v>607.58178693800028</v>
      </c>
      <c r="AR21" s="17">
        <v>589.5712222540003</v>
      </c>
      <c r="AS21" s="17">
        <v>605.58726624160022</v>
      </c>
      <c r="AT21" s="17">
        <v>587.57670155760024</v>
      </c>
      <c r="AU21" s="17">
        <v>551.55557731840008</v>
      </c>
      <c r="AV21" s="17">
        <v>569.56614200240006</v>
      </c>
      <c r="AW21" s="17">
        <v>735.65026042240015</v>
      </c>
      <c r="AX21" s="17">
        <v>717.63969573840018</v>
      </c>
      <c r="AY21" s="17">
        <v>699.6291310544002</v>
      </c>
      <c r="AZ21" s="17">
        <v>681.61856637040023</v>
      </c>
      <c r="BA21" s="17">
        <v>661.6134809900002</v>
      </c>
      <c r="BB21" s="17">
        <v>643.60291630600022</v>
      </c>
      <c r="BC21" s="17">
        <v>625.59235162200025</v>
      </c>
      <c r="BD21" s="17">
        <v>607.58178693800028</v>
      </c>
      <c r="BE21" s="17">
        <v>589.5712222540003</v>
      </c>
      <c r="BF21" s="17">
        <v>605.58726624160022</v>
      </c>
      <c r="BG21" s="17">
        <v>587.57670155760024</v>
      </c>
      <c r="BH21" s="17">
        <v>549.53992731840003</v>
      </c>
      <c r="BI21" s="17">
        <v>567.55049200240001</v>
      </c>
      <c r="BJ21" s="17">
        <v>55.0547752254</v>
      </c>
      <c r="BK21" s="17">
        <v>57.070425289800006</v>
      </c>
      <c r="BL21" s="17">
        <v>69.070425289799999</v>
      </c>
      <c r="BM21" s="17">
        <v>71.086075354200005</v>
      </c>
      <c r="BN21" s="17">
        <v>81.070425289799999</v>
      </c>
      <c r="BO21" s="17">
        <v>83.086075354200005</v>
      </c>
      <c r="BP21" s="17">
        <v>85.101725418599997</v>
      </c>
      <c r="BQ21" s="17">
        <v>95.086075354200005</v>
      </c>
      <c r="BR21" s="17">
        <v>97.101725418599997</v>
      </c>
      <c r="BS21" s="17">
        <v>99.117375483000004</v>
      </c>
      <c r="BT21" s="17">
        <v>109.1017254186</v>
      </c>
      <c r="BU21" s="17">
        <v>111.117375483</v>
      </c>
      <c r="BV21" s="17">
        <v>113.13302554740001</v>
      </c>
      <c r="BW21" s="17">
        <v>123.117375483</v>
      </c>
      <c r="BX21" s="17">
        <v>125.13302554740001</v>
      </c>
      <c r="BY21" s="17">
        <v>127.1486756118</v>
      </c>
      <c r="BZ21" s="17">
        <v>137.1330255474</v>
      </c>
      <c r="CA21" s="17">
        <v>139.1486756118</v>
      </c>
      <c r="CB21" s="17">
        <v>141.16432567620001</v>
      </c>
      <c r="CC21" s="17">
        <v>149.1330255474</v>
      </c>
      <c r="CD21" s="17">
        <v>151.1486756118</v>
      </c>
      <c r="CE21" s="17">
        <v>153.16432567620001</v>
      </c>
      <c r="CF21" s="17">
        <v>155.17997574060001</v>
      </c>
      <c r="CG21" s="17">
        <v>163.1486756118</v>
      </c>
      <c r="CH21" s="17">
        <v>165.16432567620001</v>
      </c>
      <c r="CI21" s="17">
        <v>167.17997574060001</v>
      </c>
      <c r="CJ21" s="17">
        <v>169.19562580499999</v>
      </c>
      <c r="CK21" s="17">
        <v>177.16432567620001</v>
      </c>
      <c r="CL21" s="17">
        <v>179.17997574060001</v>
      </c>
      <c r="CM21" s="17">
        <v>181.19562580499999</v>
      </c>
      <c r="CN21" s="17">
        <v>183.2112758694</v>
      </c>
      <c r="CO21" s="17">
        <v>191.17997574060001</v>
      </c>
      <c r="CP21" s="17">
        <v>193.19562580499999</v>
      </c>
      <c r="CQ21" s="17">
        <v>195.2112758694</v>
      </c>
      <c r="CR21" s="17">
        <v>197.2269259338</v>
      </c>
      <c r="CS21" s="17">
        <v>205.19562580499999</v>
      </c>
      <c r="CT21" s="17">
        <v>207.2112758694</v>
      </c>
      <c r="CU21" s="17">
        <v>209.2269259338</v>
      </c>
      <c r="CV21" s="17">
        <v>211.24257599820001</v>
      </c>
      <c r="CW21" s="17">
        <v>217.19562580499999</v>
      </c>
      <c r="CX21" s="17">
        <v>219.2112758694</v>
      </c>
      <c r="CY21" s="17">
        <v>221.2269259338</v>
      </c>
      <c r="CZ21" s="17">
        <v>223.24257599820001</v>
      </c>
      <c r="DA21" s="17">
        <v>225.25822606260002</v>
      </c>
      <c r="DB21" s="17">
        <v>231.2112758694</v>
      </c>
      <c r="DC21" s="17">
        <v>233.2269259338</v>
      </c>
      <c r="DD21" s="17">
        <v>235.24257599820001</v>
      </c>
      <c r="DE21" s="17">
        <v>237.25822606260002</v>
      </c>
      <c r="DF21" s="17">
        <v>239.27387612699999</v>
      </c>
      <c r="DG21" s="17">
        <v>245.2269259338</v>
      </c>
      <c r="DH21" s="17">
        <v>247.24257599820001</v>
      </c>
      <c r="DI21" s="17">
        <v>249.25822606260002</v>
      </c>
      <c r="DJ21" s="17">
        <v>251.27387612699999</v>
      </c>
      <c r="DK21" s="17">
        <v>253.2895261914</v>
      </c>
      <c r="DL21" s="17">
        <v>259.24257599819998</v>
      </c>
      <c r="DM21" s="17">
        <v>261.25822606259999</v>
      </c>
      <c r="DN21" s="17">
        <v>263.27387612699999</v>
      </c>
      <c r="DO21" s="17">
        <v>265.2895261914</v>
      </c>
      <c r="DP21" s="17">
        <v>267.30517625580001</v>
      </c>
      <c r="DQ21" s="17">
        <v>273.25822606259999</v>
      </c>
      <c r="DR21" s="17">
        <v>55.0547752254</v>
      </c>
      <c r="DS21" s="17">
        <v>57.070425289800006</v>
      </c>
      <c r="DT21" s="17">
        <v>69.070425289799999</v>
      </c>
      <c r="DU21" s="17">
        <v>71.086075354200005</v>
      </c>
      <c r="DV21" s="17">
        <v>81.070425289799999</v>
      </c>
      <c r="DW21" s="17">
        <v>83.086075354200005</v>
      </c>
      <c r="DX21" s="17">
        <v>85.101725418599997</v>
      </c>
      <c r="DY21" s="17">
        <v>95.086075354200005</v>
      </c>
      <c r="DZ21" s="17">
        <v>97.101725418599997</v>
      </c>
      <c r="EA21" s="17">
        <v>99.117375483000004</v>
      </c>
      <c r="EB21" s="17">
        <v>109.1017254186</v>
      </c>
      <c r="EC21" s="17">
        <v>111.117375483</v>
      </c>
      <c r="ED21" s="17">
        <v>113.13302554740001</v>
      </c>
      <c r="EE21" s="17">
        <v>123.117375483</v>
      </c>
      <c r="EF21" s="17">
        <v>125.13302554740001</v>
      </c>
      <c r="EG21" s="17">
        <v>127.1486756118</v>
      </c>
      <c r="EH21" s="17">
        <v>137.1330255474</v>
      </c>
      <c r="EI21" s="17">
        <v>139.1486756118</v>
      </c>
      <c r="EJ21" s="17">
        <v>141.16432567620001</v>
      </c>
      <c r="EK21" s="17">
        <v>149.1330255474</v>
      </c>
      <c r="EL21" s="17">
        <v>151.1486756118</v>
      </c>
      <c r="EM21" s="17">
        <v>153.16432567620001</v>
      </c>
      <c r="EN21" s="17">
        <v>155.17997574060001</v>
      </c>
      <c r="EO21" s="17">
        <v>163.1486756118</v>
      </c>
      <c r="EP21" s="17">
        <v>165.16432567620001</v>
      </c>
      <c r="EQ21" s="17">
        <v>167.17997574060001</v>
      </c>
      <c r="ER21" s="17">
        <v>169.19562580499999</v>
      </c>
      <c r="ES21" s="17">
        <v>177.16432567620001</v>
      </c>
      <c r="ET21" s="17">
        <v>179.17997574060001</v>
      </c>
      <c r="EU21" s="17">
        <v>181.19562580499999</v>
      </c>
      <c r="EV21" s="17">
        <v>183.2112758694</v>
      </c>
      <c r="EW21" s="17">
        <v>191.17997574060001</v>
      </c>
      <c r="EX21" s="17">
        <v>193.19562580499999</v>
      </c>
      <c r="EY21" s="17">
        <v>195.2112758694</v>
      </c>
      <c r="EZ21" s="17">
        <v>197.2269259338</v>
      </c>
      <c r="FA21" s="17">
        <v>205.19562580499999</v>
      </c>
      <c r="FB21" s="17">
        <v>207.2112758694</v>
      </c>
      <c r="FC21" s="17">
        <v>209.2269259338</v>
      </c>
      <c r="FD21" s="17">
        <v>211.24257599820001</v>
      </c>
      <c r="FE21" s="17">
        <v>217.19562580499999</v>
      </c>
      <c r="FF21" s="17">
        <v>219.2112758694</v>
      </c>
      <c r="FG21" s="17">
        <v>221.2269259338</v>
      </c>
      <c r="FH21" s="17">
        <v>223.24257599820001</v>
      </c>
      <c r="FI21" s="17">
        <v>225.25822606260002</v>
      </c>
      <c r="FJ21" s="17">
        <v>231.2112758694</v>
      </c>
      <c r="FK21" s="17">
        <v>233.2269259338</v>
      </c>
      <c r="FL21" s="17">
        <v>235.24257599820001</v>
      </c>
      <c r="FM21" s="17">
        <v>237.25822606260002</v>
      </c>
      <c r="FN21" s="17">
        <v>239.27387612699999</v>
      </c>
      <c r="FO21" s="17">
        <v>245.2269259338</v>
      </c>
      <c r="FP21" s="17">
        <v>247.24257599820001</v>
      </c>
      <c r="FQ21" s="17">
        <v>249.25822606260002</v>
      </c>
      <c r="FR21" s="17">
        <v>251.27387612699999</v>
      </c>
      <c r="FS21" s="17">
        <v>253.2895261914</v>
      </c>
      <c r="FT21" s="17">
        <v>259.24257599819998</v>
      </c>
      <c r="FU21" s="17">
        <v>261.25822606259999</v>
      </c>
      <c r="FV21" s="17">
        <v>263.27387612699999</v>
      </c>
      <c r="FW21" s="17">
        <v>265.2895261914</v>
      </c>
      <c r="FX21" s="17">
        <v>267.30517625580001</v>
      </c>
      <c r="FY21" s="17">
        <v>273.25822606259999</v>
      </c>
      <c r="FZ21" s="17">
        <v>106.14726900625</v>
      </c>
      <c r="GA21" s="17">
        <v>13.26840862578125</v>
      </c>
      <c r="GB21" s="17">
        <v>1.6585510782226562</v>
      </c>
      <c r="GC21" s="17">
        <v>0.82927553911132812</v>
      </c>
      <c r="GD21" s="17">
        <v>2.0132659200000016</v>
      </c>
      <c r="GE21" s="17">
        <v>2</v>
      </c>
      <c r="GF21" s="17">
        <v>0</v>
      </c>
      <c r="GG21" s="17">
        <v>32.768000000000015</v>
      </c>
      <c r="GH21" s="17">
        <v>18.204444444444452</v>
      </c>
      <c r="GI21" s="17">
        <v>12.743111111111116</v>
      </c>
      <c r="GJ21" s="17">
        <v>4.2477037037037055</v>
      </c>
      <c r="GK21" s="17">
        <v>26.244000000000007</v>
      </c>
      <c r="GL21" s="17">
        <v>26.244000000000007</v>
      </c>
      <c r="GM21" s="17">
        <v>13.122000000000003</v>
      </c>
      <c r="GN21" s="17">
        <v>26.244000000000007</v>
      </c>
      <c r="GO21" s="17">
        <v>5.248800000000001</v>
      </c>
      <c r="GP21" s="17">
        <v>15</v>
      </c>
      <c r="GQ21" s="17">
        <v>3.75</v>
      </c>
      <c r="GR21" s="17">
        <v>37.324799999999996</v>
      </c>
      <c r="GS21" s="17">
        <v>18.662399999999998</v>
      </c>
      <c r="GT21" s="17">
        <v>32.768000000000015</v>
      </c>
      <c r="GU21" s="17">
        <v>18.204444444444452</v>
      </c>
      <c r="GV21" s="17">
        <v>12.743111111111116</v>
      </c>
      <c r="GW21" s="17">
        <v>4.2477037037037055</v>
      </c>
      <c r="GX21" s="17">
        <v>26.244000000000007</v>
      </c>
      <c r="GY21" s="17">
        <v>26.244000000000007</v>
      </c>
      <c r="GZ21" s="17">
        <v>13.122000000000003</v>
      </c>
      <c r="HA21" s="17">
        <v>26.244000000000007</v>
      </c>
      <c r="HB21" s="17">
        <v>5.248800000000001</v>
      </c>
      <c r="HC21" s="17">
        <v>15</v>
      </c>
      <c r="HD21" s="17">
        <v>3.75</v>
      </c>
      <c r="HE21" s="17">
        <v>37.324799999999996</v>
      </c>
      <c r="HF21" s="17">
        <v>18.662399999999998</v>
      </c>
      <c r="HG21" s="17">
        <v>0.1953125</v>
      </c>
      <c r="HH21" s="17">
        <v>1.3453686845698682</v>
      </c>
      <c r="HI21" s="17">
        <v>0.59604644775390625</v>
      </c>
      <c r="HJ21" s="17">
        <v>1.5495129722348657</v>
      </c>
      <c r="HK21" s="17">
        <v>0.4449462890625</v>
      </c>
      <c r="HL21" s="17">
        <v>1.483154296875</v>
      </c>
      <c r="HM21" s="17">
        <v>1.6782999544833865</v>
      </c>
      <c r="HN21" s="17">
        <v>1.1219882965087891</v>
      </c>
      <c r="HO21" s="17">
        <v>5.0633764576288378</v>
      </c>
      <c r="HP21" s="17">
        <v>1.4119617660446062</v>
      </c>
      <c r="HQ21" s="17">
        <v>2.5</v>
      </c>
      <c r="HR21" s="17">
        <v>6.25</v>
      </c>
      <c r="HS21" s="17">
        <v>0.47073054164770134</v>
      </c>
      <c r="HT21" s="17">
        <v>1.9555109077738959</v>
      </c>
      <c r="HU21" s="17">
        <v>5.0633764576288378</v>
      </c>
      <c r="HV21" s="17">
        <v>0.53483841602184801</v>
      </c>
      <c r="HW21" s="17">
        <v>1.5160040883224166</v>
      </c>
      <c r="HX21" s="17">
        <v>4.0707517186435256</v>
      </c>
      <c r="HY21" s="17">
        <v>0.60451752389622226</v>
      </c>
      <c r="HZ21" s="17">
        <v>1.0719767711593104</v>
      </c>
      <c r="IA21" s="17">
        <v>1.1640388070216858</v>
      </c>
      <c r="IB21" s="17">
        <v>3.2458774426566244</v>
      </c>
      <c r="IC21" s="17">
        <v>0.68</v>
      </c>
      <c r="ID21" s="17">
        <v>0.82309973400933301</v>
      </c>
      <c r="IE21" s="17">
        <v>0.88457382471425772</v>
      </c>
      <c r="IF21" s="17">
        <v>2.5652640916713478</v>
      </c>
      <c r="IG21" s="17">
        <v>0.60451752389622226</v>
      </c>
      <c r="IH21" s="17">
        <v>0.625488149915572</v>
      </c>
      <c r="II21" s="17">
        <v>0.66471076978201882</v>
      </c>
      <c r="IJ21" s="17">
        <v>2.0079804503831817</v>
      </c>
      <c r="IK21" s="17">
        <v>0.53483841602184801</v>
      </c>
      <c r="IL21" s="17">
        <v>0.47002149284059552</v>
      </c>
      <c r="IM21" s="17">
        <v>0.49345650165960286</v>
      </c>
      <c r="IN21" s="17">
        <v>1.5554607117530959</v>
      </c>
      <c r="IO21" s="17">
        <v>0.47073054164770134</v>
      </c>
      <c r="IP21" s="17">
        <v>0.348926438544096</v>
      </c>
      <c r="IQ21" s="17">
        <v>0.36150373534832037</v>
      </c>
      <c r="IR21" s="17">
        <v>1.1913191278524196</v>
      </c>
      <c r="IS21" s="17">
        <v>0.41196176604460633</v>
      </c>
      <c r="IT21" s="17">
        <v>0.25562174268906435</v>
      </c>
      <c r="IU21" s="17">
        <v>0.84238983386168942</v>
      </c>
      <c r="IV21" s="17">
        <v>0.26102919649057066</v>
      </c>
      <c r="IW21" s="17">
        <v>0.90117222597935098</v>
      </c>
      <c r="IX21" s="17">
        <v>0.35829995448338642</v>
      </c>
      <c r="IY21" s="17">
        <v>0.18457551492615826</v>
      </c>
      <c r="IZ21" s="17">
        <v>0.6372249920069748</v>
      </c>
      <c r="JA21" s="17">
        <v>0.1855085765647157</v>
      </c>
      <c r="JB21" s="17">
        <v>0.67246859004709425</v>
      </c>
      <c r="JC21" s="17">
        <v>0.30951297223486568</v>
      </c>
      <c r="JD21" s="17">
        <v>0.13117437245717431</v>
      </c>
      <c r="JE21" s="17">
        <v>0.47550710015725678</v>
      </c>
      <c r="JF21" s="17">
        <v>0.12954755776040386</v>
      </c>
      <c r="JG21" s="17">
        <v>0.49432620724364623</v>
      </c>
      <c r="JH21" s="17">
        <v>0.26536868456986812</v>
      </c>
      <c r="JI21" s="17">
        <v>9.160395657853751E-2</v>
      </c>
      <c r="JJ21" s="17">
        <v>0.34954141326020888</v>
      </c>
      <c r="JK21" s="17">
        <v>8.8728177094316144E-2</v>
      </c>
      <c r="JL21" s="17">
        <v>0.35737737996321772</v>
      </c>
      <c r="JM21" s="17">
        <v>0.22563495675921708</v>
      </c>
      <c r="JN21" s="17">
        <v>6.2740295705711838E-2</v>
      </c>
      <c r="JO21" s="17">
        <v>0.1953125</v>
      </c>
      <c r="JP21" s="17">
        <v>1.3453686845698682</v>
      </c>
      <c r="JQ21" s="17">
        <v>0.59604644775390625</v>
      </c>
      <c r="JR21" s="17">
        <v>1.5495129722348657</v>
      </c>
      <c r="JS21" s="17">
        <v>0.4449462890625</v>
      </c>
      <c r="JT21" s="17">
        <v>1.483154296875</v>
      </c>
      <c r="JU21" s="17">
        <v>1.6782999544833865</v>
      </c>
      <c r="JV21" s="17">
        <v>1.1219882965087891</v>
      </c>
      <c r="JW21" s="17">
        <v>5.0633764576288378</v>
      </c>
      <c r="JX21" s="17">
        <v>1.4119617660446062</v>
      </c>
      <c r="JY21" s="17">
        <v>2.5</v>
      </c>
      <c r="JZ21" s="17">
        <v>6.25</v>
      </c>
      <c r="KA21" s="17">
        <v>0.47073054164770134</v>
      </c>
      <c r="KB21" s="17">
        <v>1.9555109077738959</v>
      </c>
      <c r="KC21" s="17">
        <v>5.0633764576288378</v>
      </c>
      <c r="KD21" s="17">
        <v>0.53483841602184801</v>
      </c>
      <c r="KE21" s="17">
        <v>1.5160040883224166</v>
      </c>
      <c r="KF21" s="17">
        <v>4.0707517186435256</v>
      </c>
      <c r="KG21" s="17">
        <v>0.60451752389622226</v>
      </c>
      <c r="KH21" s="17">
        <v>1.0719767711593104</v>
      </c>
      <c r="KI21" s="17">
        <v>1.1640388070216858</v>
      </c>
      <c r="KJ21" s="17">
        <v>3.2458774426566244</v>
      </c>
      <c r="KK21" s="17">
        <v>0.68</v>
      </c>
      <c r="KL21" s="17">
        <v>0.82309973400933301</v>
      </c>
      <c r="KM21" s="17">
        <v>0.88457382471425772</v>
      </c>
      <c r="KN21" s="17">
        <v>2.5652640916713478</v>
      </c>
      <c r="KO21" s="17">
        <v>0.60451752389622226</v>
      </c>
      <c r="KP21" s="17">
        <v>0.625488149915572</v>
      </c>
      <c r="KQ21" s="17">
        <v>0.66471076978201882</v>
      </c>
      <c r="KR21" s="17">
        <v>2.0079804503831817</v>
      </c>
      <c r="KS21" s="17">
        <v>0.53483841602184801</v>
      </c>
      <c r="KT21" s="17">
        <v>0.47002149284059552</v>
      </c>
      <c r="KU21" s="17">
        <v>0.49345650165960286</v>
      </c>
      <c r="KV21" s="17">
        <v>1.5554607117530959</v>
      </c>
      <c r="KW21" s="17">
        <v>0.47073054164770134</v>
      </c>
      <c r="KX21" s="17">
        <v>0.348926438544096</v>
      </c>
      <c r="KY21" s="17">
        <v>0.36150373534832037</v>
      </c>
      <c r="KZ21" s="17">
        <v>1.1913191278524196</v>
      </c>
      <c r="LA21" s="17">
        <v>0.41196176604460633</v>
      </c>
      <c r="LB21" s="17">
        <v>0.25562174268906435</v>
      </c>
      <c r="LC21" s="17">
        <v>0.84238983386168942</v>
      </c>
      <c r="LD21" s="17">
        <v>0.26102919649057066</v>
      </c>
      <c r="LE21" s="17">
        <v>0.90117222597935098</v>
      </c>
      <c r="LF21" s="17">
        <v>0.35829995448338642</v>
      </c>
      <c r="LG21" s="17">
        <v>0.18457551492615826</v>
      </c>
      <c r="LH21" s="17">
        <v>0.6372249920069748</v>
      </c>
      <c r="LI21" s="17">
        <v>0.1855085765647157</v>
      </c>
      <c r="LJ21" s="17">
        <v>0.67246859004709425</v>
      </c>
      <c r="LK21" s="17">
        <v>0.30951297223486568</v>
      </c>
      <c r="LL21" s="17">
        <v>0.13117437245717431</v>
      </c>
      <c r="LM21" s="17">
        <v>0.47550710015725678</v>
      </c>
      <c r="LN21" s="17">
        <v>0.12954755776040386</v>
      </c>
      <c r="LO21" s="17">
        <v>0.49432620724364623</v>
      </c>
      <c r="LP21" s="17">
        <v>0.26536868456986812</v>
      </c>
      <c r="LQ21" s="17">
        <v>9.160395657853751E-2</v>
      </c>
      <c r="LR21" s="17">
        <v>0.34954141326020888</v>
      </c>
      <c r="LS21" s="17">
        <v>8.8728177094316144E-2</v>
      </c>
      <c r="LT21" s="17">
        <v>0.35737737996321772</v>
      </c>
      <c r="LU21" s="17">
        <v>0.22563495675921708</v>
      </c>
      <c r="LV21" s="17">
        <v>6.2740295705711838E-2</v>
      </c>
    </row>
    <row r="22" spans="1:334" s="4" customFormat="1" ht="14.25" x14ac:dyDescent="0.2">
      <c r="A22" s="16">
        <v>16</v>
      </c>
      <c r="B22" s="17" t="s">
        <v>684</v>
      </c>
      <c r="C22" s="18" t="s">
        <v>42</v>
      </c>
      <c r="D22" s="18" t="s">
        <v>98</v>
      </c>
      <c r="E22" s="18" t="s">
        <v>42</v>
      </c>
      <c r="F22" s="19" t="s">
        <v>114</v>
      </c>
      <c r="G22" s="19" t="s">
        <v>431</v>
      </c>
      <c r="H22" s="20">
        <v>-1</v>
      </c>
      <c r="I22" s="21">
        <v>32.6</v>
      </c>
      <c r="J22" s="22">
        <v>24.323799999999999</v>
      </c>
      <c r="K22" s="20" t="s">
        <v>115</v>
      </c>
      <c r="L22" s="18">
        <v>0</v>
      </c>
      <c r="M22" s="18">
        <v>2</v>
      </c>
      <c r="N22" s="18" t="s">
        <v>42</v>
      </c>
      <c r="O22" s="23">
        <v>0</v>
      </c>
      <c r="P22" s="23">
        <v>0</v>
      </c>
      <c r="Q22" s="23">
        <v>2</v>
      </c>
      <c r="R22" s="23">
        <v>3</v>
      </c>
      <c r="S22" s="23">
        <v>0</v>
      </c>
      <c r="T22" s="23">
        <v>40</v>
      </c>
      <c r="U22" s="23">
        <v>0</v>
      </c>
      <c r="V22" s="23">
        <v>40</v>
      </c>
      <c r="W22" s="23">
        <v>0</v>
      </c>
      <c r="X22" s="18" t="s">
        <v>42</v>
      </c>
      <c r="Y22" s="17">
        <v>730.61154293400011</v>
      </c>
      <c r="Z22" s="17">
        <v>712.60098293400006</v>
      </c>
      <c r="AA22" s="17">
        <v>730.61154293400011</v>
      </c>
      <c r="AB22" s="17">
        <v>712.60098293400006</v>
      </c>
      <c r="AC22" s="17">
        <v>1292.2449629340001</v>
      </c>
      <c r="AD22" s="17">
        <v>1274.2343982500001</v>
      </c>
      <c r="AE22" s="17">
        <v>1256.2238335660002</v>
      </c>
      <c r="AF22" s="17">
        <v>1238.2132688820002</v>
      </c>
      <c r="AG22" s="17">
        <v>1218.2081835016002</v>
      </c>
      <c r="AH22" s="17">
        <v>1200.1976188176002</v>
      </c>
      <c r="AI22" s="17">
        <v>1108.1502747012003</v>
      </c>
      <c r="AJ22" s="17">
        <v>737.66591048680016</v>
      </c>
      <c r="AK22" s="17">
        <v>719.65534580280018</v>
      </c>
      <c r="AL22" s="17">
        <v>701.64478111880021</v>
      </c>
      <c r="AM22" s="17">
        <v>683.63421643480024</v>
      </c>
      <c r="AN22" s="17">
        <v>663.6291310544002</v>
      </c>
      <c r="AO22" s="17">
        <v>645.61856637040023</v>
      </c>
      <c r="AP22" s="17">
        <v>627.60800168640026</v>
      </c>
      <c r="AQ22" s="17">
        <v>609.59743700240028</v>
      </c>
      <c r="AR22" s="17">
        <v>591.58687231840031</v>
      </c>
      <c r="AS22" s="17">
        <v>607.60291630600022</v>
      </c>
      <c r="AT22" s="17">
        <v>589.59235162200025</v>
      </c>
      <c r="AU22" s="17">
        <v>553.57122744720004</v>
      </c>
      <c r="AV22" s="17">
        <v>571.58179213120002</v>
      </c>
      <c r="AW22" s="17">
        <v>739.68156055120016</v>
      </c>
      <c r="AX22" s="17">
        <v>721.67099586720019</v>
      </c>
      <c r="AY22" s="17">
        <v>703.66043118320022</v>
      </c>
      <c r="AZ22" s="17">
        <v>685.64986649920024</v>
      </c>
      <c r="BA22" s="17">
        <v>665.64478111880021</v>
      </c>
      <c r="BB22" s="17">
        <v>647.63421643480024</v>
      </c>
      <c r="BC22" s="17">
        <v>629.62365175080026</v>
      </c>
      <c r="BD22" s="17">
        <v>611.61308706680029</v>
      </c>
      <c r="BE22" s="17">
        <v>593.60252238280032</v>
      </c>
      <c r="BF22" s="17">
        <v>609.61856637040023</v>
      </c>
      <c r="BG22" s="17">
        <v>591.60800168640026</v>
      </c>
      <c r="BH22" s="17">
        <v>551.55557738280004</v>
      </c>
      <c r="BI22" s="17">
        <v>569.56614206680001</v>
      </c>
      <c r="BJ22" s="17">
        <v>55.0547752254</v>
      </c>
      <c r="BK22" s="17">
        <v>57.070425289800006</v>
      </c>
      <c r="BL22" s="17">
        <v>69.070425289799999</v>
      </c>
      <c r="BM22" s="17">
        <v>71.086075354200005</v>
      </c>
      <c r="BN22" s="17">
        <v>81.070425289799999</v>
      </c>
      <c r="BO22" s="17">
        <v>83.086075354200005</v>
      </c>
      <c r="BP22" s="17">
        <v>85.101725418599997</v>
      </c>
      <c r="BQ22" s="17">
        <v>95.086075354200005</v>
      </c>
      <c r="BR22" s="17">
        <v>97.101725418599997</v>
      </c>
      <c r="BS22" s="17">
        <v>99.117375483000004</v>
      </c>
      <c r="BT22" s="17">
        <v>109.1017254186</v>
      </c>
      <c r="BU22" s="17">
        <v>111.117375483</v>
      </c>
      <c r="BV22" s="17">
        <v>113.13302554740001</v>
      </c>
      <c r="BW22" s="17">
        <v>123.117375483</v>
      </c>
      <c r="BX22" s="17">
        <v>125.13302554740001</v>
      </c>
      <c r="BY22" s="17">
        <v>127.1486756118</v>
      </c>
      <c r="BZ22" s="17">
        <v>137.1330255474</v>
      </c>
      <c r="CA22" s="17">
        <v>139.1486756118</v>
      </c>
      <c r="CB22" s="17">
        <v>141.16432567620001</v>
      </c>
      <c r="CC22" s="17">
        <v>149.1330255474</v>
      </c>
      <c r="CD22" s="17">
        <v>151.1486756118</v>
      </c>
      <c r="CE22" s="17">
        <v>153.16432567620001</v>
      </c>
      <c r="CF22" s="17">
        <v>155.17997574060001</v>
      </c>
      <c r="CG22" s="17">
        <v>163.1486756118</v>
      </c>
      <c r="CH22" s="17">
        <v>165.16432567620001</v>
      </c>
      <c r="CI22" s="17">
        <v>167.17997574060001</v>
      </c>
      <c r="CJ22" s="17">
        <v>169.19562580499999</v>
      </c>
      <c r="CK22" s="17">
        <v>177.16432567620001</v>
      </c>
      <c r="CL22" s="17">
        <v>179.17997574060001</v>
      </c>
      <c r="CM22" s="17">
        <v>181.19562580499999</v>
      </c>
      <c r="CN22" s="17">
        <v>183.2112758694</v>
      </c>
      <c r="CO22" s="17">
        <v>191.17997574060001</v>
      </c>
      <c r="CP22" s="17">
        <v>193.19562580499999</v>
      </c>
      <c r="CQ22" s="17">
        <v>195.2112758694</v>
      </c>
      <c r="CR22" s="17">
        <v>197.2269259338</v>
      </c>
      <c r="CS22" s="17">
        <v>205.19562580499999</v>
      </c>
      <c r="CT22" s="17">
        <v>207.2112758694</v>
      </c>
      <c r="CU22" s="17">
        <v>209.2269259338</v>
      </c>
      <c r="CV22" s="17">
        <v>211.24257599820001</v>
      </c>
      <c r="CW22" s="17">
        <v>219.2112758694</v>
      </c>
      <c r="CX22" s="17">
        <v>221.2269259338</v>
      </c>
      <c r="CY22" s="17">
        <v>223.24257599820001</v>
      </c>
      <c r="CZ22" s="17">
        <v>225.25822606260002</v>
      </c>
      <c r="DA22" s="17">
        <v>233.2269259338</v>
      </c>
      <c r="DB22" s="17">
        <v>235.24257599820001</v>
      </c>
      <c r="DC22" s="17">
        <v>237.25822606260002</v>
      </c>
      <c r="DD22" s="17">
        <v>239.27387612699999</v>
      </c>
      <c r="DE22" s="17">
        <v>247.24257599820001</v>
      </c>
      <c r="DF22" s="17">
        <v>249.25822606260002</v>
      </c>
      <c r="DG22" s="17">
        <v>251.27387612699999</v>
      </c>
      <c r="DH22" s="17">
        <v>253.2895261914</v>
      </c>
      <c r="DI22" s="17">
        <v>261.25822606259999</v>
      </c>
      <c r="DJ22" s="17">
        <v>263.27387612699999</v>
      </c>
      <c r="DK22" s="17">
        <v>265.2895261914</v>
      </c>
      <c r="DL22" s="17">
        <v>267.30517625580001</v>
      </c>
      <c r="DM22" s="17">
        <v>275.27387612699999</v>
      </c>
      <c r="DN22" s="17">
        <v>277.2895261914</v>
      </c>
      <c r="DO22" s="17">
        <v>279.30517625580001</v>
      </c>
      <c r="DP22" s="17">
        <v>281.32082632020001</v>
      </c>
      <c r="DQ22" s="17">
        <v>289.2895261914</v>
      </c>
      <c r="DR22" s="17">
        <v>55.0547752254</v>
      </c>
      <c r="DS22" s="17">
        <v>57.070425289800006</v>
      </c>
      <c r="DT22" s="17">
        <v>69.070425289799999</v>
      </c>
      <c r="DU22" s="17">
        <v>71.086075354200005</v>
      </c>
      <c r="DV22" s="17">
        <v>81.070425289799999</v>
      </c>
      <c r="DW22" s="17">
        <v>83.086075354200005</v>
      </c>
      <c r="DX22" s="17">
        <v>85.101725418599997</v>
      </c>
      <c r="DY22" s="17">
        <v>95.086075354200005</v>
      </c>
      <c r="DZ22" s="17">
        <v>97.101725418599997</v>
      </c>
      <c r="EA22" s="17">
        <v>99.117375483000004</v>
      </c>
      <c r="EB22" s="17">
        <v>109.1017254186</v>
      </c>
      <c r="EC22" s="17">
        <v>111.117375483</v>
      </c>
      <c r="ED22" s="17">
        <v>113.13302554740001</v>
      </c>
      <c r="EE22" s="17">
        <v>123.117375483</v>
      </c>
      <c r="EF22" s="17">
        <v>125.13302554740001</v>
      </c>
      <c r="EG22" s="17">
        <v>127.1486756118</v>
      </c>
      <c r="EH22" s="17">
        <v>137.1330255474</v>
      </c>
      <c r="EI22" s="17">
        <v>139.1486756118</v>
      </c>
      <c r="EJ22" s="17">
        <v>141.16432567620001</v>
      </c>
      <c r="EK22" s="17">
        <v>149.1330255474</v>
      </c>
      <c r="EL22" s="17">
        <v>151.1486756118</v>
      </c>
      <c r="EM22" s="17">
        <v>153.16432567620001</v>
      </c>
      <c r="EN22" s="17">
        <v>155.17997574060001</v>
      </c>
      <c r="EO22" s="17">
        <v>163.1486756118</v>
      </c>
      <c r="EP22" s="17">
        <v>165.16432567620001</v>
      </c>
      <c r="EQ22" s="17">
        <v>167.17997574060001</v>
      </c>
      <c r="ER22" s="17">
        <v>169.19562580499999</v>
      </c>
      <c r="ES22" s="17">
        <v>177.16432567620001</v>
      </c>
      <c r="ET22" s="17">
        <v>179.17997574060001</v>
      </c>
      <c r="EU22" s="17">
        <v>181.19562580499999</v>
      </c>
      <c r="EV22" s="17">
        <v>183.2112758694</v>
      </c>
      <c r="EW22" s="17">
        <v>191.17997574060001</v>
      </c>
      <c r="EX22" s="17">
        <v>193.19562580499999</v>
      </c>
      <c r="EY22" s="17">
        <v>195.2112758694</v>
      </c>
      <c r="EZ22" s="17">
        <v>197.2269259338</v>
      </c>
      <c r="FA22" s="17">
        <v>205.19562580499999</v>
      </c>
      <c r="FB22" s="17">
        <v>207.2112758694</v>
      </c>
      <c r="FC22" s="17">
        <v>209.2269259338</v>
      </c>
      <c r="FD22" s="17">
        <v>211.24257599820001</v>
      </c>
      <c r="FE22" s="17">
        <v>217.19562580499999</v>
      </c>
      <c r="FF22" s="17">
        <v>219.2112758694</v>
      </c>
      <c r="FG22" s="17">
        <v>221.2269259338</v>
      </c>
      <c r="FH22" s="17">
        <v>223.24257599820001</v>
      </c>
      <c r="FI22" s="17">
        <v>225.25822606260002</v>
      </c>
      <c r="FJ22" s="17">
        <v>231.2112758694</v>
      </c>
      <c r="FK22" s="17">
        <v>233.2269259338</v>
      </c>
      <c r="FL22" s="17">
        <v>235.24257599820001</v>
      </c>
      <c r="FM22" s="17">
        <v>237.25822606260002</v>
      </c>
      <c r="FN22" s="17">
        <v>239.27387612699999</v>
      </c>
      <c r="FO22" s="17">
        <v>245.2269259338</v>
      </c>
      <c r="FP22" s="17">
        <v>247.24257599820001</v>
      </c>
      <c r="FQ22" s="17">
        <v>249.25822606260002</v>
      </c>
      <c r="FR22" s="17">
        <v>251.27387612699999</v>
      </c>
      <c r="FS22" s="17">
        <v>253.2895261914</v>
      </c>
      <c r="FT22" s="17">
        <v>259.24257599819998</v>
      </c>
      <c r="FU22" s="17">
        <v>261.25822606259999</v>
      </c>
      <c r="FV22" s="17">
        <v>263.27387612699999</v>
      </c>
      <c r="FW22" s="17">
        <v>265.2895261914</v>
      </c>
      <c r="FX22" s="17">
        <v>267.30517625580001</v>
      </c>
      <c r="FY22" s="17">
        <v>273.25822606259999</v>
      </c>
      <c r="FZ22" s="17">
        <v>123.80494999999999</v>
      </c>
      <c r="GA22" s="17">
        <v>15.475618749999999</v>
      </c>
      <c r="GB22" s="17">
        <v>1.9344523437499999</v>
      </c>
      <c r="GC22" s="17">
        <v>0.96722617187499993</v>
      </c>
      <c r="GD22" s="17">
        <v>3.9321600000000023</v>
      </c>
      <c r="GE22" s="17">
        <v>2</v>
      </c>
      <c r="GF22" s="17">
        <v>0</v>
      </c>
      <c r="GG22" s="17">
        <v>20.480000000000004</v>
      </c>
      <c r="GH22" s="17">
        <v>11.37777777777778</v>
      </c>
      <c r="GI22" s="17">
        <v>7.9644444444444451</v>
      </c>
      <c r="GJ22" s="17">
        <v>2.6548148148148152</v>
      </c>
      <c r="GK22" s="17">
        <v>29.160000000000004</v>
      </c>
      <c r="GL22" s="17">
        <v>29.160000000000004</v>
      </c>
      <c r="GM22" s="17">
        <v>14.580000000000002</v>
      </c>
      <c r="GN22" s="17">
        <v>29.160000000000004</v>
      </c>
      <c r="GO22" s="17">
        <v>5.8320000000000007</v>
      </c>
      <c r="GP22" s="17">
        <v>15</v>
      </c>
      <c r="GQ22" s="17">
        <v>3.75</v>
      </c>
      <c r="GR22" s="17">
        <v>25.919999999999998</v>
      </c>
      <c r="GS22" s="17">
        <v>12.959999999999999</v>
      </c>
      <c r="GT22" s="17">
        <v>51.20000000000001</v>
      </c>
      <c r="GU22" s="17">
        <v>28.44444444444445</v>
      </c>
      <c r="GV22" s="17">
        <v>19.911111111111115</v>
      </c>
      <c r="GW22" s="17">
        <v>6.6370370370370386</v>
      </c>
      <c r="GX22" s="17">
        <v>32.400000000000006</v>
      </c>
      <c r="GY22" s="17">
        <v>32.400000000000006</v>
      </c>
      <c r="GZ22" s="17">
        <v>16.200000000000003</v>
      </c>
      <c r="HA22" s="17">
        <v>32.400000000000006</v>
      </c>
      <c r="HB22" s="17">
        <v>6.4800000000000013</v>
      </c>
      <c r="HC22" s="17">
        <v>15</v>
      </c>
      <c r="HD22" s="17">
        <v>3.75</v>
      </c>
      <c r="HE22" s="17">
        <v>23.327999999999999</v>
      </c>
      <c r="HF22" s="17">
        <v>11.664</v>
      </c>
      <c r="HG22" s="17">
        <v>0.98876953125</v>
      </c>
      <c r="HH22" s="17">
        <v>2.1075056052866707</v>
      </c>
      <c r="HI22" s="17">
        <v>3.0174851417541504</v>
      </c>
      <c r="HJ22" s="17">
        <v>2.9708693673190716</v>
      </c>
      <c r="HK22" s="17">
        <v>2.2525405883789063</v>
      </c>
      <c r="HL22" s="17">
        <v>7.5084686279296875</v>
      </c>
      <c r="HM22" s="17">
        <v>3.4767591328242213</v>
      </c>
      <c r="HN22" s="17">
        <v>5.6800657510757446</v>
      </c>
      <c r="HO22" s="17">
        <v>25.633343316745989</v>
      </c>
      <c r="HP22" s="17">
        <v>2.1443382390127956</v>
      </c>
      <c r="HQ22" s="17">
        <v>12.65625</v>
      </c>
      <c r="HR22" s="17">
        <v>31.640625</v>
      </c>
      <c r="HS22" s="17">
        <v>1.3075848379102815</v>
      </c>
      <c r="HT22" s="17">
        <v>9.8997739706053487</v>
      </c>
      <c r="HU22" s="17">
        <v>25.633343316745989</v>
      </c>
      <c r="HV22" s="17">
        <v>1.4856622667273556</v>
      </c>
      <c r="HW22" s="17">
        <v>7.6747706971322343</v>
      </c>
      <c r="HX22" s="17">
        <v>20.608180575632847</v>
      </c>
      <c r="HY22" s="17">
        <v>1.6792153441561728</v>
      </c>
      <c r="HZ22" s="17">
        <v>5.4268824039940089</v>
      </c>
      <c r="IA22" s="17">
        <v>5.8929464605472841</v>
      </c>
      <c r="IB22" s="17">
        <v>16.432254553449162</v>
      </c>
      <c r="IC22" s="17">
        <v>1.8888888888888888</v>
      </c>
      <c r="ID22" s="17">
        <v>4.1669424034222482</v>
      </c>
      <c r="IE22" s="17">
        <v>4.4781549876159294</v>
      </c>
      <c r="IF22" s="17">
        <v>12.986649464086197</v>
      </c>
      <c r="IG22" s="17">
        <v>1.6792153441561728</v>
      </c>
      <c r="IH22" s="17">
        <v>3.1665337589475833</v>
      </c>
      <c r="II22" s="17">
        <v>3.3650982720214704</v>
      </c>
      <c r="IJ22" s="17">
        <v>10.165401030064857</v>
      </c>
      <c r="IK22" s="17">
        <v>1.4856622667273556</v>
      </c>
      <c r="IL22" s="17">
        <v>2.3794838075055149</v>
      </c>
      <c r="IM22" s="17">
        <v>2.4981235396517394</v>
      </c>
      <c r="IN22" s="17">
        <v>7.8745198532500478</v>
      </c>
      <c r="IO22" s="17">
        <v>1.3075848379102815</v>
      </c>
      <c r="IP22" s="17">
        <v>1.7664400951294859</v>
      </c>
      <c r="IQ22" s="17">
        <v>1.8301126602008719</v>
      </c>
      <c r="IR22" s="17">
        <v>6.031053084752874</v>
      </c>
      <c r="IS22" s="17">
        <v>1.1443382390127954</v>
      </c>
      <c r="IT22" s="17">
        <v>1.2940850723633883</v>
      </c>
      <c r="IU22" s="17">
        <v>1.321460307233514</v>
      </c>
      <c r="IV22" s="17">
        <v>4.5621843940204645</v>
      </c>
      <c r="IW22" s="17">
        <v>0.99527765134274004</v>
      </c>
      <c r="IX22" s="17">
        <v>0.93441354431367618</v>
      </c>
      <c r="IY22" s="17">
        <v>0.93913716885887322</v>
      </c>
      <c r="IZ22" s="17">
        <v>3.4043722371134146</v>
      </c>
      <c r="JA22" s="17">
        <v>0.8597582562079602</v>
      </c>
      <c r="JB22" s="17">
        <v>0.66407026056444496</v>
      </c>
      <c r="JC22" s="17">
        <v>0.6558345111620445</v>
      </c>
      <c r="JD22" s="17">
        <v>2.5025264241709593</v>
      </c>
      <c r="JE22" s="17">
        <v>0.73713523491630029</v>
      </c>
      <c r="JF22" s="17">
        <v>0.46374503017884611</v>
      </c>
      <c r="JG22" s="17">
        <v>0.4491863965399755</v>
      </c>
      <c r="JH22" s="17">
        <v>1.8092229860637898</v>
      </c>
      <c r="JI22" s="17">
        <v>0.62676376877560303</v>
      </c>
      <c r="JJ22" s="17">
        <v>0.31762274701016618</v>
      </c>
      <c r="JK22" s="17">
        <v>0.3010658590894742</v>
      </c>
      <c r="JL22" s="17">
        <v>1.283957340234521</v>
      </c>
      <c r="JM22" s="17">
        <v>0.52799903909371371</v>
      </c>
      <c r="JN22" s="17">
        <v>0.21288571054592076</v>
      </c>
      <c r="JO22" s="17">
        <v>0.476837158203125</v>
      </c>
      <c r="JP22" s="17">
        <v>1.5708885696404189</v>
      </c>
      <c r="JQ22" s="17">
        <v>1.4551915228366852</v>
      </c>
      <c r="JR22" s="17">
        <v>1.9523640191169775</v>
      </c>
      <c r="JS22" s="17">
        <v>1.0862946510314941</v>
      </c>
      <c r="JT22" s="17">
        <v>3.6209821701049805</v>
      </c>
      <c r="JU22" s="17">
        <v>2.1848436788802914</v>
      </c>
      <c r="JV22" s="17">
        <v>2.7392292395234108</v>
      </c>
      <c r="JW22" s="17">
        <v>12.361758929757904</v>
      </c>
      <c r="JX22" s="17">
        <v>1.6436902594446974</v>
      </c>
      <c r="JY22" s="17">
        <v>6.103515625</v>
      </c>
      <c r="JZ22" s="17">
        <v>15.2587890625</v>
      </c>
      <c r="KA22" s="17">
        <v>0.73551647132453335</v>
      </c>
      <c r="KB22" s="17">
        <v>4.7741965521823628</v>
      </c>
      <c r="KC22" s="17">
        <v>12.361758929757904</v>
      </c>
      <c r="KD22" s="17">
        <v>0.83568502503413755</v>
      </c>
      <c r="KE22" s="17">
        <v>3.7011818562559</v>
      </c>
      <c r="KF22" s="17">
        <v>9.938358688094544</v>
      </c>
      <c r="KG22" s="17">
        <v>0.94455863108784721</v>
      </c>
      <c r="KH22" s="17">
        <v>2.6171307889631601</v>
      </c>
      <c r="KI22" s="17">
        <v>2.8418916187052878</v>
      </c>
      <c r="KJ22" s="17">
        <v>7.9245054752358994</v>
      </c>
      <c r="KK22" s="17">
        <v>1.0625</v>
      </c>
      <c r="KL22" s="17">
        <v>2.0095208349837232</v>
      </c>
      <c r="KM22" s="17">
        <v>2.1596040642437933</v>
      </c>
      <c r="KN22" s="17">
        <v>6.2628517863070012</v>
      </c>
      <c r="KO22" s="17">
        <v>0.94455863108784721</v>
      </c>
      <c r="KP22" s="17">
        <v>1.5270706785048145</v>
      </c>
      <c r="KQ22" s="17">
        <v>1.6228290277881319</v>
      </c>
      <c r="KR22" s="17">
        <v>4.9022960214433144</v>
      </c>
      <c r="KS22" s="17">
        <v>0.83568502503413755</v>
      </c>
      <c r="KT22" s="17">
        <v>1.1475134102553601</v>
      </c>
      <c r="KU22" s="17">
        <v>1.2047277872548898</v>
      </c>
      <c r="KV22" s="17">
        <v>3.7975115033034568</v>
      </c>
      <c r="KW22" s="17">
        <v>0.73551647132453335</v>
      </c>
      <c r="KX22" s="17">
        <v>0.85187118785179694</v>
      </c>
      <c r="KY22" s="17">
        <v>0.8825774788777353</v>
      </c>
      <c r="KZ22" s="17">
        <v>2.908493964483446</v>
      </c>
      <c r="LA22" s="17">
        <v>0.64369025944469738</v>
      </c>
      <c r="LB22" s="17">
        <v>0.62407652023697346</v>
      </c>
      <c r="LC22" s="17">
        <v>2.0566158053263899</v>
      </c>
      <c r="LD22" s="17">
        <v>0.63727831174455729</v>
      </c>
      <c r="LE22" s="17">
        <v>2.2001275048323996</v>
      </c>
      <c r="LF22" s="17">
        <v>0.5598436788802913</v>
      </c>
      <c r="LG22" s="17">
        <v>0.45062381573769106</v>
      </c>
      <c r="LH22" s="17">
        <v>1.5557250781420282</v>
      </c>
      <c r="LI22" s="17">
        <v>0.45290179825370042</v>
      </c>
      <c r="LJ22" s="17">
        <v>1.6417690186696638</v>
      </c>
      <c r="LK22" s="17">
        <v>0.4836140191169776</v>
      </c>
      <c r="LL22" s="17">
        <v>0.32024993275677321</v>
      </c>
      <c r="LM22" s="17">
        <v>1.1609060062433028</v>
      </c>
      <c r="LN22" s="17">
        <v>0.31627821718848598</v>
      </c>
      <c r="LO22" s="17">
        <v>1.2068510919034332</v>
      </c>
      <c r="LP22" s="17">
        <v>0.4146385696404189</v>
      </c>
      <c r="LQ22" s="17">
        <v>0.22364247211557009</v>
      </c>
      <c r="LR22" s="17">
        <v>0.85337259096730689</v>
      </c>
      <c r="LS22" s="17">
        <v>0.21662152610917026</v>
      </c>
      <c r="LT22" s="17">
        <v>0.8725033690508246</v>
      </c>
      <c r="LU22" s="17">
        <v>0.35255461993627668</v>
      </c>
      <c r="LV22" s="17">
        <v>0.15317455006277303</v>
      </c>
    </row>
    <row r="23" spans="1:334" x14ac:dyDescent="0.2">
      <c r="A23" s="1"/>
    </row>
    <row r="24" spans="1:334" x14ac:dyDescent="0.2">
      <c r="A24" s="1"/>
    </row>
    <row r="25" spans="1:334" x14ac:dyDescent="0.2">
      <c r="A25" s="1"/>
    </row>
    <row r="26" spans="1:334" x14ac:dyDescent="0.2">
      <c r="A26" s="1"/>
    </row>
    <row r="27" spans="1:334" x14ac:dyDescent="0.2">
      <c r="A27" s="1"/>
    </row>
    <row r="28" spans="1:334" x14ac:dyDescent="0.2">
      <c r="A28" s="1"/>
    </row>
    <row r="29" spans="1:334" x14ac:dyDescent="0.2">
      <c r="A29" s="1"/>
    </row>
    <row r="30" spans="1:334" x14ac:dyDescent="0.2">
      <c r="A30" s="1"/>
    </row>
    <row r="31" spans="1:334" x14ac:dyDescent="0.2">
      <c r="A31" s="1"/>
    </row>
    <row r="32" spans="1:334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</sheetData>
  <phoneticPr fontId="11" type="noConversion"/>
  <conditionalFormatting sqref="E5">
    <cfRule type="containsText" dxfId="2" priority="1" operator="containsText" text="T">
      <formula>NOT(ISERROR(SEARCH("T",E5)))</formula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.75" right="0.75" top="1" bottom="1" header="0.5" footer="0.5"/>
  <pageSetup orientation="portrait" r:id="rId1"/>
  <headerFooter alignWithMargins="0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966FB-3090-49DB-833F-5E76A08A775F}">
  <sheetPr codeName="Sheet80"/>
  <dimension ref="A1:ME22"/>
  <sheetViews>
    <sheetView zoomScaleNormal="100" workbookViewId="0">
      <pane ySplit="6" topLeftCell="A7" activePane="bottomLeft" state="frozen"/>
      <selection activeCell="J3" sqref="J3"/>
      <selection pane="bottomLeft" activeCell="G18" sqref="A7:MD22"/>
    </sheetView>
  </sheetViews>
  <sheetFormatPr defaultRowHeight="12.75" x14ac:dyDescent="0.2"/>
  <cols>
    <col min="1" max="1" width="6.140625" bestFit="1" customWidth="1"/>
    <col min="2" max="2" width="12.28515625" bestFit="1" customWidth="1"/>
    <col min="3" max="3" width="7.140625" bestFit="1" customWidth="1"/>
    <col min="4" max="4" width="11.7109375" bestFit="1" customWidth="1"/>
    <col min="5" max="5" width="9.140625" bestFit="1" customWidth="1"/>
    <col min="6" max="6" width="9" bestFit="1" customWidth="1"/>
    <col min="7" max="7" width="11.5703125" bestFit="1" customWidth="1"/>
    <col min="8" max="8" width="8.28515625" bestFit="1" customWidth="1"/>
    <col min="9" max="9" width="6.85546875" bestFit="1" customWidth="1"/>
    <col min="10" max="10" width="9" bestFit="1" customWidth="1"/>
    <col min="11" max="11" width="12.85546875" bestFit="1" customWidth="1"/>
    <col min="12" max="12" width="10.140625" bestFit="1" customWidth="1"/>
    <col min="13" max="13" width="15.5703125" bestFit="1" customWidth="1"/>
    <col min="14" max="14" width="10.42578125" bestFit="1" customWidth="1"/>
    <col min="15" max="16" width="8.140625" bestFit="1" customWidth="1"/>
    <col min="17" max="18" width="12" bestFit="1" customWidth="1"/>
    <col min="19" max="19" width="9.5703125" bestFit="1" customWidth="1"/>
    <col min="20" max="20" width="22.140625" bestFit="1" customWidth="1"/>
    <col min="21" max="21" width="23.140625" bestFit="1" customWidth="1"/>
    <col min="22" max="22" width="22.140625" bestFit="1" customWidth="1"/>
    <col min="23" max="23" width="23.140625" bestFit="1" customWidth="1"/>
    <col min="24" max="24" width="15.5703125" bestFit="1" customWidth="1"/>
    <col min="25" max="25" width="17.140625" bestFit="1" customWidth="1"/>
    <col min="26" max="26" width="12.85546875" bestFit="1" customWidth="1"/>
    <col min="27" max="27" width="17.140625" bestFit="1" customWidth="1"/>
    <col min="28" max="28" width="12.85546875" bestFit="1" customWidth="1"/>
    <col min="29" max="29" width="28.7109375" bestFit="1" customWidth="1"/>
    <col min="30" max="30" width="13.140625" bestFit="1" customWidth="1"/>
    <col min="31" max="31" width="8.85546875" bestFit="1" customWidth="1"/>
    <col min="32" max="33" width="9.85546875" bestFit="1" customWidth="1"/>
    <col min="34" max="34" width="7.7109375" bestFit="1" customWidth="1"/>
    <col min="35" max="35" width="12.85546875" bestFit="1" customWidth="1"/>
    <col min="36" max="36" width="10.5703125" bestFit="1" customWidth="1"/>
    <col min="37" max="37" width="11.28515625" bestFit="1" customWidth="1"/>
    <col min="38" max="38" width="16.7109375" bestFit="1" customWidth="1"/>
    <col min="39" max="40" width="18" bestFit="1" customWidth="1"/>
    <col min="41" max="41" width="26.42578125" bestFit="1" customWidth="1"/>
    <col min="42" max="44" width="27.5703125" bestFit="1" customWidth="1"/>
    <col min="45" max="45" width="28.85546875" bestFit="1" customWidth="1"/>
    <col min="46" max="46" width="29.28515625" style="2" bestFit="1" customWidth="1"/>
    <col min="47" max="47" width="30.5703125" bestFit="1" customWidth="1"/>
    <col min="48" max="48" width="10.5703125" bestFit="1" customWidth="1"/>
    <col min="49" max="49" width="16.5703125" bestFit="1" customWidth="1"/>
    <col min="50" max="50" width="11.28515625" bestFit="1" customWidth="1"/>
    <col min="51" max="51" width="16.7109375" bestFit="1" customWidth="1"/>
    <col min="52" max="53" width="18" bestFit="1" customWidth="1"/>
    <col min="54" max="54" width="26.42578125" bestFit="1" customWidth="1"/>
    <col min="55" max="57" width="27.5703125" bestFit="1" customWidth="1"/>
    <col min="58" max="58" width="28.85546875" bestFit="1" customWidth="1"/>
    <col min="59" max="59" width="29.28515625" bestFit="1" customWidth="1"/>
    <col min="60" max="60" width="30.5703125" bestFit="1" customWidth="1"/>
    <col min="61" max="61" width="10.5703125" bestFit="1" customWidth="1"/>
    <col min="62" max="62" width="16.5703125" bestFit="1" customWidth="1"/>
    <col min="63" max="63" width="12" bestFit="1" customWidth="1"/>
    <col min="64" max="64" width="14" bestFit="1" customWidth="1"/>
    <col min="65" max="65" width="15.28515625" bestFit="1" customWidth="1"/>
    <col min="66" max="74" width="12.42578125" bestFit="1" customWidth="1"/>
    <col min="75" max="125" width="13.5703125" bestFit="1" customWidth="1"/>
    <col min="126" max="134" width="12.42578125" bestFit="1" customWidth="1"/>
    <col min="135" max="185" width="13.5703125" bestFit="1" customWidth="1"/>
    <col min="186" max="186" width="6.85546875" bestFit="1" customWidth="1"/>
    <col min="187" max="187" width="7.42578125" bestFit="1" customWidth="1"/>
    <col min="188" max="188" width="12.140625" bestFit="1" customWidth="1"/>
    <col min="189" max="189" width="18" bestFit="1" customWidth="1"/>
    <col min="190" max="198" width="9.85546875" bestFit="1" customWidth="1"/>
    <col min="199" max="219" width="11" bestFit="1" customWidth="1"/>
    <col min="220" max="222" width="12.140625" bestFit="1" customWidth="1"/>
    <col min="223" max="231" width="14.85546875" bestFit="1" customWidth="1"/>
    <col min="232" max="282" width="16.140625" bestFit="1" customWidth="1"/>
    <col min="283" max="291" width="14.85546875" bestFit="1" customWidth="1"/>
    <col min="292" max="292" width="16.140625" bestFit="1" customWidth="1"/>
    <col min="293" max="342" width="17.28515625" bestFit="1" customWidth="1"/>
  </cols>
  <sheetData>
    <row r="1" spans="1:343" s="4" customFormat="1" ht="14.25" x14ac:dyDescent="0.2">
      <c r="A1" s="4" t="s">
        <v>16</v>
      </c>
      <c r="B1" s="4">
        <f>(COUNTA(6:6)-28)/2</f>
        <v>157</v>
      </c>
      <c r="AT1" s="24"/>
    </row>
    <row r="2" spans="1:343" s="4" customFormat="1" ht="14.25" x14ac:dyDescent="0.2">
      <c r="A2" s="4" t="s">
        <v>472</v>
      </c>
      <c r="B2" s="4" t="s">
        <v>398</v>
      </c>
      <c r="C2" s="4" t="str">
        <f>IFERROR(IF(VLOOKUP(B2&amp;"-GDGT",Statistics!M:P,2,FALSE)=0,"",VLOOKUP(B2&amp;"-GDGT",Statistics!M:P,2,FALSE)),"")</f>
        <v>Yoshinaga, M. Y., et al. (2011). "Systematic fragmentation patterns of archaeal intact polar lipids by high-performance liquid chromatography/electrospray ionization ion-trap mass spectrometry." Rapid Communications in Mass Spectrometry 25(23): 3563-3574.</v>
      </c>
      <c r="D2" s="5"/>
      <c r="AT2" s="24"/>
    </row>
    <row r="3" spans="1:343" s="4" customFormat="1" ht="14.25" x14ac:dyDescent="0.2">
      <c r="A3" s="4" t="s">
        <v>473</v>
      </c>
      <c r="B3" s="4" t="s">
        <v>471</v>
      </c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25"/>
      <c r="CW3" s="25"/>
      <c r="CX3" s="25"/>
      <c r="CY3" s="25"/>
      <c r="CZ3" s="25"/>
      <c r="DA3" s="25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25"/>
      <c r="DM3" s="25"/>
      <c r="DN3" s="25"/>
      <c r="DO3" s="25"/>
      <c r="DP3" s="25"/>
      <c r="DQ3" s="25"/>
      <c r="DR3" s="25"/>
      <c r="DS3" s="25"/>
      <c r="DT3" s="25"/>
      <c r="DU3" s="25"/>
      <c r="DV3" s="25"/>
      <c r="DW3" s="25"/>
      <c r="DX3" s="25"/>
      <c r="DY3" s="25"/>
      <c r="DZ3" s="25"/>
      <c r="EA3" s="25"/>
      <c r="EB3" s="25"/>
      <c r="EC3" s="25"/>
      <c r="ED3" s="25"/>
      <c r="EE3" s="25"/>
      <c r="EF3" s="25"/>
      <c r="EG3" s="25"/>
      <c r="EH3" s="25"/>
      <c r="EI3" s="25"/>
      <c r="EJ3" s="25"/>
      <c r="EK3" s="25"/>
      <c r="EL3" s="25"/>
      <c r="EM3" s="25"/>
      <c r="EN3" s="25"/>
      <c r="EO3" s="25"/>
      <c r="EP3" s="25"/>
      <c r="EQ3" s="25"/>
      <c r="ER3" s="25"/>
      <c r="ES3" s="25"/>
      <c r="ET3" s="25"/>
      <c r="EU3" s="25"/>
      <c r="EV3" s="25"/>
      <c r="EW3" s="25"/>
      <c r="EX3" s="25"/>
      <c r="EY3" s="25"/>
      <c r="EZ3" s="25"/>
      <c r="FA3" s="25"/>
      <c r="FB3" s="25"/>
      <c r="FC3" s="25"/>
      <c r="FD3" s="25"/>
      <c r="FE3" s="25"/>
      <c r="FF3" s="25"/>
      <c r="FG3" s="25"/>
      <c r="FH3" s="25"/>
      <c r="FI3" s="25"/>
      <c r="FJ3" s="25"/>
      <c r="FK3" s="25"/>
      <c r="FL3" s="25"/>
      <c r="FM3" s="25"/>
      <c r="FN3" s="25"/>
      <c r="FO3" s="25"/>
      <c r="FP3" s="25"/>
      <c r="FQ3" s="25"/>
      <c r="FR3" s="25"/>
      <c r="FS3" s="25"/>
      <c r="FT3" s="25"/>
      <c r="FU3" s="25"/>
      <c r="FV3" s="25"/>
      <c r="FW3" s="25"/>
      <c r="FX3" s="25"/>
      <c r="FY3" s="25"/>
      <c r="FZ3" s="25"/>
      <c r="GA3" s="25"/>
      <c r="GB3" s="25"/>
      <c r="GC3" s="25"/>
      <c r="GD3" s="25"/>
      <c r="GE3" s="25"/>
      <c r="GF3" s="25"/>
      <c r="GG3" s="25"/>
      <c r="GH3" s="25"/>
      <c r="GI3" s="25"/>
      <c r="GJ3" s="25"/>
    </row>
    <row r="4" spans="1:343" s="4" customFormat="1" ht="14.25" x14ac:dyDescent="0.2"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IB4" s="6"/>
      <c r="IC4" s="6"/>
      <c r="ID4" s="6"/>
      <c r="IE4" s="6"/>
      <c r="IF4" s="6"/>
      <c r="IG4" s="6"/>
      <c r="IH4" s="6"/>
      <c r="II4" s="6"/>
      <c r="IJ4" s="6"/>
      <c r="IK4" s="6"/>
      <c r="IL4" s="6"/>
      <c r="IM4" s="6"/>
      <c r="IN4" s="6"/>
      <c r="IO4" s="6"/>
      <c r="IP4" s="6"/>
      <c r="IQ4" s="6"/>
      <c r="IR4" s="6"/>
      <c r="IS4" s="6"/>
      <c r="IT4" s="6"/>
      <c r="IU4" s="6"/>
      <c r="IV4" s="6"/>
      <c r="IW4" s="6"/>
      <c r="IX4" s="6"/>
      <c r="IY4" s="6"/>
      <c r="IZ4" s="6"/>
      <c r="JA4" s="6"/>
      <c r="JB4" s="6"/>
      <c r="JC4" s="6"/>
      <c r="JD4" s="6"/>
      <c r="JE4" s="6"/>
      <c r="JF4" s="6"/>
      <c r="JG4" s="6"/>
      <c r="JH4" s="6"/>
      <c r="JI4" s="6"/>
      <c r="JJ4" s="6"/>
      <c r="JK4" s="6"/>
      <c r="JL4" s="6"/>
      <c r="JM4" s="6"/>
      <c r="JN4" s="6"/>
      <c r="JO4" s="6"/>
      <c r="JP4" s="6"/>
      <c r="JQ4" s="6"/>
      <c r="JR4" s="6"/>
      <c r="JS4" s="6"/>
      <c r="JT4" s="6"/>
      <c r="JU4" s="6"/>
      <c r="JV4" s="6"/>
      <c r="JW4" s="6"/>
      <c r="JX4" s="6"/>
      <c r="JY4" s="6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  <c r="KO4" s="6"/>
      <c r="KP4" s="6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</row>
    <row r="5" spans="1:343" s="4" customFormat="1" ht="14.25" x14ac:dyDescent="0.2">
      <c r="E5" s="4" t="str">
        <f>VLOOKUP(B2&amp;"-GDGT",Statistics!M:P,4,FALSE)</f>
        <v>C18H32O16</v>
      </c>
      <c r="F5" s="5"/>
      <c r="G5" s="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/>
      <c r="HH5" s="6"/>
      <c r="HI5" s="6"/>
      <c r="HJ5" s="6"/>
      <c r="HK5" s="6"/>
      <c r="HL5" s="6"/>
      <c r="HM5" s="6"/>
      <c r="HN5" s="6"/>
      <c r="HO5" s="6"/>
      <c r="HP5" s="6"/>
      <c r="HQ5" s="6"/>
      <c r="HR5" s="6"/>
      <c r="HS5" s="6"/>
      <c r="HT5" s="6"/>
      <c r="HU5" s="6"/>
      <c r="HV5" s="6"/>
      <c r="HW5" s="6"/>
      <c r="HX5" s="6"/>
      <c r="HY5" s="6"/>
      <c r="HZ5" s="6"/>
      <c r="IA5" s="6"/>
      <c r="IB5" s="6"/>
      <c r="IC5" s="6"/>
      <c r="ID5" s="6"/>
      <c r="IE5" s="6"/>
      <c r="IF5" s="6"/>
      <c r="IG5" s="6"/>
      <c r="IH5" s="6"/>
      <c r="II5" s="6"/>
      <c r="IJ5" s="6"/>
      <c r="IK5" s="6"/>
      <c r="IL5" s="6"/>
      <c r="IM5" s="6"/>
      <c r="IN5" s="6"/>
      <c r="IO5" s="6"/>
      <c r="IP5" s="6"/>
      <c r="IQ5" s="6"/>
      <c r="IR5" s="6"/>
      <c r="IS5" s="6"/>
      <c r="IT5" s="6"/>
      <c r="IU5" s="6"/>
      <c r="IV5" s="6"/>
      <c r="IW5" s="6"/>
      <c r="IX5" s="6"/>
      <c r="IY5" s="6"/>
      <c r="IZ5" s="6"/>
      <c r="JA5" s="6"/>
      <c r="JB5" s="6"/>
      <c r="JC5" s="6"/>
      <c r="JD5" s="6"/>
      <c r="JE5" s="6"/>
      <c r="JF5" s="6"/>
      <c r="JG5" s="6"/>
      <c r="JH5" s="6"/>
      <c r="JI5" s="6"/>
      <c r="JJ5" s="6"/>
      <c r="JK5" s="6"/>
      <c r="JL5" s="6"/>
      <c r="JM5" s="6"/>
      <c r="JN5" s="6"/>
      <c r="JO5" s="6"/>
      <c r="JP5" s="6"/>
      <c r="JQ5" s="6"/>
      <c r="JR5" s="6"/>
      <c r="JS5" s="6"/>
      <c r="JT5" s="6"/>
      <c r="JU5" s="6"/>
      <c r="JV5" s="6"/>
      <c r="JW5" s="6"/>
      <c r="JX5" s="6"/>
      <c r="JY5" s="6"/>
      <c r="JZ5" s="6"/>
      <c r="KA5" s="6"/>
      <c r="KB5" s="6"/>
      <c r="KC5" s="6"/>
      <c r="KD5" s="6"/>
      <c r="KE5" s="6"/>
      <c r="KF5" s="6"/>
      <c r="KG5" s="6"/>
      <c r="KH5" s="6"/>
      <c r="KI5" s="6"/>
      <c r="KJ5" s="6"/>
      <c r="KK5" s="6"/>
      <c r="KL5" s="6"/>
      <c r="KM5" s="6"/>
      <c r="KN5" s="6"/>
      <c r="KO5" s="6"/>
      <c r="KP5" s="6"/>
      <c r="KQ5" s="6"/>
      <c r="KR5" s="6"/>
      <c r="KS5" s="6"/>
      <c r="KT5" s="6"/>
      <c r="KU5" s="6"/>
      <c r="KV5" s="6"/>
      <c r="KW5" s="6"/>
      <c r="KX5" s="6"/>
      <c r="KY5" s="6"/>
      <c r="KZ5" s="6"/>
      <c r="LA5" s="6"/>
      <c r="LB5" s="6"/>
      <c r="LC5" s="6"/>
      <c r="LD5" s="6"/>
      <c r="LE5" s="6"/>
      <c r="LF5" s="6"/>
      <c r="LG5" s="6"/>
      <c r="LH5" s="6"/>
      <c r="LI5" s="6"/>
      <c r="LJ5" s="6"/>
      <c r="LK5" s="6"/>
      <c r="LL5" s="6"/>
      <c r="LM5" s="6"/>
      <c r="LN5" s="6"/>
      <c r="LO5" s="6"/>
      <c r="LP5" s="6"/>
      <c r="LQ5" s="6"/>
      <c r="LR5" s="6"/>
      <c r="LS5" s="6"/>
      <c r="LT5" s="6"/>
      <c r="LU5" s="6"/>
      <c r="LV5" s="6"/>
      <c r="LW5" s="6"/>
      <c r="LX5" s="6"/>
      <c r="LY5" s="6"/>
      <c r="LZ5" s="6"/>
      <c r="MA5" s="6"/>
      <c r="MB5" s="6"/>
      <c r="MC5" s="6"/>
      <c r="MD5" s="6"/>
      <c r="ME5" s="6"/>
    </row>
    <row r="6" spans="1:343" s="26" customFormat="1" ht="15" x14ac:dyDescent="0.2">
      <c r="A6" s="26" t="s">
        <v>6</v>
      </c>
      <c r="B6" s="8" t="s">
        <v>470</v>
      </c>
      <c r="C6" s="26" t="s">
        <v>15</v>
      </c>
      <c r="D6" s="26" t="s">
        <v>8</v>
      </c>
      <c r="E6" s="26" t="s">
        <v>14</v>
      </c>
      <c r="F6" s="26" t="s">
        <v>461</v>
      </c>
      <c r="G6" s="26" t="s">
        <v>468</v>
      </c>
      <c r="H6" s="9" t="s">
        <v>463</v>
      </c>
      <c r="I6" s="9" t="s">
        <v>464</v>
      </c>
      <c r="J6" s="10" t="s">
        <v>21</v>
      </c>
      <c r="K6" s="9" t="s">
        <v>465</v>
      </c>
      <c r="L6" s="26" t="s">
        <v>23</v>
      </c>
      <c r="M6" s="26" t="s">
        <v>405</v>
      </c>
      <c r="N6" s="26" t="s">
        <v>22</v>
      </c>
      <c r="O6" s="26" t="s">
        <v>17</v>
      </c>
      <c r="P6" s="26" t="s">
        <v>18</v>
      </c>
      <c r="Q6" s="26" t="s">
        <v>19</v>
      </c>
      <c r="R6" s="26" t="s">
        <v>20</v>
      </c>
      <c r="S6" s="26" t="s">
        <v>9</v>
      </c>
      <c r="T6" s="26" t="s">
        <v>10</v>
      </c>
      <c r="U6" s="26" t="s">
        <v>12</v>
      </c>
      <c r="V6" s="26" t="s">
        <v>11</v>
      </c>
      <c r="W6" s="26" t="s">
        <v>13</v>
      </c>
      <c r="X6" s="26" t="s">
        <v>0</v>
      </c>
      <c r="Y6" s="28" t="s">
        <v>2</v>
      </c>
      <c r="Z6" s="28" t="s">
        <v>4</v>
      </c>
      <c r="AA6" s="28" t="s">
        <v>3</v>
      </c>
      <c r="AB6" s="28" t="s">
        <v>5</v>
      </c>
      <c r="AC6" s="29" t="s">
        <v>373</v>
      </c>
      <c r="AD6" s="29" t="s">
        <v>372</v>
      </c>
      <c r="AE6" s="30" t="s">
        <v>34</v>
      </c>
      <c r="AF6" s="30" t="s">
        <v>35</v>
      </c>
      <c r="AG6" s="30" t="s">
        <v>45</v>
      </c>
      <c r="AH6" s="30" t="s">
        <v>46</v>
      </c>
      <c r="AI6" s="30" t="s">
        <v>47</v>
      </c>
      <c r="AJ6" s="30" t="s">
        <v>72</v>
      </c>
      <c r="AK6" s="30" t="s">
        <v>48</v>
      </c>
      <c r="AL6" s="30" t="s">
        <v>49</v>
      </c>
      <c r="AM6" s="30" t="s">
        <v>51</v>
      </c>
      <c r="AN6" s="30" t="s">
        <v>50</v>
      </c>
      <c r="AO6" s="30" t="s">
        <v>52</v>
      </c>
      <c r="AP6" s="30" t="s">
        <v>53</v>
      </c>
      <c r="AQ6" s="30" t="s">
        <v>54</v>
      </c>
      <c r="AR6" s="30" t="s">
        <v>55</v>
      </c>
      <c r="AS6" s="30" t="s">
        <v>245</v>
      </c>
      <c r="AT6" s="30" t="s">
        <v>57</v>
      </c>
      <c r="AU6" s="30" t="s">
        <v>58</v>
      </c>
      <c r="AV6" s="30" t="s">
        <v>56</v>
      </c>
      <c r="AW6" s="30" t="s">
        <v>59</v>
      </c>
      <c r="AX6" s="30" t="s">
        <v>60</v>
      </c>
      <c r="AY6" s="30" t="s">
        <v>61</v>
      </c>
      <c r="AZ6" s="30" t="s">
        <v>62</v>
      </c>
      <c r="BA6" s="30" t="s">
        <v>63</v>
      </c>
      <c r="BB6" s="30" t="s">
        <v>64</v>
      </c>
      <c r="BC6" s="30" t="s">
        <v>65</v>
      </c>
      <c r="BD6" s="30" t="s">
        <v>66</v>
      </c>
      <c r="BE6" s="30" t="s">
        <v>67</v>
      </c>
      <c r="BF6" s="30" t="s">
        <v>246</v>
      </c>
      <c r="BG6" s="30" t="s">
        <v>68</v>
      </c>
      <c r="BH6" s="30" t="s">
        <v>69</v>
      </c>
      <c r="BI6" s="30" t="s">
        <v>70</v>
      </c>
      <c r="BJ6" s="30" t="s">
        <v>71</v>
      </c>
      <c r="BK6" s="30" t="s">
        <v>247</v>
      </c>
      <c r="BL6" s="30" t="s">
        <v>248</v>
      </c>
      <c r="BM6" s="30" t="s">
        <v>249</v>
      </c>
      <c r="BN6" s="30" t="s">
        <v>251</v>
      </c>
      <c r="BO6" s="30" t="s">
        <v>253</v>
      </c>
      <c r="BP6" s="30" t="s">
        <v>254</v>
      </c>
      <c r="BQ6" s="30" t="s">
        <v>255</v>
      </c>
      <c r="BR6" s="30" t="s">
        <v>256</v>
      </c>
      <c r="BS6" s="30" t="s">
        <v>257</v>
      </c>
      <c r="BT6" s="30" t="s">
        <v>258</v>
      </c>
      <c r="BU6" s="30" t="s">
        <v>259</v>
      </c>
      <c r="BV6" s="30" t="s">
        <v>260</v>
      </c>
      <c r="BW6" s="30" t="s">
        <v>261</v>
      </c>
      <c r="BX6" s="30" t="s">
        <v>262</v>
      </c>
      <c r="BY6" s="30" t="s">
        <v>263</v>
      </c>
      <c r="BZ6" s="30" t="s">
        <v>264</v>
      </c>
      <c r="CA6" s="30" t="s">
        <v>265</v>
      </c>
      <c r="CB6" s="30" t="s">
        <v>266</v>
      </c>
      <c r="CC6" s="30" t="s">
        <v>267</v>
      </c>
      <c r="CD6" s="30" t="s">
        <v>268</v>
      </c>
      <c r="CE6" s="30" t="s">
        <v>269</v>
      </c>
      <c r="CF6" s="30" t="s">
        <v>270</v>
      </c>
      <c r="CG6" s="30" t="s">
        <v>271</v>
      </c>
      <c r="CH6" s="30" t="s">
        <v>272</v>
      </c>
      <c r="CI6" s="30" t="s">
        <v>273</v>
      </c>
      <c r="CJ6" s="30" t="s">
        <v>274</v>
      </c>
      <c r="CK6" s="30" t="s">
        <v>275</v>
      </c>
      <c r="CL6" s="30" t="s">
        <v>276</v>
      </c>
      <c r="CM6" s="30" t="s">
        <v>277</v>
      </c>
      <c r="CN6" s="30" t="s">
        <v>278</v>
      </c>
      <c r="CO6" s="30" t="s">
        <v>279</v>
      </c>
      <c r="CP6" s="30" t="s">
        <v>280</v>
      </c>
      <c r="CQ6" s="30" t="s">
        <v>281</v>
      </c>
      <c r="CR6" s="30" t="s">
        <v>282</v>
      </c>
      <c r="CS6" s="30" t="s">
        <v>283</v>
      </c>
      <c r="CT6" s="30" t="s">
        <v>284</v>
      </c>
      <c r="CU6" s="30" t="s">
        <v>285</v>
      </c>
      <c r="CV6" s="30" t="s">
        <v>286</v>
      </c>
      <c r="CW6" s="30" t="s">
        <v>287</v>
      </c>
      <c r="CX6" s="30" t="s">
        <v>288</v>
      </c>
      <c r="CY6" s="30" t="s">
        <v>289</v>
      </c>
      <c r="CZ6" s="30" t="s">
        <v>290</v>
      </c>
      <c r="DA6" s="30" t="s">
        <v>291</v>
      </c>
      <c r="DB6" s="30" t="s">
        <v>292</v>
      </c>
      <c r="DC6" s="30" t="s">
        <v>293</v>
      </c>
      <c r="DD6" s="30" t="s">
        <v>294</v>
      </c>
      <c r="DE6" s="30" t="s">
        <v>295</v>
      </c>
      <c r="DF6" s="30" t="s">
        <v>296</v>
      </c>
      <c r="DG6" s="30" t="s">
        <v>297</v>
      </c>
      <c r="DH6" s="30" t="s">
        <v>298</v>
      </c>
      <c r="DI6" s="30" t="s">
        <v>299</v>
      </c>
      <c r="DJ6" s="30" t="s">
        <v>300</v>
      </c>
      <c r="DK6" s="30" t="s">
        <v>301</v>
      </c>
      <c r="DL6" s="30" t="s">
        <v>302</v>
      </c>
      <c r="DM6" s="30" t="s">
        <v>354</v>
      </c>
      <c r="DN6" s="30" t="s">
        <v>355</v>
      </c>
      <c r="DO6" s="30" t="s">
        <v>356</v>
      </c>
      <c r="DP6" s="30" t="s">
        <v>357</v>
      </c>
      <c r="DQ6" s="30" t="s">
        <v>358</v>
      </c>
      <c r="DR6" s="30" t="s">
        <v>359</v>
      </c>
      <c r="DS6" s="30" t="s">
        <v>360</v>
      </c>
      <c r="DT6" s="30" t="s">
        <v>361</v>
      </c>
      <c r="DU6" s="30" t="s">
        <v>362</v>
      </c>
      <c r="DV6" s="30" t="s">
        <v>303</v>
      </c>
      <c r="DW6" s="30" t="s">
        <v>304</v>
      </c>
      <c r="DX6" s="30" t="s">
        <v>305</v>
      </c>
      <c r="DY6" s="30" t="s">
        <v>306</v>
      </c>
      <c r="DZ6" s="30" t="s">
        <v>307</v>
      </c>
      <c r="EA6" s="30" t="s">
        <v>308</v>
      </c>
      <c r="EB6" s="30" t="s">
        <v>309</v>
      </c>
      <c r="EC6" s="30" t="s">
        <v>310</v>
      </c>
      <c r="ED6" s="30" t="s">
        <v>311</v>
      </c>
      <c r="EE6" s="30" t="s">
        <v>312</v>
      </c>
      <c r="EF6" s="30" t="s">
        <v>313</v>
      </c>
      <c r="EG6" s="30" t="s">
        <v>314</v>
      </c>
      <c r="EH6" s="30" t="s">
        <v>315</v>
      </c>
      <c r="EI6" s="30" t="s">
        <v>316</v>
      </c>
      <c r="EJ6" s="30" t="s">
        <v>317</v>
      </c>
      <c r="EK6" s="30" t="s">
        <v>318</v>
      </c>
      <c r="EL6" s="30" t="s">
        <v>319</v>
      </c>
      <c r="EM6" s="30" t="s">
        <v>320</v>
      </c>
      <c r="EN6" s="30" t="s">
        <v>321</v>
      </c>
      <c r="EO6" s="30" t="s">
        <v>322</v>
      </c>
      <c r="EP6" s="30" t="s">
        <v>323</v>
      </c>
      <c r="EQ6" s="30" t="s">
        <v>324</v>
      </c>
      <c r="ER6" s="30" t="s">
        <v>325</v>
      </c>
      <c r="ES6" s="30" t="s">
        <v>326</v>
      </c>
      <c r="ET6" s="30" t="s">
        <v>327</v>
      </c>
      <c r="EU6" s="30" t="s">
        <v>328</v>
      </c>
      <c r="EV6" s="30" t="s">
        <v>329</v>
      </c>
      <c r="EW6" s="30" t="s">
        <v>330</v>
      </c>
      <c r="EX6" s="30" t="s">
        <v>331</v>
      </c>
      <c r="EY6" s="30" t="s">
        <v>332</v>
      </c>
      <c r="EZ6" s="30" t="s">
        <v>333</v>
      </c>
      <c r="FA6" s="30" t="s">
        <v>334</v>
      </c>
      <c r="FB6" s="30" t="s">
        <v>335</v>
      </c>
      <c r="FC6" s="30" t="s">
        <v>336</v>
      </c>
      <c r="FD6" s="30" t="s">
        <v>337</v>
      </c>
      <c r="FE6" s="30" t="s">
        <v>338</v>
      </c>
      <c r="FF6" s="30" t="s">
        <v>339</v>
      </c>
      <c r="FG6" s="30" t="s">
        <v>340</v>
      </c>
      <c r="FH6" s="30" t="s">
        <v>341</v>
      </c>
      <c r="FI6" s="30" t="s">
        <v>342</v>
      </c>
      <c r="FJ6" s="30" t="s">
        <v>343</v>
      </c>
      <c r="FK6" s="30" t="s">
        <v>344</v>
      </c>
      <c r="FL6" s="30" t="s">
        <v>345</v>
      </c>
      <c r="FM6" s="30" t="s">
        <v>346</v>
      </c>
      <c r="FN6" s="30" t="s">
        <v>347</v>
      </c>
      <c r="FO6" s="30" t="s">
        <v>348</v>
      </c>
      <c r="FP6" s="30" t="s">
        <v>349</v>
      </c>
      <c r="FQ6" s="30" t="s">
        <v>350</v>
      </c>
      <c r="FR6" s="30" t="s">
        <v>351</v>
      </c>
      <c r="FS6" s="30" t="s">
        <v>352</v>
      </c>
      <c r="FT6" s="30" t="s">
        <v>353</v>
      </c>
      <c r="FU6" s="30" t="s">
        <v>363</v>
      </c>
      <c r="FV6" s="30" t="s">
        <v>364</v>
      </c>
      <c r="FW6" s="30" t="s">
        <v>365</v>
      </c>
      <c r="FX6" s="30" t="s">
        <v>366</v>
      </c>
      <c r="FY6" s="30" t="s">
        <v>367</v>
      </c>
      <c r="FZ6" s="30" t="s">
        <v>368</v>
      </c>
      <c r="GA6" s="30" t="s">
        <v>369</v>
      </c>
      <c r="GB6" s="30" t="s">
        <v>370</v>
      </c>
      <c r="GC6" s="30" t="s">
        <v>371</v>
      </c>
      <c r="GD6" s="26" t="s">
        <v>474</v>
      </c>
      <c r="GE6" s="26" t="s">
        <v>479</v>
      </c>
      <c r="GF6" s="26" t="s">
        <v>475</v>
      </c>
      <c r="GG6" s="26" t="s">
        <v>476</v>
      </c>
      <c r="GH6" s="26" t="s">
        <v>477</v>
      </c>
      <c r="GI6" s="26" t="s">
        <v>483</v>
      </c>
      <c r="GJ6" s="26" t="s">
        <v>480</v>
      </c>
      <c r="GK6" s="26" t="s">
        <v>485</v>
      </c>
      <c r="GL6" s="26" t="s">
        <v>495</v>
      </c>
      <c r="GM6" s="26" t="s">
        <v>496</v>
      </c>
      <c r="GN6" s="26" t="s">
        <v>497</v>
      </c>
      <c r="GO6" s="26" t="s">
        <v>498</v>
      </c>
      <c r="GP6" s="26" t="s">
        <v>499</v>
      </c>
      <c r="GQ6" s="26" t="s">
        <v>500</v>
      </c>
      <c r="GR6" s="26" t="s">
        <v>501</v>
      </c>
      <c r="GS6" s="26" t="s">
        <v>502</v>
      </c>
      <c r="GT6" s="26" t="s">
        <v>503</v>
      </c>
      <c r="GU6" s="26" t="s">
        <v>504</v>
      </c>
      <c r="GV6" s="26" t="s">
        <v>505</v>
      </c>
      <c r="GW6" s="26" t="s">
        <v>506</v>
      </c>
      <c r="GX6" s="26" t="s">
        <v>507</v>
      </c>
      <c r="GY6" s="26" t="s">
        <v>517</v>
      </c>
      <c r="GZ6" s="26" t="s">
        <v>518</v>
      </c>
      <c r="HA6" s="26" t="s">
        <v>519</v>
      </c>
      <c r="HB6" s="26" t="s">
        <v>520</v>
      </c>
      <c r="HC6" s="26" t="s">
        <v>521</v>
      </c>
      <c r="HD6" s="26" t="s">
        <v>522</v>
      </c>
      <c r="HE6" s="26" t="s">
        <v>523</v>
      </c>
      <c r="HF6" s="26" t="s">
        <v>524</v>
      </c>
      <c r="HG6" s="26" t="s">
        <v>525</v>
      </c>
      <c r="HH6" s="26" t="s">
        <v>526</v>
      </c>
      <c r="HI6" s="26" t="s">
        <v>527</v>
      </c>
      <c r="HJ6" s="26" t="s">
        <v>528</v>
      </c>
      <c r="HK6" s="26" t="s">
        <v>529</v>
      </c>
      <c r="HL6" s="26" t="s">
        <v>530</v>
      </c>
      <c r="HM6" s="26" t="s">
        <v>655</v>
      </c>
      <c r="HN6" s="26" t="s">
        <v>656</v>
      </c>
      <c r="HO6" s="39" t="s">
        <v>535</v>
      </c>
      <c r="HP6" s="39" t="s">
        <v>536</v>
      </c>
      <c r="HQ6" s="39" t="s">
        <v>537</v>
      </c>
      <c r="HR6" s="39" t="s">
        <v>538</v>
      </c>
      <c r="HS6" s="39" t="s">
        <v>539</v>
      </c>
      <c r="HT6" s="39" t="s">
        <v>540</v>
      </c>
      <c r="HU6" s="39" t="s">
        <v>541</v>
      </c>
      <c r="HV6" s="39" t="s">
        <v>542</v>
      </c>
      <c r="HW6" s="39" t="s">
        <v>543</v>
      </c>
      <c r="HX6" s="39" t="s">
        <v>544</v>
      </c>
      <c r="HY6" s="39" t="s">
        <v>545</v>
      </c>
      <c r="HZ6" s="39" t="s">
        <v>546</v>
      </c>
      <c r="IA6" s="39" t="s">
        <v>547</v>
      </c>
      <c r="IB6" s="39" t="s">
        <v>548</v>
      </c>
      <c r="IC6" s="39" t="s">
        <v>549</v>
      </c>
      <c r="ID6" s="39" t="s">
        <v>550</v>
      </c>
      <c r="IE6" s="39" t="s">
        <v>551</v>
      </c>
      <c r="IF6" s="39" t="s">
        <v>552</v>
      </c>
      <c r="IG6" s="39" t="s">
        <v>553</v>
      </c>
      <c r="IH6" s="39" t="s">
        <v>554</v>
      </c>
      <c r="II6" s="39" t="s">
        <v>555</v>
      </c>
      <c r="IJ6" s="39" t="s">
        <v>556</v>
      </c>
      <c r="IK6" s="39" t="s">
        <v>557</v>
      </c>
      <c r="IL6" s="39" t="s">
        <v>558</v>
      </c>
      <c r="IM6" s="39" t="s">
        <v>559</v>
      </c>
      <c r="IN6" s="39" t="s">
        <v>560</v>
      </c>
      <c r="IO6" s="39" t="s">
        <v>561</v>
      </c>
      <c r="IP6" s="39" t="s">
        <v>562</v>
      </c>
      <c r="IQ6" s="39" t="s">
        <v>563</v>
      </c>
      <c r="IR6" s="39" t="s">
        <v>564</v>
      </c>
      <c r="IS6" s="39" t="s">
        <v>565</v>
      </c>
      <c r="IT6" s="39" t="s">
        <v>566</v>
      </c>
      <c r="IU6" s="39" t="s">
        <v>567</v>
      </c>
      <c r="IV6" s="39" t="s">
        <v>568</v>
      </c>
      <c r="IW6" s="39" t="s">
        <v>569</v>
      </c>
      <c r="IX6" s="39" t="s">
        <v>570</v>
      </c>
      <c r="IY6" s="39" t="s">
        <v>571</v>
      </c>
      <c r="IZ6" s="39" t="s">
        <v>572</v>
      </c>
      <c r="JA6" s="39" t="s">
        <v>573</v>
      </c>
      <c r="JB6" s="39" t="s">
        <v>574</v>
      </c>
      <c r="JC6" s="39" t="s">
        <v>575</v>
      </c>
      <c r="JD6" s="39" t="s">
        <v>576</v>
      </c>
      <c r="JE6" s="39" t="s">
        <v>577</v>
      </c>
      <c r="JF6" s="39" t="s">
        <v>578</v>
      </c>
      <c r="JG6" s="39" t="s">
        <v>579</v>
      </c>
      <c r="JH6" s="39" t="s">
        <v>580</v>
      </c>
      <c r="JI6" s="39" t="s">
        <v>581</v>
      </c>
      <c r="JJ6" s="39" t="s">
        <v>582</v>
      </c>
      <c r="JK6" s="39" t="s">
        <v>583</v>
      </c>
      <c r="JL6" s="39" t="s">
        <v>584</v>
      </c>
      <c r="JM6" s="39" t="s">
        <v>585</v>
      </c>
      <c r="JN6" s="39" t="s">
        <v>586</v>
      </c>
      <c r="JO6" s="39" t="s">
        <v>587</v>
      </c>
      <c r="JP6" s="39" t="s">
        <v>588</v>
      </c>
      <c r="JQ6" s="39" t="s">
        <v>589</v>
      </c>
      <c r="JR6" s="39" t="s">
        <v>590</v>
      </c>
      <c r="JS6" s="39" t="s">
        <v>591</v>
      </c>
      <c r="JT6" s="39" t="s">
        <v>592</v>
      </c>
      <c r="JU6" s="39" t="s">
        <v>593</v>
      </c>
      <c r="JV6" s="39" t="s">
        <v>594</v>
      </c>
      <c r="JW6" s="39" t="s">
        <v>595</v>
      </c>
      <c r="JX6" s="39" t="s">
        <v>596</v>
      </c>
      <c r="JY6" s="39" t="s">
        <v>597</v>
      </c>
      <c r="JZ6" s="39" t="s">
        <v>598</v>
      </c>
      <c r="KA6" s="39" t="s">
        <v>599</v>
      </c>
      <c r="KB6" s="39" t="s">
        <v>600</v>
      </c>
      <c r="KC6" s="39" t="s">
        <v>601</v>
      </c>
      <c r="KD6" s="39" t="s">
        <v>602</v>
      </c>
      <c r="KE6" s="39" t="s">
        <v>603</v>
      </c>
      <c r="KF6" s="39" t="s">
        <v>604</v>
      </c>
      <c r="KG6" s="39" t="s">
        <v>605</v>
      </c>
      <c r="KH6" s="39" t="s">
        <v>606</v>
      </c>
      <c r="KI6" s="39" t="s">
        <v>607</v>
      </c>
      <c r="KJ6" s="39" t="s">
        <v>608</v>
      </c>
      <c r="KK6" s="39" t="s">
        <v>609</v>
      </c>
      <c r="KL6" s="39" t="s">
        <v>610</v>
      </c>
      <c r="KM6" s="39" t="s">
        <v>611</v>
      </c>
      <c r="KN6" s="39" t="s">
        <v>612</v>
      </c>
      <c r="KO6" s="39" t="s">
        <v>613</v>
      </c>
      <c r="KP6" s="39" t="s">
        <v>614</v>
      </c>
      <c r="KQ6" s="39" t="s">
        <v>615</v>
      </c>
      <c r="KR6" s="39" t="s">
        <v>616</v>
      </c>
      <c r="KS6" s="39" t="s">
        <v>617</v>
      </c>
      <c r="KT6" s="39" t="s">
        <v>618</v>
      </c>
      <c r="KU6" s="39" t="s">
        <v>619</v>
      </c>
      <c r="KV6" s="39" t="s">
        <v>620</v>
      </c>
      <c r="KW6" s="39" t="s">
        <v>621</v>
      </c>
      <c r="KX6" s="39" t="s">
        <v>622</v>
      </c>
      <c r="KY6" s="39" t="s">
        <v>623</v>
      </c>
      <c r="KZ6" s="39" t="s">
        <v>624</v>
      </c>
      <c r="LA6" s="39" t="s">
        <v>625</v>
      </c>
      <c r="LB6" s="39" t="s">
        <v>626</v>
      </c>
      <c r="LC6" s="39" t="s">
        <v>627</v>
      </c>
      <c r="LD6" s="39" t="s">
        <v>628</v>
      </c>
      <c r="LE6" s="39" t="s">
        <v>629</v>
      </c>
      <c r="LF6" s="39" t="s">
        <v>630</v>
      </c>
      <c r="LG6" s="39" t="s">
        <v>631</v>
      </c>
      <c r="LH6" s="39" t="s">
        <v>632</v>
      </c>
      <c r="LI6" s="39" t="s">
        <v>633</v>
      </c>
      <c r="LJ6" s="39" t="s">
        <v>634</v>
      </c>
      <c r="LK6" s="39" t="s">
        <v>635</v>
      </c>
      <c r="LL6" s="39" t="s">
        <v>636</v>
      </c>
      <c r="LM6" s="39" t="s">
        <v>637</v>
      </c>
      <c r="LN6" s="39" t="s">
        <v>638</v>
      </c>
      <c r="LO6" s="39" t="s">
        <v>639</v>
      </c>
      <c r="LP6" s="39" t="s">
        <v>640</v>
      </c>
      <c r="LQ6" s="39" t="s">
        <v>641</v>
      </c>
      <c r="LR6" s="39" t="s">
        <v>642</v>
      </c>
      <c r="LS6" s="39" t="s">
        <v>643</v>
      </c>
      <c r="LT6" s="39" t="s">
        <v>644</v>
      </c>
      <c r="LU6" s="39" t="s">
        <v>645</v>
      </c>
      <c r="LV6" s="39" t="s">
        <v>646</v>
      </c>
      <c r="LW6" s="39" t="s">
        <v>647</v>
      </c>
      <c r="LX6" s="39" t="s">
        <v>648</v>
      </c>
      <c r="LY6" s="39" t="s">
        <v>649</v>
      </c>
      <c r="LZ6" s="39" t="s">
        <v>650</v>
      </c>
      <c r="MA6" s="39" t="s">
        <v>651</v>
      </c>
      <c r="MB6" s="39" t="s">
        <v>652</v>
      </c>
      <c r="MC6" s="39" t="s">
        <v>657</v>
      </c>
      <c r="MD6" s="39" t="s">
        <v>658</v>
      </c>
    </row>
    <row r="7" spans="1:343" s="4" customFormat="1" ht="14.25" x14ac:dyDescent="0.2">
      <c r="A7" s="4">
        <v>1</v>
      </c>
      <c r="B7" s="16" t="s">
        <v>670</v>
      </c>
      <c r="C7" s="16" t="s">
        <v>125</v>
      </c>
      <c r="D7" s="16" t="s">
        <v>126</v>
      </c>
      <c r="E7" s="16" t="s">
        <v>125</v>
      </c>
      <c r="F7" s="31" t="s">
        <v>127</v>
      </c>
      <c r="G7" s="31" t="s">
        <v>128</v>
      </c>
      <c r="H7" s="32">
        <v>-1</v>
      </c>
      <c r="I7" s="33">
        <v>24.77</v>
      </c>
      <c r="J7" s="34">
        <v>21.778600000000001</v>
      </c>
      <c r="K7" s="32" t="s">
        <v>129</v>
      </c>
      <c r="L7" s="16">
        <v>0</v>
      </c>
      <c r="M7" s="16">
        <v>2</v>
      </c>
      <c r="N7" s="16" t="s">
        <v>125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40</v>
      </c>
      <c r="U7" s="16">
        <v>0</v>
      </c>
      <c r="V7" s="16">
        <v>40</v>
      </c>
      <c r="W7" s="16">
        <v>0</v>
      </c>
      <c r="X7" s="16" t="s">
        <v>125</v>
      </c>
      <c r="Y7" s="35">
        <v>1064.7954400960002</v>
      </c>
      <c r="Z7" s="35">
        <v>1046.7848800960003</v>
      </c>
      <c r="AA7" s="35">
        <v>1064.7954400960002</v>
      </c>
      <c r="AB7" s="35">
        <v>1046.7848800960003</v>
      </c>
      <c r="AC7" s="35">
        <v>1626.428865096</v>
      </c>
      <c r="AD7" s="35">
        <v>1302.323218256</v>
      </c>
      <c r="AE7" s="35">
        <v>1284.312653572</v>
      </c>
      <c r="AF7" s="35">
        <v>1266.3020888880001</v>
      </c>
      <c r="AG7" s="35">
        <v>1248.2915242040001</v>
      </c>
      <c r="AH7" s="35">
        <v>1228.2864388236001</v>
      </c>
      <c r="AI7" s="35">
        <v>1210.2758741396001</v>
      </c>
      <c r="AJ7" s="35">
        <v>1118.2285300232002</v>
      </c>
      <c r="AK7" s="35">
        <v>743.71286568000005</v>
      </c>
      <c r="AL7" s="35">
        <v>725.70230099600008</v>
      </c>
      <c r="AM7" s="35">
        <v>707.6917363120001</v>
      </c>
      <c r="AN7" s="35">
        <v>689.68117162800013</v>
      </c>
      <c r="AO7" s="35">
        <v>669.6760862476001</v>
      </c>
      <c r="AP7" s="35">
        <v>651.66552156360012</v>
      </c>
      <c r="AQ7" s="35">
        <v>633.65495687960015</v>
      </c>
      <c r="AR7" s="35">
        <v>615.64439219560018</v>
      </c>
      <c r="AS7" s="35">
        <v>597.6338275116002</v>
      </c>
      <c r="AT7" s="35">
        <v>613.64987149920012</v>
      </c>
      <c r="AU7" s="35">
        <v>595.63930681520014</v>
      </c>
      <c r="AV7" s="35">
        <v>557.60252757600006</v>
      </c>
      <c r="AW7" s="35">
        <v>575.61309226000003</v>
      </c>
      <c r="AX7" s="35">
        <v>743.71286568000005</v>
      </c>
      <c r="AY7" s="35">
        <v>725.70230099600008</v>
      </c>
      <c r="AZ7" s="35">
        <v>707.6917363120001</v>
      </c>
      <c r="BA7" s="35">
        <v>689.68117162800013</v>
      </c>
      <c r="BB7" s="35">
        <v>669.6760862476001</v>
      </c>
      <c r="BC7" s="35">
        <v>651.66552156360012</v>
      </c>
      <c r="BD7" s="35">
        <v>633.65495687960015</v>
      </c>
      <c r="BE7" s="35">
        <v>615.64439219560018</v>
      </c>
      <c r="BF7" s="35">
        <v>597.6338275116002</v>
      </c>
      <c r="BG7" s="35">
        <v>613.64987149920012</v>
      </c>
      <c r="BH7" s="35">
        <v>595.63930681520014</v>
      </c>
      <c r="BI7" s="35">
        <v>557.60252757600006</v>
      </c>
      <c r="BJ7" s="35">
        <v>575.61309226000003</v>
      </c>
      <c r="BK7" s="35">
        <v>163.06064842000001</v>
      </c>
      <c r="BL7" s="35">
        <v>0</v>
      </c>
      <c r="BM7" s="35">
        <v>0</v>
      </c>
      <c r="BN7" s="35">
        <v>55.0547752254</v>
      </c>
      <c r="BO7" s="35">
        <v>57.070425289800006</v>
      </c>
      <c r="BP7" s="35">
        <v>69.070425289799999</v>
      </c>
      <c r="BQ7" s="35">
        <v>71.086075354200005</v>
      </c>
      <c r="BR7" s="35">
        <v>83.086075354200005</v>
      </c>
      <c r="BS7" s="35">
        <v>85.101725418599997</v>
      </c>
      <c r="BT7" s="35">
        <v>97.101725418599997</v>
      </c>
      <c r="BU7" s="35">
        <v>99.117375483000004</v>
      </c>
      <c r="BV7" s="35">
        <v>111.117375483</v>
      </c>
      <c r="BW7" s="35">
        <v>113.13302554740001</v>
      </c>
      <c r="BX7" s="35">
        <v>125.13302554740001</v>
      </c>
      <c r="BY7" s="35">
        <v>127.1486756118</v>
      </c>
      <c r="BZ7" s="35">
        <v>139.1486756118</v>
      </c>
      <c r="CA7" s="35">
        <v>141.16432567620001</v>
      </c>
      <c r="CB7" s="35">
        <v>153.16432567620001</v>
      </c>
      <c r="CC7" s="35">
        <v>155.17997574060001</v>
      </c>
      <c r="CD7" s="35">
        <v>167.17997574060001</v>
      </c>
      <c r="CE7" s="35">
        <v>169.19562580499999</v>
      </c>
      <c r="CF7" s="35">
        <v>181.19562580499999</v>
      </c>
      <c r="CG7" s="35">
        <v>183.2112758694</v>
      </c>
      <c r="CH7" s="35">
        <v>195.2112758694</v>
      </c>
      <c r="CI7" s="35">
        <v>197.2269259338</v>
      </c>
      <c r="CJ7" s="35">
        <v>209.2269259338</v>
      </c>
      <c r="CK7" s="35">
        <v>211.24257599820001</v>
      </c>
      <c r="CL7" s="35">
        <v>223.24257599820001</v>
      </c>
      <c r="CM7" s="35">
        <v>225.25822606260002</v>
      </c>
      <c r="CN7" s="35">
        <v>237.25822606260002</v>
      </c>
      <c r="CO7" s="35">
        <v>239.27387612699999</v>
      </c>
      <c r="CP7" s="35">
        <v>251.27387612699999</v>
      </c>
      <c r="CQ7" s="35">
        <v>253.2895261914</v>
      </c>
      <c r="CR7" s="35">
        <v>265.2895261914</v>
      </c>
      <c r="CS7" s="35">
        <v>267.30517625580001</v>
      </c>
      <c r="CT7" s="35">
        <v>279.30517625580001</v>
      </c>
      <c r="CU7" s="35">
        <v>281.32082632020001</v>
      </c>
      <c r="CV7" s="35">
        <v>293.32082632020001</v>
      </c>
      <c r="CW7" s="35">
        <v>295.33647638460002</v>
      </c>
      <c r="CX7" s="35">
        <v>307.33647638460002</v>
      </c>
      <c r="CY7" s="35">
        <v>309.35212644900002</v>
      </c>
      <c r="CZ7" s="35">
        <v>321.35212644900002</v>
      </c>
      <c r="DA7" s="35">
        <v>323.36777651340003</v>
      </c>
      <c r="DB7" s="35">
        <v>335.36777651340003</v>
      </c>
      <c r="DC7" s="35">
        <v>337.38342657779998</v>
      </c>
      <c r="DD7" s="35">
        <v>349.38342657779998</v>
      </c>
      <c r="DE7" s="35">
        <v>351.39907664219999</v>
      </c>
      <c r="DF7" s="35">
        <v>363.39907664219999</v>
      </c>
      <c r="DG7" s="35">
        <v>365.41472670659999</v>
      </c>
      <c r="DH7" s="35">
        <v>377.41472670659999</v>
      </c>
      <c r="DI7" s="35">
        <v>379.430376771</v>
      </c>
      <c r="DJ7" s="35">
        <v>391.430376771</v>
      </c>
      <c r="DK7" s="35">
        <v>393.4460268354</v>
      </c>
      <c r="DL7" s="35">
        <v>405.4460268354</v>
      </c>
      <c r="DM7" s="35">
        <v>407.46167689980001</v>
      </c>
      <c r="DN7" s="35">
        <v>419.46167689980001</v>
      </c>
      <c r="DO7" s="35">
        <v>421.47732696420002</v>
      </c>
      <c r="DP7" s="35">
        <v>433.47732696420002</v>
      </c>
      <c r="DQ7" s="35">
        <v>435.49297702860002</v>
      </c>
      <c r="DR7" s="35">
        <v>447.49297702860002</v>
      </c>
      <c r="DS7" s="35">
        <v>449.50862709300003</v>
      </c>
      <c r="DT7" s="35">
        <v>461.50862709300003</v>
      </c>
      <c r="DU7" s="35">
        <v>463.52427715739998</v>
      </c>
      <c r="DV7" s="35">
        <v>55.0547752254</v>
      </c>
      <c r="DW7" s="35">
        <v>57.070425289800006</v>
      </c>
      <c r="DX7" s="35">
        <v>69.070425289799999</v>
      </c>
      <c r="DY7" s="35">
        <v>71.086075354200005</v>
      </c>
      <c r="DZ7" s="35">
        <v>83.086075354200005</v>
      </c>
      <c r="EA7" s="35">
        <v>85.101725418599997</v>
      </c>
      <c r="EB7" s="35">
        <v>97.101725418599997</v>
      </c>
      <c r="EC7" s="35">
        <v>99.117375483000004</v>
      </c>
      <c r="ED7" s="35">
        <v>111.117375483</v>
      </c>
      <c r="EE7" s="35">
        <v>113.13302554740001</v>
      </c>
      <c r="EF7" s="35">
        <v>125.13302554740001</v>
      </c>
      <c r="EG7" s="35">
        <v>127.1486756118</v>
      </c>
      <c r="EH7" s="35">
        <v>139.1486756118</v>
      </c>
      <c r="EI7" s="35">
        <v>141.16432567620001</v>
      </c>
      <c r="EJ7" s="35">
        <v>153.16432567620001</v>
      </c>
      <c r="EK7" s="35">
        <v>155.17997574060001</v>
      </c>
      <c r="EL7" s="35">
        <v>167.17997574060001</v>
      </c>
      <c r="EM7" s="35">
        <v>169.19562580499999</v>
      </c>
      <c r="EN7" s="35">
        <v>181.19562580499999</v>
      </c>
      <c r="EO7" s="35">
        <v>183.2112758694</v>
      </c>
      <c r="EP7" s="35">
        <v>195.2112758694</v>
      </c>
      <c r="EQ7" s="35">
        <v>197.2269259338</v>
      </c>
      <c r="ER7" s="35">
        <v>209.2269259338</v>
      </c>
      <c r="ES7" s="35">
        <v>211.24257599820001</v>
      </c>
      <c r="ET7" s="35">
        <v>223.24257599820001</v>
      </c>
      <c r="EU7" s="35">
        <v>225.25822606260002</v>
      </c>
      <c r="EV7" s="35">
        <v>237.25822606260002</v>
      </c>
      <c r="EW7" s="35">
        <v>239.27387612699999</v>
      </c>
      <c r="EX7" s="35">
        <v>251.27387612699999</v>
      </c>
      <c r="EY7" s="35">
        <v>253.2895261914</v>
      </c>
      <c r="EZ7" s="35">
        <v>265.2895261914</v>
      </c>
      <c r="FA7" s="35">
        <v>267.30517625580001</v>
      </c>
      <c r="FB7" s="35">
        <v>279.30517625580001</v>
      </c>
      <c r="FC7" s="35">
        <v>281.32082632020001</v>
      </c>
      <c r="FD7" s="35">
        <v>293.32082632020001</v>
      </c>
      <c r="FE7" s="35">
        <v>295.33647638460002</v>
      </c>
      <c r="FF7" s="35">
        <v>307.33647638460002</v>
      </c>
      <c r="FG7" s="35">
        <v>309.35212644900002</v>
      </c>
      <c r="FH7" s="35">
        <v>321.35212644900002</v>
      </c>
      <c r="FI7" s="35">
        <v>323.36777651340003</v>
      </c>
      <c r="FJ7" s="35">
        <v>335.36777651340003</v>
      </c>
      <c r="FK7" s="35">
        <v>337.38342657779998</v>
      </c>
      <c r="FL7" s="35">
        <v>349.38342657779998</v>
      </c>
      <c r="FM7" s="35">
        <v>351.39907664219999</v>
      </c>
      <c r="FN7" s="35">
        <v>363.39907664219999</v>
      </c>
      <c r="FO7" s="35">
        <v>365.41472670659999</v>
      </c>
      <c r="FP7" s="35">
        <v>377.41472670659999</v>
      </c>
      <c r="FQ7" s="35">
        <v>379.430376771</v>
      </c>
      <c r="FR7" s="35">
        <v>391.430376771</v>
      </c>
      <c r="FS7" s="35">
        <v>393.4460268354</v>
      </c>
      <c r="FT7" s="35">
        <v>405.4460268354</v>
      </c>
      <c r="FU7" s="35">
        <v>407.46167689980001</v>
      </c>
      <c r="FV7" s="35">
        <v>419.46167689980001</v>
      </c>
      <c r="FW7" s="35">
        <v>421.47732696420002</v>
      </c>
      <c r="FX7" s="35">
        <v>433.47732696420002</v>
      </c>
      <c r="FY7" s="35">
        <v>435.49297702860002</v>
      </c>
      <c r="FZ7" s="35">
        <v>447.49297702860002</v>
      </c>
      <c r="GA7" s="35">
        <v>449.50862709300003</v>
      </c>
      <c r="GB7" s="35">
        <v>461.50862709300003</v>
      </c>
      <c r="GC7" s="35">
        <v>463.52427715739998</v>
      </c>
      <c r="GD7" s="35">
        <v>0</v>
      </c>
      <c r="GE7" s="35">
        <v>250</v>
      </c>
      <c r="GF7" s="35">
        <v>31.25</v>
      </c>
      <c r="GG7" s="35">
        <v>3.90625</v>
      </c>
      <c r="GH7" s="35">
        <v>1.953125</v>
      </c>
      <c r="GI7" s="36">
        <v>12</v>
      </c>
      <c r="GJ7" s="36">
        <v>2</v>
      </c>
      <c r="GK7" s="35">
        <v>0</v>
      </c>
      <c r="GL7" s="35">
        <v>80</v>
      </c>
      <c r="GM7" s="35">
        <v>44.444444444444443</v>
      </c>
      <c r="GN7" s="35">
        <v>31.111111111111107</v>
      </c>
      <c r="GO7" s="35">
        <v>10.370370370370368</v>
      </c>
      <c r="GP7" s="35">
        <v>40</v>
      </c>
      <c r="GQ7" s="35">
        <v>40</v>
      </c>
      <c r="GR7" s="35">
        <v>20</v>
      </c>
      <c r="GS7" s="35">
        <v>40</v>
      </c>
      <c r="GT7" s="35">
        <v>8</v>
      </c>
      <c r="GU7" s="35">
        <v>15</v>
      </c>
      <c r="GV7" s="35">
        <v>3.75</v>
      </c>
      <c r="GW7" s="35">
        <v>18</v>
      </c>
      <c r="GX7" s="35">
        <v>9</v>
      </c>
      <c r="GY7" s="35">
        <v>80</v>
      </c>
      <c r="GZ7" s="35">
        <v>44.444444444444443</v>
      </c>
      <c r="HA7" s="35">
        <v>31.111111111111107</v>
      </c>
      <c r="HB7" s="35">
        <v>10.370370370370368</v>
      </c>
      <c r="HC7" s="35">
        <v>40</v>
      </c>
      <c r="HD7" s="35">
        <v>40</v>
      </c>
      <c r="HE7" s="35">
        <v>20</v>
      </c>
      <c r="HF7" s="35">
        <v>40</v>
      </c>
      <c r="HG7" s="35">
        <v>8</v>
      </c>
      <c r="HH7" s="35">
        <v>15</v>
      </c>
      <c r="HI7" s="35">
        <v>3.75</v>
      </c>
      <c r="HJ7" s="35">
        <v>18</v>
      </c>
      <c r="HK7" s="35">
        <v>9</v>
      </c>
      <c r="HL7" s="35">
        <v>5</v>
      </c>
      <c r="HM7" s="35">
        <v>0</v>
      </c>
      <c r="HN7" s="35">
        <v>0</v>
      </c>
      <c r="HO7" s="35">
        <v>3.125</v>
      </c>
      <c r="HP7" s="35">
        <v>17.634217114246702</v>
      </c>
      <c r="HQ7" s="35">
        <v>9.5367431640625</v>
      </c>
      <c r="HR7" s="35">
        <v>38.737824305871641</v>
      </c>
      <c r="HS7" s="35">
        <v>23.73046875</v>
      </c>
      <c r="HT7" s="35">
        <v>49.957498862084663</v>
      </c>
      <c r="HU7" s="35">
        <v>51.2908935546875</v>
      </c>
      <c r="HV7" s="35">
        <v>11.299044151115158</v>
      </c>
      <c r="HW7" s="35">
        <v>100</v>
      </c>
      <c r="HX7" s="35">
        <v>12.768263541192534</v>
      </c>
      <c r="HY7" s="35">
        <v>81.014023322061405</v>
      </c>
      <c r="HZ7" s="35">
        <v>13.370960400546201</v>
      </c>
      <c r="IA7" s="35">
        <v>65.132027498296409</v>
      </c>
      <c r="IB7" s="35">
        <v>15.112938097405555</v>
      </c>
      <c r="IC7" s="35">
        <v>51.93403908250599</v>
      </c>
      <c r="ID7" s="35">
        <v>17</v>
      </c>
      <c r="IE7" s="35">
        <v>41.044225466741565</v>
      </c>
      <c r="IF7" s="35">
        <v>15.112938097405555</v>
      </c>
      <c r="IG7" s="35">
        <v>32.127687206130908</v>
      </c>
      <c r="IH7" s="35">
        <v>13.370960400546201</v>
      </c>
      <c r="II7" s="35">
        <v>24.887371388049534</v>
      </c>
      <c r="IJ7" s="35">
        <v>11.768263541192534</v>
      </c>
      <c r="IK7" s="35">
        <v>19.061106045638713</v>
      </c>
      <c r="IL7" s="35">
        <v>10.299044151115158</v>
      </c>
      <c r="IM7" s="35">
        <v>14.418755615669616</v>
      </c>
      <c r="IN7" s="35">
        <v>8.9574988620846607</v>
      </c>
      <c r="IO7" s="35">
        <v>10.759497440753508</v>
      </c>
      <c r="IP7" s="35">
        <v>7.7378243058716416</v>
      </c>
      <c r="IQ7" s="35">
        <v>7.9092193158983397</v>
      </c>
      <c r="IR7" s="35">
        <v>6.6342171142467024</v>
      </c>
      <c r="IS7" s="35">
        <v>5.7180380794114836</v>
      </c>
      <c r="IT7" s="35">
        <v>5.6408739189804269</v>
      </c>
      <c r="IU7" s="35">
        <v>4.0579392481486094</v>
      </c>
      <c r="IV7" s="35">
        <v>4.7519913518434231</v>
      </c>
      <c r="IW7" s="35">
        <v>2.8205376971088865</v>
      </c>
      <c r="IX7" s="35">
        <v>3.9617660446062817</v>
      </c>
      <c r="IY7" s="35">
        <v>1.9149593833762957</v>
      </c>
      <c r="IZ7" s="35">
        <v>3.2643946290395984</v>
      </c>
      <c r="JA7" s="35">
        <v>1.2658441144072095</v>
      </c>
      <c r="JB7" s="35">
        <v>2.6540737369139733</v>
      </c>
      <c r="JC7" s="35">
        <v>0.81146936066415609</v>
      </c>
      <c r="JD7" s="35">
        <v>2.125</v>
      </c>
      <c r="JE7" s="35">
        <v>0.50199511259579543</v>
      </c>
      <c r="JF7" s="35">
        <v>1.6713700500682751</v>
      </c>
      <c r="JG7" s="35">
        <v>0.29782978196310489</v>
      </c>
      <c r="JH7" s="35">
        <v>1.2873805188893952</v>
      </c>
      <c r="JI7" s="35">
        <v>0.16811714751177356</v>
      </c>
      <c r="JJ7" s="35">
        <v>0.9672280382339552</v>
      </c>
      <c r="JK7" s="35">
        <v>8.9344344990804431E-2</v>
      </c>
      <c r="JL7" s="35">
        <v>0.70510923987255336</v>
      </c>
      <c r="JM7" s="35">
        <v>4.4070901517326351E-2</v>
      </c>
      <c r="JN7" s="35">
        <v>0.49522075557578521</v>
      </c>
      <c r="JO7" s="35">
        <v>1.9778814287612648E-2</v>
      </c>
      <c r="JP7" s="35">
        <v>0.33175921711424688</v>
      </c>
      <c r="JQ7" s="35">
        <v>7.8436736343093037E-3</v>
      </c>
      <c r="JR7" s="35">
        <v>0.20892125625853425</v>
      </c>
      <c r="JS7" s="35">
        <v>2.6268304298714619E-3</v>
      </c>
      <c r="JT7" s="35">
        <v>0.1209035047792444</v>
      </c>
      <c r="JU7" s="35">
        <v>6.8860783620822423E-4</v>
      </c>
      <c r="JV7" s="35">
        <v>6.1902594446973151E-2</v>
      </c>
      <c r="JW7" s="35">
        <v>3.125</v>
      </c>
      <c r="JX7" s="35">
        <v>17.634217114246702</v>
      </c>
      <c r="JY7" s="35">
        <v>9.5367431640625</v>
      </c>
      <c r="JZ7" s="35">
        <v>38.737824305871641</v>
      </c>
      <c r="KA7" s="35">
        <v>23.73046875</v>
      </c>
      <c r="KB7" s="35">
        <v>49.957498862084663</v>
      </c>
      <c r="KC7" s="35">
        <v>51.2908935546875</v>
      </c>
      <c r="KD7" s="35">
        <v>11.299044151115158</v>
      </c>
      <c r="KE7" s="35">
        <v>100</v>
      </c>
      <c r="KF7" s="35">
        <v>12.768263541192534</v>
      </c>
      <c r="KG7" s="35">
        <v>81.014023322061405</v>
      </c>
      <c r="KH7" s="35">
        <v>13.370960400546201</v>
      </c>
      <c r="KI7" s="35">
        <v>65.132027498296409</v>
      </c>
      <c r="KJ7" s="35">
        <v>15.112938097405555</v>
      </c>
      <c r="KK7" s="35">
        <v>51.93403908250599</v>
      </c>
      <c r="KL7" s="35">
        <v>17</v>
      </c>
      <c r="KM7" s="35">
        <v>41.044225466741565</v>
      </c>
      <c r="KN7" s="35">
        <v>15.112938097405555</v>
      </c>
      <c r="KO7" s="35">
        <v>32.127687206130908</v>
      </c>
      <c r="KP7" s="35">
        <v>13.370960400546201</v>
      </c>
      <c r="KQ7" s="35">
        <v>24.887371388049534</v>
      </c>
      <c r="KR7" s="35">
        <v>11.768263541192534</v>
      </c>
      <c r="KS7" s="35">
        <v>19.061106045638713</v>
      </c>
      <c r="KT7" s="35">
        <v>10.299044151115158</v>
      </c>
      <c r="KU7" s="35">
        <v>14.418755615669616</v>
      </c>
      <c r="KV7" s="35">
        <v>8.9574988620846607</v>
      </c>
      <c r="KW7" s="35">
        <v>10.759497440753508</v>
      </c>
      <c r="KX7" s="35">
        <v>7.7378243058716416</v>
      </c>
      <c r="KY7" s="35">
        <v>7.9092193158983397</v>
      </c>
      <c r="KZ7" s="35">
        <v>6.6342171142467024</v>
      </c>
      <c r="LA7" s="35">
        <v>5.7180380794114836</v>
      </c>
      <c r="LB7" s="35">
        <v>5.6408739189804269</v>
      </c>
      <c r="LC7" s="35">
        <v>4.0579392481486094</v>
      </c>
      <c r="LD7" s="35">
        <v>4.7519913518434231</v>
      </c>
      <c r="LE7" s="35">
        <v>2.8205376971088865</v>
      </c>
      <c r="LF7" s="35">
        <v>3.9617660446062817</v>
      </c>
      <c r="LG7" s="35">
        <v>1.9149593833762957</v>
      </c>
      <c r="LH7" s="35">
        <v>3.2643946290395984</v>
      </c>
      <c r="LI7" s="35">
        <v>1.2658441144072095</v>
      </c>
      <c r="LJ7" s="35">
        <v>2.6540737369139733</v>
      </c>
      <c r="LK7" s="35">
        <v>0.81146936066415609</v>
      </c>
      <c r="LL7" s="35">
        <v>2.125</v>
      </c>
      <c r="LM7" s="35">
        <v>0.50199511259579543</v>
      </c>
      <c r="LN7" s="35">
        <v>1.6713700500682751</v>
      </c>
      <c r="LO7" s="35">
        <v>0.29782978196310489</v>
      </c>
      <c r="LP7" s="35">
        <v>1.2873805188893952</v>
      </c>
      <c r="LQ7" s="35">
        <v>0.16811714751177356</v>
      </c>
      <c r="LR7" s="35">
        <v>0.9672280382339552</v>
      </c>
      <c r="LS7" s="35">
        <v>8.9344344990804431E-2</v>
      </c>
      <c r="LT7" s="35">
        <v>0.70510923987255336</v>
      </c>
      <c r="LU7" s="35">
        <v>4.4070901517326351E-2</v>
      </c>
      <c r="LV7" s="35">
        <v>0.49522075557578521</v>
      </c>
      <c r="LW7" s="35">
        <v>1.9778814287612648E-2</v>
      </c>
      <c r="LX7" s="35">
        <v>0.33175921711424688</v>
      </c>
      <c r="LY7" s="35">
        <v>7.8436736343093037E-3</v>
      </c>
      <c r="LZ7" s="35">
        <v>0.20892125625853425</v>
      </c>
      <c r="MA7" s="35">
        <v>2.6268304298714619E-3</v>
      </c>
      <c r="MB7" s="35">
        <v>0.1209035047792444</v>
      </c>
      <c r="MC7" s="35">
        <v>6.8860783620822423E-4</v>
      </c>
      <c r="MD7" s="35">
        <v>6.1902594446973151E-2</v>
      </c>
    </row>
    <row r="8" spans="1:343" s="4" customFormat="1" ht="14.25" x14ac:dyDescent="0.2">
      <c r="A8" s="4">
        <v>2</v>
      </c>
      <c r="B8" s="16" t="s">
        <v>671</v>
      </c>
      <c r="C8" s="16" t="s">
        <v>130</v>
      </c>
      <c r="D8" s="16" t="s">
        <v>131</v>
      </c>
      <c r="E8" s="16" t="s">
        <v>130</v>
      </c>
      <c r="F8" s="31" t="s">
        <v>132</v>
      </c>
      <c r="G8" s="31" t="s">
        <v>133</v>
      </c>
      <c r="H8" s="32">
        <v>-1</v>
      </c>
      <c r="I8" s="33">
        <v>25.6</v>
      </c>
      <c r="J8" s="34">
        <v>21.388500000000001</v>
      </c>
      <c r="K8" s="32" t="s">
        <v>134</v>
      </c>
      <c r="L8" s="16">
        <v>0</v>
      </c>
      <c r="M8" s="16">
        <v>2</v>
      </c>
      <c r="N8" s="16" t="s">
        <v>130</v>
      </c>
      <c r="O8" s="16">
        <v>0</v>
      </c>
      <c r="P8" s="16">
        <v>0</v>
      </c>
      <c r="Q8" s="16">
        <v>1</v>
      </c>
      <c r="R8" s="16">
        <v>0</v>
      </c>
      <c r="S8" s="16">
        <v>0</v>
      </c>
      <c r="T8" s="16">
        <v>40</v>
      </c>
      <c r="U8" s="16">
        <v>0</v>
      </c>
      <c r="V8" s="16">
        <v>40</v>
      </c>
      <c r="W8" s="16">
        <v>0</v>
      </c>
      <c r="X8" s="16" t="s">
        <v>130</v>
      </c>
      <c r="Y8" s="35">
        <v>1062.7797900316</v>
      </c>
      <c r="Z8" s="35">
        <v>1044.7692300316</v>
      </c>
      <c r="AA8" s="35">
        <v>1062.7797900316</v>
      </c>
      <c r="AB8" s="35">
        <v>1044.7692300316</v>
      </c>
      <c r="AC8" s="35">
        <v>1624.4132150316</v>
      </c>
      <c r="AD8" s="35">
        <v>1300.3075681916</v>
      </c>
      <c r="AE8" s="35">
        <v>1282.2970035076</v>
      </c>
      <c r="AF8" s="35">
        <v>1264.2864388236001</v>
      </c>
      <c r="AG8" s="35">
        <v>1246.2758741396001</v>
      </c>
      <c r="AH8" s="35">
        <v>1226.2707887592001</v>
      </c>
      <c r="AI8" s="35">
        <v>1208.2602240752001</v>
      </c>
      <c r="AJ8" s="35">
        <v>1116.2128799588002</v>
      </c>
      <c r="AK8" s="35">
        <v>743.71286568000005</v>
      </c>
      <c r="AL8" s="35">
        <v>725.70230099600008</v>
      </c>
      <c r="AM8" s="35">
        <v>707.6917363120001</v>
      </c>
      <c r="AN8" s="35">
        <v>689.68117162800013</v>
      </c>
      <c r="AO8" s="35">
        <v>669.6760862476001</v>
      </c>
      <c r="AP8" s="35">
        <v>651.66552156360012</v>
      </c>
      <c r="AQ8" s="35">
        <v>633.65495687960015</v>
      </c>
      <c r="AR8" s="35">
        <v>615.64439219560018</v>
      </c>
      <c r="AS8" s="35">
        <v>597.6338275116002</v>
      </c>
      <c r="AT8" s="35">
        <v>613.64987149920012</v>
      </c>
      <c r="AU8" s="35">
        <v>595.63930681520014</v>
      </c>
      <c r="AV8" s="35">
        <v>555.58687751160005</v>
      </c>
      <c r="AW8" s="35">
        <v>573.59744219560002</v>
      </c>
      <c r="AX8" s="35">
        <v>741.69721561560004</v>
      </c>
      <c r="AY8" s="35">
        <v>723.68665093160007</v>
      </c>
      <c r="AZ8" s="35">
        <v>705.6760862476001</v>
      </c>
      <c r="BA8" s="35">
        <v>687.66552156360012</v>
      </c>
      <c r="BB8" s="35">
        <v>667.66043618320009</v>
      </c>
      <c r="BC8" s="35">
        <v>649.64987149920012</v>
      </c>
      <c r="BD8" s="35">
        <v>631.63930681520014</v>
      </c>
      <c r="BE8" s="35">
        <v>613.62874213120017</v>
      </c>
      <c r="BF8" s="35">
        <v>595.6181774472002</v>
      </c>
      <c r="BG8" s="35">
        <v>611.63422143480011</v>
      </c>
      <c r="BH8" s="35">
        <v>593.62365675080014</v>
      </c>
      <c r="BI8" s="35">
        <v>557.60252757600006</v>
      </c>
      <c r="BJ8" s="35">
        <v>575.61309226000003</v>
      </c>
      <c r="BK8" s="35">
        <v>163.06064842000001</v>
      </c>
      <c r="BL8" s="35">
        <v>0</v>
      </c>
      <c r="BM8" s="35">
        <v>0</v>
      </c>
      <c r="BN8" s="35">
        <v>55.0547752254</v>
      </c>
      <c r="BO8" s="35">
        <v>57.070425289800006</v>
      </c>
      <c r="BP8" s="35">
        <v>69.070425289799999</v>
      </c>
      <c r="BQ8" s="35">
        <v>71.086075354200005</v>
      </c>
      <c r="BR8" s="35">
        <v>81.070425289799999</v>
      </c>
      <c r="BS8" s="35">
        <v>83.086075354200005</v>
      </c>
      <c r="BT8" s="35">
        <v>85.101725418599997</v>
      </c>
      <c r="BU8" s="35">
        <v>95.086075354200005</v>
      </c>
      <c r="BV8" s="35">
        <v>97.101725418599997</v>
      </c>
      <c r="BW8" s="35">
        <v>99.117375483000004</v>
      </c>
      <c r="BX8" s="35">
        <v>109.1017254186</v>
      </c>
      <c r="BY8" s="35">
        <v>111.117375483</v>
      </c>
      <c r="BZ8" s="35">
        <v>113.13302554740001</v>
      </c>
      <c r="CA8" s="35">
        <v>123.117375483</v>
      </c>
      <c r="CB8" s="35">
        <v>125.13302554740001</v>
      </c>
      <c r="CC8" s="35">
        <v>127.1486756118</v>
      </c>
      <c r="CD8" s="35">
        <v>137.1330255474</v>
      </c>
      <c r="CE8" s="35">
        <v>139.1486756118</v>
      </c>
      <c r="CF8" s="35">
        <v>141.16432567620001</v>
      </c>
      <c r="CG8" s="35">
        <v>151.1486756118</v>
      </c>
      <c r="CH8" s="35">
        <v>153.16432567620001</v>
      </c>
      <c r="CI8" s="35">
        <v>155.17997574060001</v>
      </c>
      <c r="CJ8" s="35">
        <v>165.16432567620001</v>
      </c>
      <c r="CK8" s="35">
        <v>167.17997574060001</v>
      </c>
      <c r="CL8" s="35">
        <v>169.19562580499999</v>
      </c>
      <c r="CM8" s="35">
        <v>179.17997574060001</v>
      </c>
      <c r="CN8" s="35">
        <v>181.19562580499999</v>
      </c>
      <c r="CO8" s="35">
        <v>183.2112758694</v>
      </c>
      <c r="CP8" s="35">
        <v>193.19562580499999</v>
      </c>
      <c r="CQ8" s="35">
        <v>195.2112758694</v>
      </c>
      <c r="CR8" s="35">
        <v>197.2269259338</v>
      </c>
      <c r="CS8" s="35">
        <v>207.2112758694</v>
      </c>
      <c r="CT8" s="35">
        <v>209.2269259338</v>
      </c>
      <c r="CU8" s="35">
        <v>211.24257599820001</v>
      </c>
      <c r="CV8" s="35">
        <v>221.2269259338</v>
      </c>
      <c r="CW8" s="35">
        <v>223.24257599820001</v>
      </c>
      <c r="CX8" s="35">
        <v>225.25822606260002</v>
      </c>
      <c r="CY8" s="35">
        <v>235.24257599820001</v>
      </c>
      <c r="CZ8" s="35">
        <v>237.25822606260002</v>
      </c>
      <c r="DA8" s="35">
        <v>239.27387612699999</v>
      </c>
      <c r="DB8" s="35">
        <v>249.25822606260002</v>
      </c>
      <c r="DC8" s="35">
        <v>251.27387612699999</v>
      </c>
      <c r="DD8" s="35">
        <v>253.2895261914</v>
      </c>
      <c r="DE8" s="35">
        <v>263.27387612699999</v>
      </c>
      <c r="DF8" s="35">
        <v>265.2895261914</v>
      </c>
      <c r="DG8" s="35">
        <v>267.30517625580001</v>
      </c>
      <c r="DH8" s="35">
        <v>277.2895261914</v>
      </c>
      <c r="DI8" s="35">
        <v>279.30517625580001</v>
      </c>
      <c r="DJ8" s="35">
        <v>281.32082632020001</v>
      </c>
      <c r="DK8" s="35">
        <v>291.30517625580001</v>
      </c>
      <c r="DL8" s="35">
        <v>293.32082632020001</v>
      </c>
      <c r="DM8" s="35">
        <v>295.33647638460002</v>
      </c>
      <c r="DN8" s="35">
        <v>305.32082632020001</v>
      </c>
      <c r="DO8" s="35">
        <v>307.33647638460002</v>
      </c>
      <c r="DP8" s="35">
        <v>309.35212644900002</v>
      </c>
      <c r="DQ8" s="35">
        <v>319.33647638460002</v>
      </c>
      <c r="DR8" s="35">
        <v>321.35212644900002</v>
      </c>
      <c r="DS8" s="35">
        <v>323.36777651340003</v>
      </c>
      <c r="DT8" s="35">
        <v>333.35212644900002</v>
      </c>
      <c r="DU8" s="35">
        <v>335.36777651340003</v>
      </c>
      <c r="DV8" s="35">
        <v>55.0547752254</v>
      </c>
      <c r="DW8" s="35">
        <v>57.070425289800006</v>
      </c>
      <c r="DX8" s="35">
        <v>69.070425289799999</v>
      </c>
      <c r="DY8" s="35">
        <v>71.086075354200005</v>
      </c>
      <c r="DZ8" s="35">
        <v>83.086075354200005</v>
      </c>
      <c r="EA8" s="35">
        <v>85.101725418599997</v>
      </c>
      <c r="EB8" s="35">
        <v>97.101725418599997</v>
      </c>
      <c r="EC8" s="35">
        <v>99.117375483000004</v>
      </c>
      <c r="ED8" s="35">
        <v>111.117375483</v>
      </c>
      <c r="EE8" s="35">
        <v>113.13302554740001</v>
      </c>
      <c r="EF8" s="35">
        <v>125.13302554740001</v>
      </c>
      <c r="EG8" s="35">
        <v>127.1486756118</v>
      </c>
      <c r="EH8" s="35">
        <v>139.1486756118</v>
      </c>
      <c r="EI8" s="35">
        <v>141.16432567620001</v>
      </c>
      <c r="EJ8" s="35">
        <v>153.16432567620001</v>
      </c>
      <c r="EK8" s="35">
        <v>155.17997574060001</v>
      </c>
      <c r="EL8" s="35">
        <v>167.17997574060001</v>
      </c>
      <c r="EM8" s="35">
        <v>169.19562580499999</v>
      </c>
      <c r="EN8" s="35">
        <v>181.19562580499999</v>
      </c>
      <c r="EO8" s="35">
        <v>183.2112758694</v>
      </c>
      <c r="EP8" s="35">
        <v>195.2112758694</v>
      </c>
      <c r="EQ8" s="35">
        <v>197.2269259338</v>
      </c>
      <c r="ER8" s="35">
        <v>209.2269259338</v>
      </c>
      <c r="ES8" s="35">
        <v>211.24257599820001</v>
      </c>
      <c r="ET8" s="35">
        <v>223.24257599820001</v>
      </c>
      <c r="EU8" s="35">
        <v>225.25822606260002</v>
      </c>
      <c r="EV8" s="35">
        <v>237.25822606260002</v>
      </c>
      <c r="EW8" s="35">
        <v>239.27387612699999</v>
      </c>
      <c r="EX8" s="35">
        <v>251.27387612699999</v>
      </c>
      <c r="EY8" s="35">
        <v>253.2895261914</v>
      </c>
      <c r="EZ8" s="35">
        <v>265.2895261914</v>
      </c>
      <c r="FA8" s="35">
        <v>267.30517625580001</v>
      </c>
      <c r="FB8" s="35">
        <v>279.30517625580001</v>
      </c>
      <c r="FC8" s="35">
        <v>281.32082632020001</v>
      </c>
      <c r="FD8" s="35">
        <v>293.32082632020001</v>
      </c>
      <c r="FE8" s="35">
        <v>295.33647638460002</v>
      </c>
      <c r="FF8" s="35">
        <v>307.33647638460002</v>
      </c>
      <c r="FG8" s="35">
        <v>309.35212644900002</v>
      </c>
      <c r="FH8" s="35">
        <v>321.35212644900002</v>
      </c>
      <c r="FI8" s="35">
        <v>323.36777651340003</v>
      </c>
      <c r="FJ8" s="35">
        <v>335.36777651340003</v>
      </c>
      <c r="FK8" s="35">
        <v>337.38342657779998</v>
      </c>
      <c r="FL8" s="35">
        <v>349.38342657779998</v>
      </c>
      <c r="FM8" s="35">
        <v>351.39907664219999</v>
      </c>
      <c r="FN8" s="35">
        <v>363.39907664219999</v>
      </c>
      <c r="FO8" s="35">
        <v>365.41472670659999</v>
      </c>
      <c r="FP8" s="35">
        <v>377.41472670659999</v>
      </c>
      <c r="FQ8" s="35">
        <v>379.430376771</v>
      </c>
      <c r="FR8" s="35">
        <v>391.430376771</v>
      </c>
      <c r="FS8" s="35">
        <v>393.4460268354</v>
      </c>
      <c r="FT8" s="35">
        <v>405.4460268354</v>
      </c>
      <c r="FU8" s="35">
        <v>407.46167689980001</v>
      </c>
      <c r="FV8" s="35">
        <v>419.46167689980001</v>
      </c>
      <c r="FW8" s="35">
        <v>421.47732696420002</v>
      </c>
      <c r="FX8" s="35">
        <v>433.47732696420002</v>
      </c>
      <c r="FY8" s="35">
        <v>435.49297702860002</v>
      </c>
      <c r="FZ8" s="35">
        <v>447.49297702860002</v>
      </c>
      <c r="GA8" s="35">
        <v>449.50862709300003</v>
      </c>
      <c r="GB8" s="35">
        <v>461.50862709300003</v>
      </c>
      <c r="GC8" s="35">
        <v>463.52427715739998</v>
      </c>
      <c r="GD8" s="35">
        <v>0</v>
      </c>
      <c r="GE8" s="35">
        <v>237.5</v>
      </c>
      <c r="GF8" s="35">
        <v>29.6875</v>
      </c>
      <c r="GG8" s="35">
        <v>3.7109375</v>
      </c>
      <c r="GH8" s="35">
        <v>1.85546875</v>
      </c>
      <c r="GI8" s="36">
        <v>9.6000000000000014</v>
      </c>
      <c r="GJ8" s="36">
        <v>2</v>
      </c>
      <c r="GK8" s="35">
        <v>0</v>
      </c>
      <c r="GL8" s="35">
        <v>80</v>
      </c>
      <c r="GM8" s="35">
        <v>44.444444444444443</v>
      </c>
      <c r="GN8" s="35">
        <v>31.111111111111107</v>
      </c>
      <c r="GO8" s="35">
        <v>10.370370370370368</v>
      </c>
      <c r="GP8" s="35">
        <v>40</v>
      </c>
      <c r="GQ8" s="35">
        <v>40</v>
      </c>
      <c r="GR8" s="35">
        <v>20</v>
      </c>
      <c r="GS8" s="35">
        <v>40</v>
      </c>
      <c r="GT8" s="35">
        <v>8</v>
      </c>
      <c r="GU8" s="35">
        <v>15</v>
      </c>
      <c r="GV8" s="35">
        <v>3.75</v>
      </c>
      <c r="GW8" s="35">
        <v>10.799999999999999</v>
      </c>
      <c r="GX8" s="35">
        <v>5.3999999999999995</v>
      </c>
      <c r="GY8" s="35">
        <v>32</v>
      </c>
      <c r="GZ8" s="35">
        <v>17.777777777777779</v>
      </c>
      <c r="HA8" s="35">
        <v>12.444444444444445</v>
      </c>
      <c r="HB8" s="35">
        <v>4.1481481481481479</v>
      </c>
      <c r="HC8" s="35">
        <v>36</v>
      </c>
      <c r="HD8" s="35">
        <v>36</v>
      </c>
      <c r="HE8" s="35">
        <v>18</v>
      </c>
      <c r="HF8" s="35">
        <v>36</v>
      </c>
      <c r="HG8" s="35">
        <v>7.2</v>
      </c>
      <c r="HH8" s="35">
        <v>15</v>
      </c>
      <c r="HI8" s="35">
        <v>3.75</v>
      </c>
      <c r="HJ8" s="35">
        <v>18</v>
      </c>
      <c r="HK8" s="35">
        <v>9</v>
      </c>
      <c r="HL8" s="35">
        <v>5</v>
      </c>
      <c r="HM8" s="35">
        <v>0</v>
      </c>
      <c r="HN8" s="35">
        <v>0</v>
      </c>
      <c r="HO8" s="35">
        <v>1.831817626953125</v>
      </c>
      <c r="HP8" s="35">
        <v>3.9085542785616756</v>
      </c>
      <c r="HQ8" s="35">
        <v>5.5902637541294098</v>
      </c>
      <c r="HR8" s="35">
        <v>6.6844560764679102</v>
      </c>
      <c r="HS8" s="35">
        <v>4.1731095314025879</v>
      </c>
      <c r="HT8" s="35">
        <v>13.910365104675293</v>
      </c>
      <c r="HU8" s="35">
        <v>8.2393747155211656</v>
      </c>
      <c r="HV8" s="35">
        <v>10.523023046553135</v>
      </c>
      <c r="HW8" s="35">
        <v>47.488933104557965</v>
      </c>
      <c r="HX8" s="35">
        <v>3.5747610377787895</v>
      </c>
      <c r="HY8" s="35">
        <v>23.447265625</v>
      </c>
      <c r="HZ8" s="35">
        <v>58.6181640625</v>
      </c>
      <c r="IA8" s="35">
        <v>2.9420658852981334</v>
      </c>
      <c r="IB8" s="35">
        <v>18.340553474863764</v>
      </c>
      <c r="IC8" s="35">
        <v>47.488933104557965</v>
      </c>
      <c r="ID8" s="35">
        <v>3.3427401001365502</v>
      </c>
      <c r="IE8" s="35">
        <v>14.218460218992666</v>
      </c>
      <c r="IF8" s="35">
        <v>38.179198736184006</v>
      </c>
      <c r="IG8" s="35">
        <v>3.7782345243513888</v>
      </c>
      <c r="IH8" s="35">
        <v>10.917410842418233</v>
      </c>
      <c r="II8" s="35">
        <v>30.44278023366623</v>
      </c>
      <c r="IJ8" s="35">
        <v>4.25</v>
      </c>
      <c r="IK8" s="35">
        <v>8.296334973198956</v>
      </c>
      <c r="IL8" s="35">
        <v>24.059371422276975</v>
      </c>
      <c r="IM8" s="35">
        <v>3.7782345243513888</v>
      </c>
      <c r="IN8" s="35">
        <v>6.2342599931508875</v>
      </c>
      <c r="IO8" s="35">
        <v>18.832660395976639</v>
      </c>
      <c r="IP8" s="35">
        <v>3.3427401001365502</v>
      </c>
      <c r="IQ8" s="35">
        <v>4.6280822675183844</v>
      </c>
      <c r="IR8" s="35">
        <v>14.588520191090559</v>
      </c>
      <c r="IS8" s="35">
        <v>2.9420658852981334</v>
      </c>
      <c r="IT8" s="35">
        <v>3.3905096428567076</v>
      </c>
      <c r="IU8" s="35">
        <v>11.173270413959607</v>
      </c>
      <c r="IV8" s="35">
        <v>2.5747610377787895</v>
      </c>
      <c r="IW8" s="35">
        <v>2.4481683623978912</v>
      </c>
      <c r="IX8" s="35">
        <v>8.4520098225641469</v>
      </c>
      <c r="IY8" s="35">
        <v>2.2393747155211652</v>
      </c>
      <c r="IZ8" s="35">
        <v>1.7398675481714156</v>
      </c>
      <c r="JA8" s="35">
        <v>6.30701986212138</v>
      </c>
      <c r="JB8" s="35">
        <v>1.9344560764679104</v>
      </c>
      <c r="JC8" s="35">
        <v>1.2150143991512878</v>
      </c>
      <c r="JD8" s="35">
        <v>4.6362391546562289</v>
      </c>
      <c r="JE8" s="35">
        <v>1.6585542785616756</v>
      </c>
      <c r="JF8" s="35">
        <v>0.83217325470098846</v>
      </c>
      <c r="JG8" s="35">
        <v>3.3518089425456479</v>
      </c>
      <c r="JH8" s="35">
        <v>1.4102184797451067</v>
      </c>
      <c r="JI8" s="35">
        <v>0.55776167258782994</v>
      </c>
      <c r="JJ8" s="35">
        <v>2.3786894860363308</v>
      </c>
      <c r="JK8" s="35">
        <v>1.1879978379608558</v>
      </c>
      <c r="JL8" s="35">
        <v>0.36487667083827779</v>
      </c>
      <c r="JM8" s="35">
        <v>1.6533474147359464</v>
      </c>
      <c r="JN8" s="35">
        <v>0.99044151115157042</v>
      </c>
      <c r="JO8" s="35">
        <v>0.23224428270574216</v>
      </c>
      <c r="JP8" s="35">
        <v>1.1225140330777554</v>
      </c>
      <c r="JQ8" s="35">
        <v>0.81609865725989961</v>
      </c>
      <c r="JR8" s="35">
        <v>0.14328557402237305</v>
      </c>
      <c r="JS8" s="35">
        <v>0.74201457975871821</v>
      </c>
      <c r="JT8" s="35">
        <v>0.66351843422849333</v>
      </c>
      <c r="JU8" s="35">
        <v>8.5292272206392447E-2</v>
      </c>
      <c r="JV8" s="35">
        <v>0.47566844115103485</v>
      </c>
      <c r="JW8" s="35">
        <v>3.125</v>
      </c>
      <c r="JX8" s="35">
        <v>17.634217114246702</v>
      </c>
      <c r="JY8" s="35">
        <v>9.5367431640625</v>
      </c>
      <c r="JZ8" s="35">
        <v>38.737824305871641</v>
      </c>
      <c r="KA8" s="35">
        <v>23.73046875</v>
      </c>
      <c r="KB8" s="35">
        <v>49.957498862084663</v>
      </c>
      <c r="KC8" s="35">
        <v>51.2908935546875</v>
      </c>
      <c r="KD8" s="35">
        <v>11.299044151115158</v>
      </c>
      <c r="KE8" s="35">
        <v>100</v>
      </c>
      <c r="KF8" s="35">
        <v>12.768263541192534</v>
      </c>
      <c r="KG8" s="35">
        <v>81.014023322061405</v>
      </c>
      <c r="KH8" s="35">
        <v>13.370960400546201</v>
      </c>
      <c r="KI8" s="35">
        <v>65.132027498296409</v>
      </c>
      <c r="KJ8" s="35">
        <v>15.112938097405555</v>
      </c>
      <c r="KK8" s="35">
        <v>51.93403908250599</v>
      </c>
      <c r="KL8" s="35">
        <v>17</v>
      </c>
      <c r="KM8" s="35">
        <v>41.044225466741565</v>
      </c>
      <c r="KN8" s="35">
        <v>15.112938097405555</v>
      </c>
      <c r="KO8" s="35">
        <v>32.127687206130908</v>
      </c>
      <c r="KP8" s="35">
        <v>13.370960400546201</v>
      </c>
      <c r="KQ8" s="35">
        <v>24.887371388049534</v>
      </c>
      <c r="KR8" s="35">
        <v>11.768263541192534</v>
      </c>
      <c r="KS8" s="35">
        <v>19.061106045638713</v>
      </c>
      <c r="KT8" s="35">
        <v>10.299044151115158</v>
      </c>
      <c r="KU8" s="35">
        <v>14.418755615669616</v>
      </c>
      <c r="KV8" s="35">
        <v>8.9574988620846607</v>
      </c>
      <c r="KW8" s="35">
        <v>10.759497440753508</v>
      </c>
      <c r="KX8" s="35">
        <v>7.7378243058716416</v>
      </c>
      <c r="KY8" s="35">
        <v>7.9092193158983397</v>
      </c>
      <c r="KZ8" s="35">
        <v>6.6342171142467024</v>
      </c>
      <c r="LA8" s="35">
        <v>5.7180380794114836</v>
      </c>
      <c r="LB8" s="35">
        <v>5.6408739189804269</v>
      </c>
      <c r="LC8" s="35">
        <v>4.0579392481486094</v>
      </c>
      <c r="LD8" s="35">
        <v>4.7519913518434231</v>
      </c>
      <c r="LE8" s="35">
        <v>2.8205376971088865</v>
      </c>
      <c r="LF8" s="35">
        <v>3.9617660446062817</v>
      </c>
      <c r="LG8" s="35">
        <v>1.9149593833762957</v>
      </c>
      <c r="LH8" s="35">
        <v>3.2643946290395984</v>
      </c>
      <c r="LI8" s="35">
        <v>1.2658441144072095</v>
      </c>
      <c r="LJ8" s="35">
        <v>2.6540737369139733</v>
      </c>
      <c r="LK8" s="35">
        <v>0.81146936066415609</v>
      </c>
      <c r="LL8" s="35">
        <v>2.125</v>
      </c>
      <c r="LM8" s="35">
        <v>0.50199511259579543</v>
      </c>
      <c r="LN8" s="35">
        <v>1.6713700500682751</v>
      </c>
      <c r="LO8" s="35">
        <v>0.29782978196310489</v>
      </c>
      <c r="LP8" s="35">
        <v>1.2873805188893952</v>
      </c>
      <c r="LQ8" s="35">
        <v>0.16811714751177356</v>
      </c>
      <c r="LR8" s="35">
        <v>0.9672280382339552</v>
      </c>
      <c r="LS8" s="35">
        <v>8.9344344990804431E-2</v>
      </c>
      <c r="LT8" s="35">
        <v>0.70510923987255336</v>
      </c>
      <c r="LU8" s="35">
        <v>4.4070901517326351E-2</v>
      </c>
      <c r="LV8" s="35">
        <v>0.49522075557578521</v>
      </c>
      <c r="LW8" s="35">
        <v>1.9778814287612648E-2</v>
      </c>
      <c r="LX8" s="35">
        <v>0.33175921711424688</v>
      </c>
      <c r="LY8" s="35">
        <v>7.8436736343093037E-3</v>
      </c>
      <c r="LZ8" s="35">
        <v>0.20892125625853425</v>
      </c>
      <c r="MA8" s="35">
        <v>2.6268304298714619E-3</v>
      </c>
      <c r="MB8" s="35">
        <v>0.1209035047792444</v>
      </c>
      <c r="MC8" s="35">
        <v>6.8860783620822423E-4</v>
      </c>
      <c r="MD8" s="35">
        <v>6.1902594446973151E-2</v>
      </c>
    </row>
    <row r="9" spans="1:343" s="4" customFormat="1" ht="14.25" x14ac:dyDescent="0.2">
      <c r="A9" s="4">
        <v>3</v>
      </c>
      <c r="B9" s="16" t="s">
        <v>672</v>
      </c>
      <c r="C9" s="16" t="s">
        <v>432</v>
      </c>
      <c r="D9" s="16" t="s">
        <v>135</v>
      </c>
      <c r="E9" s="16" t="s">
        <v>432</v>
      </c>
      <c r="F9" s="31" t="s">
        <v>136</v>
      </c>
      <c r="G9" s="31" t="s">
        <v>137</v>
      </c>
      <c r="H9" s="32">
        <v>-1</v>
      </c>
      <c r="I9" s="33">
        <v>26.09</v>
      </c>
      <c r="J9" s="34">
        <v>20.9984</v>
      </c>
      <c r="K9" s="32" t="s">
        <v>138</v>
      </c>
      <c r="L9" s="16">
        <v>0</v>
      </c>
      <c r="M9" s="16">
        <v>2</v>
      </c>
      <c r="N9" s="16" t="s">
        <v>432</v>
      </c>
      <c r="O9" s="16">
        <v>0</v>
      </c>
      <c r="P9" s="16">
        <v>0</v>
      </c>
      <c r="Q9" s="16">
        <v>1</v>
      </c>
      <c r="R9" s="16">
        <v>1</v>
      </c>
      <c r="S9" s="16">
        <v>0</v>
      </c>
      <c r="T9" s="16">
        <v>40</v>
      </c>
      <c r="U9" s="16">
        <v>0</v>
      </c>
      <c r="V9" s="16">
        <v>40</v>
      </c>
      <c r="W9" s="16">
        <v>0</v>
      </c>
      <c r="X9" s="16" t="s">
        <v>432</v>
      </c>
      <c r="Y9" s="35">
        <v>1060.7641399672002</v>
      </c>
      <c r="Z9" s="35">
        <v>1042.7535799672003</v>
      </c>
      <c r="AA9" s="35">
        <v>1060.7641399672002</v>
      </c>
      <c r="AB9" s="35">
        <v>1042.7535799672003</v>
      </c>
      <c r="AC9" s="35">
        <v>1622.3975649672</v>
      </c>
      <c r="AD9" s="35">
        <v>1298.2919181272</v>
      </c>
      <c r="AE9" s="35">
        <v>1280.2813534432</v>
      </c>
      <c r="AF9" s="35">
        <v>1262.2707887592001</v>
      </c>
      <c r="AG9" s="35">
        <v>1244.2602240752001</v>
      </c>
      <c r="AH9" s="35">
        <v>1224.2551386948001</v>
      </c>
      <c r="AI9" s="35">
        <v>1206.2445740108001</v>
      </c>
      <c r="AJ9" s="35">
        <v>1114.1972298944002</v>
      </c>
      <c r="AK9" s="35">
        <v>741.69721561560004</v>
      </c>
      <c r="AL9" s="35">
        <v>723.68665093160007</v>
      </c>
      <c r="AM9" s="35">
        <v>705.6760862476001</v>
      </c>
      <c r="AN9" s="35">
        <v>687.66552156360012</v>
      </c>
      <c r="AO9" s="35">
        <v>667.66043618320009</v>
      </c>
      <c r="AP9" s="35">
        <v>649.64987149920012</v>
      </c>
      <c r="AQ9" s="35">
        <v>631.63930681520014</v>
      </c>
      <c r="AR9" s="35">
        <v>613.62874213120017</v>
      </c>
      <c r="AS9" s="35">
        <v>595.6181774472002</v>
      </c>
      <c r="AT9" s="35">
        <v>611.63422143480011</v>
      </c>
      <c r="AU9" s="35">
        <v>593.62365675080014</v>
      </c>
      <c r="AV9" s="35">
        <v>557.6025275116001</v>
      </c>
      <c r="AW9" s="35">
        <v>575.61309219560007</v>
      </c>
      <c r="AX9" s="35">
        <v>741.69721561560004</v>
      </c>
      <c r="AY9" s="35">
        <v>723.68665093160007</v>
      </c>
      <c r="AZ9" s="35">
        <v>705.6760862476001</v>
      </c>
      <c r="BA9" s="35">
        <v>687.66552156360012</v>
      </c>
      <c r="BB9" s="35">
        <v>667.66043618320009</v>
      </c>
      <c r="BC9" s="35">
        <v>649.64987149920012</v>
      </c>
      <c r="BD9" s="35">
        <v>631.63930681520014</v>
      </c>
      <c r="BE9" s="35">
        <v>613.62874213120017</v>
      </c>
      <c r="BF9" s="35">
        <v>595.6181774472002</v>
      </c>
      <c r="BG9" s="35">
        <v>611.63422143480011</v>
      </c>
      <c r="BH9" s="35">
        <v>593.62365675080014</v>
      </c>
      <c r="BI9" s="35">
        <v>555.58687751160005</v>
      </c>
      <c r="BJ9" s="35">
        <v>573.59744219560002</v>
      </c>
      <c r="BK9" s="35">
        <v>163.06064842000001</v>
      </c>
      <c r="BL9" s="35">
        <v>0</v>
      </c>
      <c r="BM9" s="35">
        <v>0</v>
      </c>
      <c r="BN9" s="35">
        <v>55.0547752254</v>
      </c>
      <c r="BO9" s="35">
        <v>57.070425289800006</v>
      </c>
      <c r="BP9" s="35">
        <v>69.070425289799999</v>
      </c>
      <c r="BQ9" s="35">
        <v>71.086075354200005</v>
      </c>
      <c r="BR9" s="35">
        <v>81.070425289799999</v>
      </c>
      <c r="BS9" s="35">
        <v>83.086075354200005</v>
      </c>
      <c r="BT9" s="35">
        <v>85.101725418599997</v>
      </c>
      <c r="BU9" s="35">
        <v>95.086075354200005</v>
      </c>
      <c r="BV9" s="35">
        <v>97.101725418599997</v>
      </c>
      <c r="BW9" s="35">
        <v>99.117375483000004</v>
      </c>
      <c r="BX9" s="35">
        <v>109.1017254186</v>
      </c>
      <c r="BY9" s="35">
        <v>111.117375483</v>
      </c>
      <c r="BZ9" s="35">
        <v>113.13302554740001</v>
      </c>
      <c r="CA9" s="35">
        <v>123.117375483</v>
      </c>
      <c r="CB9" s="35">
        <v>125.13302554740001</v>
      </c>
      <c r="CC9" s="35">
        <v>127.1486756118</v>
      </c>
      <c r="CD9" s="35">
        <v>137.1330255474</v>
      </c>
      <c r="CE9" s="35">
        <v>139.1486756118</v>
      </c>
      <c r="CF9" s="35">
        <v>141.16432567620001</v>
      </c>
      <c r="CG9" s="35">
        <v>151.1486756118</v>
      </c>
      <c r="CH9" s="35">
        <v>153.16432567620001</v>
      </c>
      <c r="CI9" s="35">
        <v>155.17997574060001</v>
      </c>
      <c r="CJ9" s="35">
        <v>165.16432567620001</v>
      </c>
      <c r="CK9" s="35">
        <v>167.17997574060001</v>
      </c>
      <c r="CL9" s="35">
        <v>169.19562580499999</v>
      </c>
      <c r="CM9" s="35">
        <v>179.17997574060001</v>
      </c>
      <c r="CN9" s="35">
        <v>181.19562580499999</v>
      </c>
      <c r="CO9" s="35">
        <v>183.2112758694</v>
      </c>
      <c r="CP9" s="35">
        <v>193.19562580499999</v>
      </c>
      <c r="CQ9" s="35">
        <v>195.2112758694</v>
      </c>
      <c r="CR9" s="35">
        <v>197.2269259338</v>
      </c>
      <c r="CS9" s="35">
        <v>207.2112758694</v>
      </c>
      <c r="CT9" s="35">
        <v>209.2269259338</v>
      </c>
      <c r="CU9" s="35">
        <v>211.24257599820001</v>
      </c>
      <c r="CV9" s="35">
        <v>221.2269259338</v>
      </c>
      <c r="CW9" s="35">
        <v>223.24257599820001</v>
      </c>
      <c r="CX9" s="35">
        <v>225.25822606260002</v>
      </c>
      <c r="CY9" s="35">
        <v>235.24257599820001</v>
      </c>
      <c r="CZ9" s="35">
        <v>237.25822606260002</v>
      </c>
      <c r="DA9" s="35">
        <v>239.27387612699999</v>
      </c>
      <c r="DB9" s="35">
        <v>249.25822606260002</v>
      </c>
      <c r="DC9" s="35">
        <v>251.27387612699999</v>
      </c>
      <c r="DD9" s="35">
        <v>253.2895261914</v>
      </c>
      <c r="DE9" s="35">
        <v>263.27387612699999</v>
      </c>
      <c r="DF9" s="35">
        <v>265.2895261914</v>
      </c>
      <c r="DG9" s="35">
        <v>267.30517625580001</v>
      </c>
      <c r="DH9" s="35">
        <v>277.2895261914</v>
      </c>
      <c r="DI9" s="35">
        <v>279.30517625580001</v>
      </c>
      <c r="DJ9" s="35">
        <v>281.32082632020001</v>
      </c>
      <c r="DK9" s="35">
        <v>291.30517625580001</v>
      </c>
      <c r="DL9" s="35">
        <v>293.32082632020001</v>
      </c>
      <c r="DM9" s="35">
        <v>295.33647638460002</v>
      </c>
      <c r="DN9" s="35">
        <v>305.32082632020001</v>
      </c>
      <c r="DO9" s="35">
        <v>307.33647638460002</v>
      </c>
      <c r="DP9" s="35">
        <v>309.35212644900002</v>
      </c>
      <c r="DQ9" s="35">
        <v>319.33647638460002</v>
      </c>
      <c r="DR9" s="35">
        <v>321.35212644900002</v>
      </c>
      <c r="DS9" s="35">
        <v>323.36777651340003</v>
      </c>
      <c r="DT9" s="35">
        <v>333.35212644900002</v>
      </c>
      <c r="DU9" s="35">
        <v>335.36777651340003</v>
      </c>
      <c r="DV9" s="35">
        <v>55.0547752254</v>
      </c>
      <c r="DW9" s="35">
        <v>57.070425289800006</v>
      </c>
      <c r="DX9" s="35">
        <v>69.070425289799999</v>
      </c>
      <c r="DY9" s="35">
        <v>71.086075354200005</v>
      </c>
      <c r="DZ9" s="35">
        <v>81.070425289799999</v>
      </c>
      <c r="EA9" s="35">
        <v>83.086075354200005</v>
      </c>
      <c r="EB9" s="35">
        <v>85.101725418599997</v>
      </c>
      <c r="EC9" s="35">
        <v>95.086075354200005</v>
      </c>
      <c r="ED9" s="35">
        <v>97.101725418599997</v>
      </c>
      <c r="EE9" s="35">
        <v>99.117375483000004</v>
      </c>
      <c r="EF9" s="35">
        <v>109.1017254186</v>
      </c>
      <c r="EG9" s="35">
        <v>111.117375483</v>
      </c>
      <c r="EH9" s="35">
        <v>113.13302554740001</v>
      </c>
      <c r="EI9" s="35">
        <v>123.117375483</v>
      </c>
      <c r="EJ9" s="35">
        <v>125.13302554740001</v>
      </c>
      <c r="EK9" s="35">
        <v>127.1486756118</v>
      </c>
      <c r="EL9" s="35">
        <v>137.1330255474</v>
      </c>
      <c r="EM9" s="35">
        <v>139.1486756118</v>
      </c>
      <c r="EN9" s="35">
        <v>141.16432567620001</v>
      </c>
      <c r="EO9" s="35">
        <v>151.1486756118</v>
      </c>
      <c r="EP9" s="35">
        <v>153.16432567620001</v>
      </c>
      <c r="EQ9" s="35">
        <v>155.17997574060001</v>
      </c>
      <c r="ER9" s="35">
        <v>165.16432567620001</v>
      </c>
      <c r="ES9" s="35">
        <v>167.17997574060001</v>
      </c>
      <c r="ET9" s="35">
        <v>169.19562580499999</v>
      </c>
      <c r="EU9" s="35">
        <v>179.17997574060001</v>
      </c>
      <c r="EV9" s="35">
        <v>181.19562580499999</v>
      </c>
      <c r="EW9" s="35">
        <v>183.2112758694</v>
      </c>
      <c r="EX9" s="35">
        <v>193.19562580499999</v>
      </c>
      <c r="EY9" s="35">
        <v>195.2112758694</v>
      </c>
      <c r="EZ9" s="35">
        <v>197.2269259338</v>
      </c>
      <c r="FA9" s="35">
        <v>207.2112758694</v>
      </c>
      <c r="FB9" s="35">
        <v>209.2269259338</v>
      </c>
      <c r="FC9" s="35">
        <v>211.24257599820001</v>
      </c>
      <c r="FD9" s="35">
        <v>221.2269259338</v>
      </c>
      <c r="FE9" s="35">
        <v>223.24257599820001</v>
      </c>
      <c r="FF9" s="35">
        <v>225.25822606260002</v>
      </c>
      <c r="FG9" s="35">
        <v>235.24257599820001</v>
      </c>
      <c r="FH9" s="35">
        <v>237.25822606260002</v>
      </c>
      <c r="FI9" s="35">
        <v>239.27387612699999</v>
      </c>
      <c r="FJ9" s="35">
        <v>249.25822606260002</v>
      </c>
      <c r="FK9" s="35">
        <v>251.27387612699999</v>
      </c>
      <c r="FL9" s="35">
        <v>253.2895261914</v>
      </c>
      <c r="FM9" s="35">
        <v>263.27387612699999</v>
      </c>
      <c r="FN9" s="35">
        <v>265.2895261914</v>
      </c>
      <c r="FO9" s="35">
        <v>267.30517625580001</v>
      </c>
      <c r="FP9" s="35">
        <v>277.2895261914</v>
      </c>
      <c r="FQ9" s="35">
        <v>279.30517625580001</v>
      </c>
      <c r="FR9" s="35">
        <v>281.32082632020001</v>
      </c>
      <c r="FS9" s="35">
        <v>291.30517625580001</v>
      </c>
      <c r="FT9" s="35">
        <v>293.32082632020001</v>
      </c>
      <c r="FU9" s="35">
        <v>295.33647638460002</v>
      </c>
      <c r="FV9" s="35">
        <v>305.32082632020001</v>
      </c>
      <c r="FW9" s="35">
        <v>307.33647638460002</v>
      </c>
      <c r="FX9" s="35">
        <v>309.35212644900002</v>
      </c>
      <c r="FY9" s="35">
        <v>319.33647638460002</v>
      </c>
      <c r="FZ9" s="35">
        <v>321.35212644900002</v>
      </c>
      <c r="GA9" s="35">
        <v>323.36777651340003</v>
      </c>
      <c r="GB9" s="35">
        <v>333.35212644900002</v>
      </c>
      <c r="GC9" s="35">
        <v>335.36777651340003</v>
      </c>
      <c r="GD9" s="35">
        <v>0</v>
      </c>
      <c r="GE9" s="35">
        <v>225.625</v>
      </c>
      <c r="GF9" s="35">
        <v>28.203125</v>
      </c>
      <c r="GG9" s="35">
        <v>3.525390625</v>
      </c>
      <c r="GH9" s="35">
        <v>1.7626953125</v>
      </c>
      <c r="GI9" s="36">
        <v>7.6800000000000015</v>
      </c>
      <c r="GJ9" s="36">
        <v>2</v>
      </c>
      <c r="GK9" s="35">
        <v>0</v>
      </c>
      <c r="GL9" s="35">
        <v>64</v>
      </c>
      <c r="GM9" s="35">
        <v>35.555555555555557</v>
      </c>
      <c r="GN9" s="35">
        <v>24.888888888888889</v>
      </c>
      <c r="GO9" s="35">
        <v>8.2962962962962958</v>
      </c>
      <c r="GP9" s="35">
        <v>36</v>
      </c>
      <c r="GQ9" s="35">
        <v>36</v>
      </c>
      <c r="GR9" s="35">
        <v>18</v>
      </c>
      <c r="GS9" s="35">
        <v>36</v>
      </c>
      <c r="GT9" s="35">
        <v>7.2</v>
      </c>
      <c r="GU9" s="35">
        <v>15</v>
      </c>
      <c r="GV9" s="35">
        <v>3.75</v>
      </c>
      <c r="GW9" s="35">
        <v>21.599999999999998</v>
      </c>
      <c r="GX9" s="35">
        <v>10.799999999999999</v>
      </c>
      <c r="GY9" s="35">
        <v>64</v>
      </c>
      <c r="GZ9" s="35">
        <v>35.555555555555557</v>
      </c>
      <c r="HA9" s="35">
        <v>24.888888888888889</v>
      </c>
      <c r="HB9" s="35">
        <v>8.2962962962962958</v>
      </c>
      <c r="HC9" s="35">
        <v>36</v>
      </c>
      <c r="HD9" s="35">
        <v>36</v>
      </c>
      <c r="HE9" s="35">
        <v>18</v>
      </c>
      <c r="HF9" s="35">
        <v>36</v>
      </c>
      <c r="HG9" s="35">
        <v>7.2</v>
      </c>
      <c r="HH9" s="35">
        <v>15</v>
      </c>
      <c r="HI9" s="35">
        <v>3.75</v>
      </c>
      <c r="HJ9" s="35">
        <v>21.599999999999998</v>
      </c>
      <c r="HK9" s="35">
        <v>10.799999999999999</v>
      </c>
      <c r="HL9" s="35">
        <v>5</v>
      </c>
      <c r="HM9" s="35">
        <v>0</v>
      </c>
      <c r="HN9" s="35">
        <v>0</v>
      </c>
      <c r="HO9" s="35">
        <v>1.831817626953125</v>
      </c>
      <c r="HP9" s="35">
        <v>3.9085542785616756</v>
      </c>
      <c r="HQ9" s="35">
        <v>5.5902637541294098</v>
      </c>
      <c r="HR9" s="35">
        <v>6.6844560764679102</v>
      </c>
      <c r="HS9" s="35">
        <v>4.1731095314025879</v>
      </c>
      <c r="HT9" s="35">
        <v>13.910365104675293</v>
      </c>
      <c r="HU9" s="35">
        <v>8.2393747155211656</v>
      </c>
      <c r="HV9" s="35">
        <v>10.523023046553135</v>
      </c>
      <c r="HW9" s="35">
        <v>47.488933104557965</v>
      </c>
      <c r="HX9" s="35">
        <v>3.5747610377787895</v>
      </c>
      <c r="HY9" s="35">
        <v>23.447265625</v>
      </c>
      <c r="HZ9" s="35">
        <v>58.6181640625</v>
      </c>
      <c r="IA9" s="35">
        <v>2.9420658852981334</v>
      </c>
      <c r="IB9" s="35">
        <v>18.340553474863764</v>
      </c>
      <c r="IC9" s="35">
        <v>47.488933104557965</v>
      </c>
      <c r="ID9" s="35">
        <v>3.3427401001365502</v>
      </c>
      <c r="IE9" s="35">
        <v>14.218460218992666</v>
      </c>
      <c r="IF9" s="35">
        <v>38.179198736184006</v>
      </c>
      <c r="IG9" s="35">
        <v>3.7782345243513888</v>
      </c>
      <c r="IH9" s="35">
        <v>10.917410842418233</v>
      </c>
      <c r="II9" s="35">
        <v>30.44278023366623</v>
      </c>
      <c r="IJ9" s="35">
        <v>4.25</v>
      </c>
      <c r="IK9" s="35">
        <v>8.296334973198956</v>
      </c>
      <c r="IL9" s="35">
        <v>24.059371422276975</v>
      </c>
      <c r="IM9" s="35">
        <v>3.7782345243513888</v>
      </c>
      <c r="IN9" s="35">
        <v>6.2342599931508875</v>
      </c>
      <c r="IO9" s="35">
        <v>18.832660395976639</v>
      </c>
      <c r="IP9" s="35">
        <v>3.3427401001365502</v>
      </c>
      <c r="IQ9" s="35">
        <v>4.6280822675183844</v>
      </c>
      <c r="IR9" s="35">
        <v>14.588520191090559</v>
      </c>
      <c r="IS9" s="35">
        <v>2.9420658852981334</v>
      </c>
      <c r="IT9" s="35">
        <v>3.3905096428567076</v>
      </c>
      <c r="IU9" s="35">
        <v>11.173270413959607</v>
      </c>
      <c r="IV9" s="35">
        <v>2.5747610377787895</v>
      </c>
      <c r="IW9" s="35">
        <v>2.4481683623978912</v>
      </c>
      <c r="IX9" s="35">
        <v>8.4520098225641469</v>
      </c>
      <c r="IY9" s="35">
        <v>2.2393747155211652</v>
      </c>
      <c r="IZ9" s="35">
        <v>1.7398675481714156</v>
      </c>
      <c r="JA9" s="35">
        <v>6.30701986212138</v>
      </c>
      <c r="JB9" s="35">
        <v>1.9344560764679104</v>
      </c>
      <c r="JC9" s="35">
        <v>1.2150143991512878</v>
      </c>
      <c r="JD9" s="35">
        <v>4.6362391546562289</v>
      </c>
      <c r="JE9" s="35">
        <v>1.6585542785616756</v>
      </c>
      <c r="JF9" s="35">
        <v>0.83217325470098846</v>
      </c>
      <c r="JG9" s="35">
        <v>3.3518089425456479</v>
      </c>
      <c r="JH9" s="35">
        <v>1.4102184797451067</v>
      </c>
      <c r="JI9" s="35">
        <v>0.55776167258782994</v>
      </c>
      <c r="JJ9" s="35">
        <v>2.3786894860363308</v>
      </c>
      <c r="JK9" s="35">
        <v>1.1879978379608558</v>
      </c>
      <c r="JL9" s="35">
        <v>0.36487667083827779</v>
      </c>
      <c r="JM9" s="35">
        <v>1.6533474147359464</v>
      </c>
      <c r="JN9" s="35">
        <v>0.99044151115157042</v>
      </c>
      <c r="JO9" s="35">
        <v>0.23224428270574216</v>
      </c>
      <c r="JP9" s="35">
        <v>1.1225140330777554</v>
      </c>
      <c r="JQ9" s="35">
        <v>0.81609865725989961</v>
      </c>
      <c r="JR9" s="35">
        <v>0.14328557402237305</v>
      </c>
      <c r="JS9" s="35">
        <v>0.74201457975871821</v>
      </c>
      <c r="JT9" s="35">
        <v>0.66351843422849333</v>
      </c>
      <c r="JU9" s="35">
        <v>8.5292272206392447E-2</v>
      </c>
      <c r="JV9" s="35">
        <v>0.47566844115103485</v>
      </c>
      <c r="JW9" s="35">
        <v>1.831817626953125</v>
      </c>
      <c r="JX9" s="35">
        <v>3.9085542785616756</v>
      </c>
      <c r="JY9" s="35">
        <v>5.5902637541294098</v>
      </c>
      <c r="JZ9" s="35">
        <v>6.6844560764679102</v>
      </c>
      <c r="KA9" s="35">
        <v>4.1731095314025879</v>
      </c>
      <c r="KB9" s="35">
        <v>13.910365104675293</v>
      </c>
      <c r="KC9" s="35">
        <v>8.2393747155211656</v>
      </c>
      <c r="KD9" s="35">
        <v>10.523023046553135</v>
      </c>
      <c r="KE9" s="35">
        <v>47.488933104557965</v>
      </c>
      <c r="KF9" s="35">
        <v>3.5747610377787895</v>
      </c>
      <c r="KG9" s="35">
        <v>23.447265625</v>
      </c>
      <c r="KH9" s="35">
        <v>58.6181640625</v>
      </c>
      <c r="KI9" s="35">
        <v>2.9420658852981334</v>
      </c>
      <c r="KJ9" s="35">
        <v>18.340553474863764</v>
      </c>
      <c r="KK9" s="35">
        <v>47.488933104557965</v>
      </c>
      <c r="KL9" s="35">
        <v>3.3427401001365502</v>
      </c>
      <c r="KM9" s="35">
        <v>14.218460218992666</v>
      </c>
      <c r="KN9" s="35">
        <v>38.179198736184006</v>
      </c>
      <c r="KO9" s="35">
        <v>3.7782345243513888</v>
      </c>
      <c r="KP9" s="35">
        <v>10.917410842418233</v>
      </c>
      <c r="KQ9" s="35">
        <v>30.44278023366623</v>
      </c>
      <c r="KR9" s="35">
        <v>4.25</v>
      </c>
      <c r="KS9" s="35">
        <v>8.296334973198956</v>
      </c>
      <c r="KT9" s="35">
        <v>24.059371422276975</v>
      </c>
      <c r="KU9" s="35">
        <v>3.7782345243513888</v>
      </c>
      <c r="KV9" s="35">
        <v>6.2342599931508875</v>
      </c>
      <c r="KW9" s="35">
        <v>18.832660395976639</v>
      </c>
      <c r="KX9" s="35">
        <v>3.3427401001365502</v>
      </c>
      <c r="KY9" s="35">
        <v>4.6280822675183844</v>
      </c>
      <c r="KZ9" s="35">
        <v>14.588520191090559</v>
      </c>
      <c r="LA9" s="35">
        <v>2.9420658852981334</v>
      </c>
      <c r="LB9" s="35">
        <v>3.3905096428567076</v>
      </c>
      <c r="LC9" s="35">
        <v>11.173270413959607</v>
      </c>
      <c r="LD9" s="35">
        <v>2.5747610377787895</v>
      </c>
      <c r="LE9" s="35">
        <v>2.4481683623978912</v>
      </c>
      <c r="LF9" s="35">
        <v>8.4520098225641469</v>
      </c>
      <c r="LG9" s="35">
        <v>2.2393747155211652</v>
      </c>
      <c r="LH9" s="35">
        <v>1.7398675481714156</v>
      </c>
      <c r="LI9" s="35">
        <v>6.30701986212138</v>
      </c>
      <c r="LJ9" s="35">
        <v>1.9344560764679104</v>
      </c>
      <c r="LK9" s="35">
        <v>1.2150143991512878</v>
      </c>
      <c r="LL9" s="35">
        <v>4.6362391546562289</v>
      </c>
      <c r="LM9" s="35">
        <v>1.6585542785616756</v>
      </c>
      <c r="LN9" s="35">
        <v>0.83217325470098846</v>
      </c>
      <c r="LO9" s="35">
        <v>3.3518089425456479</v>
      </c>
      <c r="LP9" s="35">
        <v>1.4102184797451067</v>
      </c>
      <c r="LQ9" s="35">
        <v>0.55776167258782994</v>
      </c>
      <c r="LR9" s="35">
        <v>2.3786894860363308</v>
      </c>
      <c r="LS9" s="35">
        <v>1.1879978379608558</v>
      </c>
      <c r="LT9" s="35">
        <v>0.36487667083827779</v>
      </c>
      <c r="LU9" s="35">
        <v>1.6533474147359464</v>
      </c>
      <c r="LV9" s="35">
        <v>0.99044151115157042</v>
      </c>
      <c r="LW9" s="35">
        <v>0.23224428270574216</v>
      </c>
      <c r="LX9" s="35">
        <v>1.1225140330777554</v>
      </c>
      <c r="LY9" s="35">
        <v>0.81609865725989961</v>
      </c>
      <c r="LZ9" s="35">
        <v>0.14328557402237305</v>
      </c>
      <c r="MA9" s="35">
        <v>0.74201457975871821</v>
      </c>
      <c r="MB9" s="35">
        <v>0.66351843422849333</v>
      </c>
      <c r="MC9" s="35">
        <v>8.5292272206392447E-2</v>
      </c>
      <c r="MD9" s="35">
        <v>0.47566844115103485</v>
      </c>
    </row>
    <row r="10" spans="1:343" s="4" customFormat="1" ht="14.25" x14ac:dyDescent="0.2">
      <c r="A10" s="4">
        <v>4</v>
      </c>
      <c r="B10" s="16" t="s">
        <v>672</v>
      </c>
      <c r="C10" s="16" t="s">
        <v>433</v>
      </c>
      <c r="D10" s="16" t="s">
        <v>135</v>
      </c>
      <c r="E10" s="16" t="s">
        <v>433</v>
      </c>
      <c r="F10" s="31" t="s">
        <v>139</v>
      </c>
      <c r="G10" s="31" t="s">
        <v>140</v>
      </c>
      <c r="H10" s="32">
        <v>-1</v>
      </c>
      <c r="I10" s="33">
        <v>26.08</v>
      </c>
      <c r="J10" s="34">
        <v>20.9984</v>
      </c>
      <c r="K10" s="32" t="s">
        <v>141</v>
      </c>
      <c r="L10" s="16">
        <v>0</v>
      </c>
      <c r="M10" s="16">
        <v>2</v>
      </c>
      <c r="N10" s="16" t="s">
        <v>433</v>
      </c>
      <c r="O10" s="16">
        <v>0</v>
      </c>
      <c r="P10" s="16">
        <v>0</v>
      </c>
      <c r="Q10" s="16">
        <v>2</v>
      </c>
      <c r="R10" s="16">
        <v>0</v>
      </c>
      <c r="S10" s="16">
        <v>0</v>
      </c>
      <c r="T10" s="16">
        <v>40</v>
      </c>
      <c r="U10" s="16">
        <v>0</v>
      </c>
      <c r="V10" s="16">
        <v>40</v>
      </c>
      <c r="W10" s="16">
        <v>0</v>
      </c>
      <c r="X10" s="16" t="s">
        <v>433</v>
      </c>
      <c r="Y10" s="35">
        <v>1060.7641399672002</v>
      </c>
      <c r="Z10" s="35">
        <v>1042.7535799672003</v>
      </c>
      <c r="AA10" s="35">
        <v>1060.7641399672002</v>
      </c>
      <c r="AB10" s="35">
        <v>1042.7535799672003</v>
      </c>
      <c r="AC10" s="35">
        <v>1622.3975649672</v>
      </c>
      <c r="AD10" s="35">
        <v>1298.2919181272</v>
      </c>
      <c r="AE10" s="35">
        <v>1280.2813534432</v>
      </c>
      <c r="AF10" s="35">
        <v>1262.2707887592001</v>
      </c>
      <c r="AG10" s="35">
        <v>1244.2602240752001</v>
      </c>
      <c r="AH10" s="35">
        <v>1224.2551386948001</v>
      </c>
      <c r="AI10" s="35">
        <v>1206.2445740108001</v>
      </c>
      <c r="AJ10" s="35">
        <v>1114.1972298944002</v>
      </c>
      <c r="AK10" s="35">
        <v>743.71286568000005</v>
      </c>
      <c r="AL10" s="35">
        <v>725.70230099600008</v>
      </c>
      <c r="AM10" s="35">
        <v>707.6917363120001</v>
      </c>
      <c r="AN10" s="35">
        <v>689.68117162800013</v>
      </c>
      <c r="AO10" s="35">
        <v>669.6760862476001</v>
      </c>
      <c r="AP10" s="35">
        <v>651.66552156360012</v>
      </c>
      <c r="AQ10" s="35">
        <v>633.65495687960015</v>
      </c>
      <c r="AR10" s="35">
        <v>615.64439219560018</v>
      </c>
      <c r="AS10" s="35">
        <v>597.6338275116002</v>
      </c>
      <c r="AT10" s="35">
        <v>613.64987149920012</v>
      </c>
      <c r="AU10" s="35">
        <v>595.63930681520014</v>
      </c>
      <c r="AV10" s="35">
        <v>553.57122744720004</v>
      </c>
      <c r="AW10" s="35">
        <v>571.58179213120002</v>
      </c>
      <c r="AX10" s="35">
        <v>739.68156555120004</v>
      </c>
      <c r="AY10" s="35">
        <v>721.67100086720006</v>
      </c>
      <c r="AZ10" s="35">
        <v>703.66043618320009</v>
      </c>
      <c r="BA10" s="35">
        <v>685.64987149920012</v>
      </c>
      <c r="BB10" s="35">
        <v>665.64478611880008</v>
      </c>
      <c r="BC10" s="35">
        <v>647.63422143480011</v>
      </c>
      <c r="BD10" s="35">
        <v>629.62365675080014</v>
      </c>
      <c r="BE10" s="35">
        <v>611.61309206680016</v>
      </c>
      <c r="BF10" s="35">
        <v>593.60252738280019</v>
      </c>
      <c r="BG10" s="35">
        <v>609.6185713704001</v>
      </c>
      <c r="BH10" s="35">
        <v>591.60800668640013</v>
      </c>
      <c r="BI10" s="35">
        <v>557.60252757600006</v>
      </c>
      <c r="BJ10" s="35">
        <v>575.61309226000003</v>
      </c>
      <c r="BK10" s="35">
        <v>163.06064842000001</v>
      </c>
      <c r="BL10" s="35">
        <v>0</v>
      </c>
      <c r="BM10" s="35">
        <v>0</v>
      </c>
      <c r="BN10" s="35">
        <v>55.0547752254</v>
      </c>
      <c r="BO10" s="35">
        <v>57.070425289800006</v>
      </c>
      <c r="BP10" s="35">
        <v>69.070425289799999</v>
      </c>
      <c r="BQ10" s="35">
        <v>71.086075354200005</v>
      </c>
      <c r="BR10" s="35">
        <v>81.070425289799999</v>
      </c>
      <c r="BS10" s="35">
        <v>83.086075354200005</v>
      </c>
      <c r="BT10" s="35">
        <v>85.101725418599997</v>
      </c>
      <c r="BU10" s="35">
        <v>95.086075354200005</v>
      </c>
      <c r="BV10" s="35">
        <v>97.101725418599997</v>
      </c>
      <c r="BW10" s="35">
        <v>99.117375483000004</v>
      </c>
      <c r="BX10" s="35">
        <v>109.1017254186</v>
      </c>
      <c r="BY10" s="35">
        <v>111.117375483</v>
      </c>
      <c r="BZ10" s="35">
        <v>113.13302554740001</v>
      </c>
      <c r="CA10" s="35">
        <v>123.117375483</v>
      </c>
      <c r="CB10" s="35">
        <v>125.13302554740001</v>
      </c>
      <c r="CC10" s="35">
        <v>127.1486756118</v>
      </c>
      <c r="CD10" s="35">
        <v>137.1330255474</v>
      </c>
      <c r="CE10" s="35">
        <v>139.1486756118</v>
      </c>
      <c r="CF10" s="35">
        <v>141.16432567620001</v>
      </c>
      <c r="CG10" s="35">
        <v>149.1330255474</v>
      </c>
      <c r="CH10" s="35">
        <v>151.1486756118</v>
      </c>
      <c r="CI10" s="35">
        <v>153.16432567620001</v>
      </c>
      <c r="CJ10" s="35">
        <v>155.17997574060001</v>
      </c>
      <c r="CK10" s="35">
        <v>163.1486756118</v>
      </c>
      <c r="CL10" s="35">
        <v>165.16432567620001</v>
      </c>
      <c r="CM10" s="35">
        <v>167.17997574060001</v>
      </c>
      <c r="CN10" s="35">
        <v>169.19562580499999</v>
      </c>
      <c r="CO10" s="35">
        <v>177.16432567620001</v>
      </c>
      <c r="CP10" s="35">
        <v>179.17997574060001</v>
      </c>
      <c r="CQ10" s="35">
        <v>181.19562580499999</v>
      </c>
      <c r="CR10" s="35">
        <v>183.2112758694</v>
      </c>
      <c r="CS10" s="35">
        <v>191.17997574060001</v>
      </c>
      <c r="CT10" s="35">
        <v>193.19562580499999</v>
      </c>
      <c r="CU10" s="35">
        <v>195.2112758694</v>
      </c>
      <c r="CV10" s="35">
        <v>197.2269259338</v>
      </c>
      <c r="CW10" s="35">
        <v>205.19562580499999</v>
      </c>
      <c r="CX10" s="35">
        <v>207.2112758694</v>
      </c>
      <c r="CY10" s="35">
        <v>209.2269259338</v>
      </c>
      <c r="CZ10" s="35">
        <v>211.24257599820001</v>
      </c>
      <c r="DA10" s="35">
        <v>219.2112758694</v>
      </c>
      <c r="DB10" s="35">
        <v>221.2269259338</v>
      </c>
      <c r="DC10" s="35">
        <v>223.24257599820001</v>
      </c>
      <c r="DD10" s="35">
        <v>225.25822606260002</v>
      </c>
      <c r="DE10" s="35">
        <v>233.2269259338</v>
      </c>
      <c r="DF10" s="35">
        <v>235.24257599820001</v>
      </c>
      <c r="DG10" s="35">
        <v>237.25822606260002</v>
      </c>
      <c r="DH10" s="35">
        <v>239.27387612699999</v>
      </c>
      <c r="DI10" s="35">
        <v>247.24257599820001</v>
      </c>
      <c r="DJ10" s="35">
        <v>249.25822606260002</v>
      </c>
      <c r="DK10" s="35">
        <v>251.27387612699999</v>
      </c>
      <c r="DL10" s="35">
        <v>253.2895261914</v>
      </c>
      <c r="DM10" s="35">
        <v>261.25822606259999</v>
      </c>
      <c r="DN10" s="35">
        <v>263.27387612699999</v>
      </c>
      <c r="DO10" s="35">
        <v>265.2895261914</v>
      </c>
      <c r="DP10" s="35">
        <v>267.30517625580001</v>
      </c>
      <c r="DQ10" s="35">
        <v>275.27387612699999</v>
      </c>
      <c r="DR10" s="35">
        <v>277.2895261914</v>
      </c>
      <c r="DS10" s="35">
        <v>279.30517625580001</v>
      </c>
      <c r="DT10" s="35">
        <v>281.32082632020001</v>
      </c>
      <c r="DU10" s="35">
        <v>289.2895261914</v>
      </c>
      <c r="DV10" s="35">
        <v>55.0547752254</v>
      </c>
      <c r="DW10" s="35">
        <v>57.070425289800006</v>
      </c>
      <c r="DX10" s="35">
        <v>69.070425289799999</v>
      </c>
      <c r="DY10" s="35">
        <v>71.086075354200005</v>
      </c>
      <c r="DZ10" s="35">
        <v>83.086075354200005</v>
      </c>
      <c r="EA10" s="35">
        <v>85.101725418599997</v>
      </c>
      <c r="EB10" s="35">
        <v>97.101725418599997</v>
      </c>
      <c r="EC10" s="35">
        <v>99.117375483000004</v>
      </c>
      <c r="ED10" s="35">
        <v>111.117375483</v>
      </c>
      <c r="EE10" s="35">
        <v>113.13302554740001</v>
      </c>
      <c r="EF10" s="35">
        <v>125.13302554740001</v>
      </c>
      <c r="EG10" s="35">
        <v>127.1486756118</v>
      </c>
      <c r="EH10" s="35">
        <v>139.1486756118</v>
      </c>
      <c r="EI10" s="35">
        <v>141.16432567620001</v>
      </c>
      <c r="EJ10" s="35">
        <v>153.16432567620001</v>
      </c>
      <c r="EK10" s="35">
        <v>155.17997574060001</v>
      </c>
      <c r="EL10" s="35">
        <v>167.17997574060001</v>
      </c>
      <c r="EM10" s="35">
        <v>169.19562580499999</v>
      </c>
      <c r="EN10" s="35">
        <v>181.19562580499999</v>
      </c>
      <c r="EO10" s="35">
        <v>183.2112758694</v>
      </c>
      <c r="EP10" s="35">
        <v>195.2112758694</v>
      </c>
      <c r="EQ10" s="35">
        <v>197.2269259338</v>
      </c>
      <c r="ER10" s="35">
        <v>209.2269259338</v>
      </c>
      <c r="ES10" s="35">
        <v>211.24257599820001</v>
      </c>
      <c r="ET10" s="35">
        <v>223.24257599820001</v>
      </c>
      <c r="EU10" s="35">
        <v>225.25822606260002</v>
      </c>
      <c r="EV10" s="35">
        <v>237.25822606260002</v>
      </c>
      <c r="EW10" s="35">
        <v>239.27387612699999</v>
      </c>
      <c r="EX10" s="35">
        <v>251.27387612699999</v>
      </c>
      <c r="EY10" s="35">
        <v>253.2895261914</v>
      </c>
      <c r="EZ10" s="35">
        <v>265.2895261914</v>
      </c>
      <c r="FA10" s="35">
        <v>267.30517625580001</v>
      </c>
      <c r="FB10" s="35">
        <v>279.30517625580001</v>
      </c>
      <c r="FC10" s="35">
        <v>281.32082632020001</v>
      </c>
      <c r="FD10" s="35">
        <v>293.32082632020001</v>
      </c>
      <c r="FE10" s="35">
        <v>295.33647638460002</v>
      </c>
      <c r="FF10" s="35">
        <v>307.33647638460002</v>
      </c>
      <c r="FG10" s="35">
        <v>309.35212644900002</v>
      </c>
      <c r="FH10" s="35">
        <v>321.35212644900002</v>
      </c>
      <c r="FI10" s="35">
        <v>323.36777651340003</v>
      </c>
      <c r="FJ10" s="35">
        <v>335.36777651340003</v>
      </c>
      <c r="FK10" s="35">
        <v>337.38342657779998</v>
      </c>
      <c r="FL10" s="35">
        <v>349.38342657779998</v>
      </c>
      <c r="FM10" s="35">
        <v>351.39907664219999</v>
      </c>
      <c r="FN10" s="35">
        <v>363.39907664219999</v>
      </c>
      <c r="FO10" s="35">
        <v>365.41472670659999</v>
      </c>
      <c r="FP10" s="35">
        <v>377.41472670659999</v>
      </c>
      <c r="FQ10" s="35">
        <v>379.430376771</v>
      </c>
      <c r="FR10" s="35">
        <v>391.430376771</v>
      </c>
      <c r="FS10" s="35">
        <v>393.4460268354</v>
      </c>
      <c r="FT10" s="35">
        <v>405.4460268354</v>
      </c>
      <c r="FU10" s="35">
        <v>407.46167689980001</v>
      </c>
      <c r="FV10" s="35">
        <v>419.46167689980001</v>
      </c>
      <c r="FW10" s="35">
        <v>421.47732696420002</v>
      </c>
      <c r="FX10" s="35">
        <v>433.47732696420002</v>
      </c>
      <c r="FY10" s="35">
        <v>435.49297702860002</v>
      </c>
      <c r="FZ10" s="35">
        <v>447.49297702860002</v>
      </c>
      <c r="GA10" s="35">
        <v>449.50862709300003</v>
      </c>
      <c r="GB10" s="35">
        <v>461.50862709300003</v>
      </c>
      <c r="GC10" s="35">
        <v>463.52427715739998</v>
      </c>
      <c r="GD10" s="35">
        <v>0</v>
      </c>
      <c r="GE10" s="35">
        <v>225.625</v>
      </c>
      <c r="GF10" s="35">
        <v>28.203125</v>
      </c>
      <c r="GG10" s="35">
        <v>3.525390625</v>
      </c>
      <c r="GH10" s="35">
        <v>1.7626953125</v>
      </c>
      <c r="GI10" s="36">
        <v>7.6800000000000015</v>
      </c>
      <c r="GJ10" s="36">
        <v>2</v>
      </c>
      <c r="GK10" s="35">
        <v>0</v>
      </c>
      <c r="GL10" s="35">
        <v>80</v>
      </c>
      <c r="GM10" s="35">
        <v>44.444444444444443</v>
      </c>
      <c r="GN10" s="35">
        <v>31.111111111111107</v>
      </c>
      <c r="GO10" s="35">
        <v>10.370370370370368</v>
      </c>
      <c r="GP10" s="35">
        <v>40</v>
      </c>
      <c r="GQ10" s="35">
        <v>40</v>
      </c>
      <c r="GR10" s="35">
        <v>20</v>
      </c>
      <c r="GS10" s="35">
        <v>40</v>
      </c>
      <c r="GT10" s="35">
        <v>8</v>
      </c>
      <c r="GU10" s="35">
        <v>15</v>
      </c>
      <c r="GV10" s="35">
        <v>3.75</v>
      </c>
      <c r="GW10" s="35">
        <v>8.64</v>
      </c>
      <c r="GX10" s="35">
        <v>4.32</v>
      </c>
      <c r="GY10" s="35">
        <v>25.600000000000005</v>
      </c>
      <c r="GZ10" s="35">
        <v>14.222222222222225</v>
      </c>
      <c r="HA10" s="35">
        <v>9.9555555555555575</v>
      </c>
      <c r="HB10" s="35">
        <v>3.3185185185185193</v>
      </c>
      <c r="HC10" s="35">
        <v>32.400000000000006</v>
      </c>
      <c r="HD10" s="35">
        <v>32.400000000000006</v>
      </c>
      <c r="HE10" s="35">
        <v>16.200000000000003</v>
      </c>
      <c r="HF10" s="35">
        <v>32.400000000000006</v>
      </c>
      <c r="HG10" s="35">
        <v>6.4800000000000013</v>
      </c>
      <c r="HH10" s="35">
        <v>15</v>
      </c>
      <c r="HI10" s="35">
        <v>3.75</v>
      </c>
      <c r="HJ10" s="35">
        <v>18</v>
      </c>
      <c r="HK10" s="35">
        <v>9</v>
      </c>
      <c r="HL10" s="35">
        <v>5</v>
      </c>
      <c r="HM10" s="35">
        <v>0</v>
      </c>
      <c r="HN10" s="35">
        <v>0</v>
      </c>
      <c r="HO10" s="35">
        <v>0.98876953125</v>
      </c>
      <c r="HP10" s="35">
        <v>2.1075056052866707</v>
      </c>
      <c r="HQ10" s="35">
        <v>3.0174851417541504</v>
      </c>
      <c r="HR10" s="35">
        <v>2.9708693673190716</v>
      </c>
      <c r="HS10" s="35">
        <v>2.2525405883789063</v>
      </c>
      <c r="HT10" s="35">
        <v>7.5084686279296875</v>
      </c>
      <c r="HU10" s="35">
        <v>3.4767591328242213</v>
      </c>
      <c r="HV10" s="35">
        <v>5.6800657510757446</v>
      </c>
      <c r="HW10" s="35">
        <v>25.633343316745989</v>
      </c>
      <c r="HX10" s="35">
        <v>2.1443382390127956</v>
      </c>
      <c r="HY10" s="35">
        <v>12.65625</v>
      </c>
      <c r="HZ10" s="35">
        <v>31.640625</v>
      </c>
      <c r="IA10" s="35">
        <v>1.3075848379102815</v>
      </c>
      <c r="IB10" s="35">
        <v>9.8997739706053487</v>
      </c>
      <c r="IC10" s="35">
        <v>25.633343316745989</v>
      </c>
      <c r="ID10" s="35">
        <v>1.4856622667273556</v>
      </c>
      <c r="IE10" s="35">
        <v>7.6747706971322343</v>
      </c>
      <c r="IF10" s="35">
        <v>20.608180575632847</v>
      </c>
      <c r="IG10" s="35">
        <v>1.6792153441561728</v>
      </c>
      <c r="IH10" s="35">
        <v>5.4268824039940089</v>
      </c>
      <c r="II10" s="35">
        <v>5.8929464605472841</v>
      </c>
      <c r="IJ10" s="35">
        <v>16.432254553449162</v>
      </c>
      <c r="IK10" s="35">
        <v>1.8888888888888888</v>
      </c>
      <c r="IL10" s="35">
        <v>4.1669424034222482</v>
      </c>
      <c r="IM10" s="35">
        <v>4.4781549876159294</v>
      </c>
      <c r="IN10" s="35">
        <v>12.986649464086197</v>
      </c>
      <c r="IO10" s="35">
        <v>1.6792153441561728</v>
      </c>
      <c r="IP10" s="35">
        <v>3.1665337589475833</v>
      </c>
      <c r="IQ10" s="35">
        <v>3.3650982720214704</v>
      </c>
      <c r="IR10" s="35">
        <v>10.165401030064857</v>
      </c>
      <c r="IS10" s="35">
        <v>1.4856622667273556</v>
      </c>
      <c r="IT10" s="35">
        <v>2.3794838075055149</v>
      </c>
      <c r="IU10" s="35">
        <v>2.4981235396517394</v>
      </c>
      <c r="IV10" s="35">
        <v>7.8745198532500478</v>
      </c>
      <c r="IW10" s="35">
        <v>1.3075848379102815</v>
      </c>
      <c r="IX10" s="35">
        <v>1.7664400951294859</v>
      </c>
      <c r="IY10" s="35">
        <v>1.8301126602008719</v>
      </c>
      <c r="IZ10" s="35">
        <v>6.031053084752874</v>
      </c>
      <c r="JA10" s="35">
        <v>1.1443382390127954</v>
      </c>
      <c r="JB10" s="35">
        <v>1.2940850723633883</v>
      </c>
      <c r="JC10" s="35">
        <v>1.321460307233514</v>
      </c>
      <c r="JD10" s="35">
        <v>4.5621843940204645</v>
      </c>
      <c r="JE10" s="35">
        <v>0.99527765134274004</v>
      </c>
      <c r="JF10" s="35">
        <v>0.93441354431367618</v>
      </c>
      <c r="JG10" s="35">
        <v>0.93913716885887322</v>
      </c>
      <c r="JH10" s="35">
        <v>3.4043722371134146</v>
      </c>
      <c r="JI10" s="35">
        <v>0.8597582562079602</v>
      </c>
      <c r="JJ10" s="35">
        <v>0.66407026056444496</v>
      </c>
      <c r="JK10" s="35">
        <v>0.6558345111620445</v>
      </c>
      <c r="JL10" s="35">
        <v>2.5025264241709593</v>
      </c>
      <c r="JM10" s="35">
        <v>0.73713523491630029</v>
      </c>
      <c r="JN10" s="35">
        <v>0.46374503017884611</v>
      </c>
      <c r="JO10" s="35">
        <v>0.4491863965399755</v>
      </c>
      <c r="JP10" s="35">
        <v>1.8092229860637898</v>
      </c>
      <c r="JQ10" s="35">
        <v>0.62676376877560303</v>
      </c>
      <c r="JR10" s="35">
        <v>0.31762274701016618</v>
      </c>
      <c r="JS10" s="35">
        <v>0.3010658590894742</v>
      </c>
      <c r="JT10" s="35">
        <v>1.283957340234521</v>
      </c>
      <c r="JU10" s="35">
        <v>0.52799903909371371</v>
      </c>
      <c r="JV10" s="35">
        <v>0.21288571054592076</v>
      </c>
      <c r="JW10" s="35">
        <v>3.125</v>
      </c>
      <c r="JX10" s="35">
        <v>17.634217114246702</v>
      </c>
      <c r="JY10" s="35">
        <v>9.5367431640625</v>
      </c>
      <c r="JZ10" s="35">
        <v>38.737824305871641</v>
      </c>
      <c r="KA10" s="35">
        <v>23.73046875</v>
      </c>
      <c r="KB10" s="35">
        <v>49.957498862084663</v>
      </c>
      <c r="KC10" s="35">
        <v>51.2908935546875</v>
      </c>
      <c r="KD10" s="35">
        <v>11.299044151115158</v>
      </c>
      <c r="KE10" s="35">
        <v>100</v>
      </c>
      <c r="KF10" s="35">
        <v>12.768263541192534</v>
      </c>
      <c r="KG10" s="35">
        <v>81.014023322061405</v>
      </c>
      <c r="KH10" s="35">
        <v>13.370960400546201</v>
      </c>
      <c r="KI10" s="35">
        <v>65.132027498296409</v>
      </c>
      <c r="KJ10" s="35">
        <v>15.112938097405555</v>
      </c>
      <c r="KK10" s="35">
        <v>51.93403908250599</v>
      </c>
      <c r="KL10" s="35">
        <v>17</v>
      </c>
      <c r="KM10" s="35">
        <v>41.044225466741565</v>
      </c>
      <c r="KN10" s="35">
        <v>15.112938097405555</v>
      </c>
      <c r="KO10" s="35">
        <v>32.127687206130908</v>
      </c>
      <c r="KP10" s="35">
        <v>13.370960400546201</v>
      </c>
      <c r="KQ10" s="35">
        <v>24.887371388049534</v>
      </c>
      <c r="KR10" s="35">
        <v>11.768263541192534</v>
      </c>
      <c r="KS10" s="35">
        <v>19.061106045638713</v>
      </c>
      <c r="KT10" s="35">
        <v>10.299044151115158</v>
      </c>
      <c r="KU10" s="35">
        <v>14.418755615669616</v>
      </c>
      <c r="KV10" s="35">
        <v>8.9574988620846607</v>
      </c>
      <c r="KW10" s="35">
        <v>10.759497440753508</v>
      </c>
      <c r="KX10" s="35">
        <v>7.7378243058716416</v>
      </c>
      <c r="KY10" s="35">
        <v>7.9092193158983397</v>
      </c>
      <c r="KZ10" s="35">
        <v>6.6342171142467024</v>
      </c>
      <c r="LA10" s="35">
        <v>5.7180380794114836</v>
      </c>
      <c r="LB10" s="35">
        <v>5.6408739189804269</v>
      </c>
      <c r="LC10" s="35">
        <v>4.0579392481486094</v>
      </c>
      <c r="LD10" s="35">
        <v>4.7519913518434231</v>
      </c>
      <c r="LE10" s="35">
        <v>2.8205376971088865</v>
      </c>
      <c r="LF10" s="35">
        <v>3.9617660446062817</v>
      </c>
      <c r="LG10" s="35">
        <v>1.9149593833762957</v>
      </c>
      <c r="LH10" s="35">
        <v>3.2643946290395984</v>
      </c>
      <c r="LI10" s="35">
        <v>1.2658441144072095</v>
      </c>
      <c r="LJ10" s="35">
        <v>2.6540737369139733</v>
      </c>
      <c r="LK10" s="35">
        <v>0.81146936066415609</v>
      </c>
      <c r="LL10" s="35">
        <v>2.125</v>
      </c>
      <c r="LM10" s="35">
        <v>0.50199511259579543</v>
      </c>
      <c r="LN10" s="35">
        <v>1.6713700500682751</v>
      </c>
      <c r="LO10" s="35">
        <v>0.29782978196310489</v>
      </c>
      <c r="LP10" s="35">
        <v>1.2873805188893952</v>
      </c>
      <c r="LQ10" s="35">
        <v>0.16811714751177356</v>
      </c>
      <c r="LR10" s="35">
        <v>0.9672280382339552</v>
      </c>
      <c r="LS10" s="35">
        <v>8.9344344990804431E-2</v>
      </c>
      <c r="LT10" s="35">
        <v>0.70510923987255336</v>
      </c>
      <c r="LU10" s="35">
        <v>4.4070901517326351E-2</v>
      </c>
      <c r="LV10" s="35">
        <v>0.49522075557578521</v>
      </c>
      <c r="LW10" s="35">
        <v>1.9778814287612648E-2</v>
      </c>
      <c r="LX10" s="35">
        <v>0.33175921711424688</v>
      </c>
      <c r="LY10" s="35">
        <v>7.8436736343093037E-3</v>
      </c>
      <c r="LZ10" s="35">
        <v>0.20892125625853425</v>
      </c>
      <c r="MA10" s="35">
        <v>2.6268304298714619E-3</v>
      </c>
      <c r="MB10" s="35">
        <v>0.1209035047792444</v>
      </c>
      <c r="MC10" s="35">
        <v>6.8860783620822423E-4</v>
      </c>
      <c r="MD10" s="35">
        <v>6.1902594446973151E-2</v>
      </c>
    </row>
    <row r="11" spans="1:343" s="4" customFormat="1" ht="14.25" x14ac:dyDescent="0.2">
      <c r="A11" s="4">
        <v>5</v>
      </c>
      <c r="B11" s="16" t="s">
        <v>673</v>
      </c>
      <c r="C11" s="16" t="s">
        <v>434</v>
      </c>
      <c r="D11" s="16" t="s">
        <v>142</v>
      </c>
      <c r="E11" s="16" t="s">
        <v>434</v>
      </c>
      <c r="F11" s="31" t="s">
        <v>143</v>
      </c>
      <c r="G11" s="31" t="s">
        <v>144</v>
      </c>
      <c r="H11" s="32">
        <v>-1</v>
      </c>
      <c r="I11" s="33">
        <v>26.59</v>
      </c>
      <c r="J11" s="34">
        <v>20.6083</v>
      </c>
      <c r="K11" s="32" t="s">
        <v>145</v>
      </c>
      <c r="L11" s="16">
        <v>0</v>
      </c>
      <c r="M11" s="16">
        <v>2</v>
      </c>
      <c r="N11" s="16" t="s">
        <v>434</v>
      </c>
      <c r="O11" s="16">
        <v>0</v>
      </c>
      <c r="P11" s="16">
        <v>0</v>
      </c>
      <c r="Q11" s="16">
        <v>1</v>
      </c>
      <c r="R11" s="16">
        <v>2</v>
      </c>
      <c r="S11" s="16">
        <v>0</v>
      </c>
      <c r="T11" s="16">
        <v>40</v>
      </c>
      <c r="U11" s="16">
        <v>0</v>
      </c>
      <c r="V11" s="16">
        <v>40</v>
      </c>
      <c r="W11" s="16">
        <v>0</v>
      </c>
      <c r="X11" s="16" t="s">
        <v>434</v>
      </c>
      <c r="Y11" s="35">
        <v>1058.7484899028</v>
      </c>
      <c r="Z11" s="35">
        <v>1040.7379299028</v>
      </c>
      <c r="AA11" s="35">
        <v>1058.7484899028</v>
      </c>
      <c r="AB11" s="35">
        <v>1040.7379299028</v>
      </c>
      <c r="AC11" s="35">
        <v>1620.3819149028</v>
      </c>
      <c r="AD11" s="35">
        <v>1296.2762680628</v>
      </c>
      <c r="AE11" s="35">
        <v>1278.2657033788</v>
      </c>
      <c r="AF11" s="35">
        <v>1260.2551386948001</v>
      </c>
      <c r="AG11" s="35">
        <v>1242.2445740108001</v>
      </c>
      <c r="AH11" s="35">
        <v>1222.2394886304</v>
      </c>
      <c r="AI11" s="35">
        <v>1204.2289239464001</v>
      </c>
      <c r="AJ11" s="35">
        <v>1112.1815798300001</v>
      </c>
      <c r="AK11" s="35">
        <v>739.68156555120004</v>
      </c>
      <c r="AL11" s="35">
        <v>721.67100086720006</v>
      </c>
      <c r="AM11" s="35">
        <v>703.66043618320009</v>
      </c>
      <c r="AN11" s="35">
        <v>685.64987149920012</v>
      </c>
      <c r="AO11" s="35">
        <v>665.64478611880008</v>
      </c>
      <c r="AP11" s="35">
        <v>647.63422143480011</v>
      </c>
      <c r="AQ11" s="35">
        <v>629.62365675080014</v>
      </c>
      <c r="AR11" s="35">
        <v>611.61309206680016</v>
      </c>
      <c r="AS11" s="35">
        <v>593.60252738280019</v>
      </c>
      <c r="AT11" s="35">
        <v>609.6185713704001</v>
      </c>
      <c r="AU11" s="35">
        <v>591.60800668640013</v>
      </c>
      <c r="AV11" s="35">
        <v>555.58687751160005</v>
      </c>
      <c r="AW11" s="35">
        <v>573.59744219560002</v>
      </c>
      <c r="AX11" s="35">
        <v>741.69721561560004</v>
      </c>
      <c r="AY11" s="35">
        <v>723.68665093160007</v>
      </c>
      <c r="AZ11" s="35">
        <v>705.6760862476001</v>
      </c>
      <c r="BA11" s="35">
        <v>687.66552156360012</v>
      </c>
      <c r="BB11" s="35">
        <v>667.66043618320009</v>
      </c>
      <c r="BC11" s="35">
        <v>649.64987149920012</v>
      </c>
      <c r="BD11" s="35">
        <v>631.63930681520014</v>
      </c>
      <c r="BE11" s="35">
        <v>613.62874213120017</v>
      </c>
      <c r="BF11" s="35">
        <v>595.6181774472002</v>
      </c>
      <c r="BG11" s="35">
        <v>611.63422143480011</v>
      </c>
      <c r="BH11" s="35">
        <v>593.62365675080014</v>
      </c>
      <c r="BI11" s="35">
        <v>553.57122744720004</v>
      </c>
      <c r="BJ11" s="35">
        <v>571.58179213120002</v>
      </c>
      <c r="BK11" s="35">
        <v>163.06064842000001</v>
      </c>
      <c r="BL11" s="35">
        <v>0</v>
      </c>
      <c r="BM11" s="35">
        <v>0</v>
      </c>
      <c r="BN11" s="35">
        <v>55.0547752254</v>
      </c>
      <c r="BO11" s="35">
        <v>57.070425289800006</v>
      </c>
      <c r="BP11" s="35">
        <v>69.070425289799999</v>
      </c>
      <c r="BQ11" s="35">
        <v>71.086075354200005</v>
      </c>
      <c r="BR11" s="35">
        <v>81.070425289799999</v>
      </c>
      <c r="BS11" s="35">
        <v>83.086075354200005</v>
      </c>
      <c r="BT11" s="35">
        <v>85.101725418599997</v>
      </c>
      <c r="BU11" s="35">
        <v>95.086075354200005</v>
      </c>
      <c r="BV11" s="35">
        <v>97.101725418599997</v>
      </c>
      <c r="BW11" s="35">
        <v>99.117375483000004</v>
      </c>
      <c r="BX11" s="35">
        <v>109.1017254186</v>
      </c>
      <c r="BY11" s="35">
        <v>111.117375483</v>
      </c>
      <c r="BZ11" s="35">
        <v>113.13302554740001</v>
      </c>
      <c r="CA11" s="35">
        <v>123.117375483</v>
      </c>
      <c r="CB11" s="35">
        <v>125.13302554740001</v>
      </c>
      <c r="CC11" s="35">
        <v>127.1486756118</v>
      </c>
      <c r="CD11" s="35">
        <v>137.1330255474</v>
      </c>
      <c r="CE11" s="35">
        <v>139.1486756118</v>
      </c>
      <c r="CF11" s="35">
        <v>141.16432567620001</v>
      </c>
      <c r="CG11" s="35">
        <v>151.1486756118</v>
      </c>
      <c r="CH11" s="35">
        <v>153.16432567620001</v>
      </c>
      <c r="CI11" s="35">
        <v>155.17997574060001</v>
      </c>
      <c r="CJ11" s="35">
        <v>165.16432567620001</v>
      </c>
      <c r="CK11" s="35">
        <v>167.17997574060001</v>
      </c>
      <c r="CL11" s="35">
        <v>169.19562580499999</v>
      </c>
      <c r="CM11" s="35">
        <v>179.17997574060001</v>
      </c>
      <c r="CN11" s="35">
        <v>181.19562580499999</v>
      </c>
      <c r="CO11" s="35">
        <v>183.2112758694</v>
      </c>
      <c r="CP11" s="35">
        <v>193.19562580499999</v>
      </c>
      <c r="CQ11" s="35">
        <v>195.2112758694</v>
      </c>
      <c r="CR11" s="35">
        <v>197.2269259338</v>
      </c>
      <c r="CS11" s="35">
        <v>207.2112758694</v>
      </c>
      <c r="CT11" s="35">
        <v>209.2269259338</v>
      </c>
      <c r="CU11" s="35">
        <v>211.24257599820001</v>
      </c>
      <c r="CV11" s="35">
        <v>221.2269259338</v>
      </c>
      <c r="CW11" s="35">
        <v>223.24257599820001</v>
      </c>
      <c r="CX11" s="35">
        <v>225.25822606260002</v>
      </c>
      <c r="CY11" s="35">
        <v>235.24257599820001</v>
      </c>
      <c r="CZ11" s="35">
        <v>237.25822606260002</v>
      </c>
      <c r="DA11" s="35">
        <v>239.27387612699999</v>
      </c>
      <c r="DB11" s="35">
        <v>249.25822606260002</v>
      </c>
      <c r="DC11" s="35">
        <v>251.27387612699999</v>
      </c>
      <c r="DD11" s="35">
        <v>253.2895261914</v>
      </c>
      <c r="DE11" s="35">
        <v>263.27387612699999</v>
      </c>
      <c r="DF11" s="35">
        <v>265.2895261914</v>
      </c>
      <c r="DG11" s="35">
        <v>267.30517625580001</v>
      </c>
      <c r="DH11" s="35">
        <v>277.2895261914</v>
      </c>
      <c r="DI11" s="35">
        <v>279.30517625580001</v>
      </c>
      <c r="DJ11" s="35">
        <v>281.32082632020001</v>
      </c>
      <c r="DK11" s="35">
        <v>291.30517625580001</v>
      </c>
      <c r="DL11" s="35">
        <v>293.32082632020001</v>
      </c>
      <c r="DM11" s="35">
        <v>295.33647638460002</v>
      </c>
      <c r="DN11" s="35">
        <v>305.32082632020001</v>
      </c>
      <c r="DO11" s="35">
        <v>307.33647638460002</v>
      </c>
      <c r="DP11" s="35">
        <v>309.35212644900002</v>
      </c>
      <c r="DQ11" s="35">
        <v>319.33647638460002</v>
      </c>
      <c r="DR11" s="35">
        <v>321.35212644900002</v>
      </c>
      <c r="DS11" s="35">
        <v>323.36777651340003</v>
      </c>
      <c r="DT11" s="35">
        <v>333.35212644900002</v>
      </c>
      <c r="DU11" s="35">
        <v>335.36777651340003</v>
      </c>
      <c r="DV11" s="35">
        <v>55.0547752254</v>
      </c>
      <c r="DW11" s="35">
        <v>57.070425289800006</v>
      </c>
      <c r="DX11" s="35">
        <v>69.070425289799999</v>
      </c>
      <c r="DY11" s="35">
        <v>71.086075354200005</v>
      </c>
      <c r="DZ11" s="35">
        <v>81.070425289799999</v>
      </c>
      <c r="EA11" s="35">
        <v>83.086075354200005</v>
      </c>
      <c r="EB11" s="35">
        <v>85.101725418599997</v>
      </c>
      <c r="EC11" s="35">
        <v>95.086075354200005</v>
      </c>
      <c r="ED11" s="35">
        <v>97.101725418599997</v>
      </c>
      <c r="EE11" s="35">
        <v>99.117375483000004</v>
      </c>
      <c r="EF11" s="35">
        <v>109.1017254186</v>
      </c>
      <c r="EG11" s="35">
        <v>111.117375483</v>
      </c>
      <c r="EH11" s="35">
        <v>113.13302554740001</v>
      </c>
      <c r="EI11" s="35">
        <v>123.117375483</v>
      </c>
      <c r="EJ11" s="35">
        <v>125.13302554740001</v>
      </c>
      <c r="EK11" s="35">
        <v>127.1486756118</v>
      </c>
      <c r="EL11" s="35">
        <v>137.1330255474</v>
      </c>
      <c r="EM11" s="35">
        <v>139.1486756118</v>
      </c>
      <c r="EN11" s="35">
        <v>141.16432567620001</v>
      </c>
      <c r="EO11" s="35">
        <v>149.1330255474</v>
      </c>
      <c r="EP11" s="35">
        <v>151.1486756118</v>
      </c>
      <c r="EQ11" s="35">
        <v>153.16432567620001</v>
      </c>
      <c r="ER11" s="35">
        <v>155.17997574060001</v>
      </c>
      <c r="ES11" s="35">
        <v>163.1486756118</v>
      </c>
      <c r="ET11" s="35">
        <v>165.16432567620001</v>
      </c>
      <c r="EU11" s="35">
        <v>167.17997574060001</v>
      </c>
      <c r="EV11" s="35">
        <v>169.19562580499999</v>
      </c>
      <c r="EW11" s="35">
        <v>177.16432567620001</v>
      </c>
      <c r="EX11" s="35">
        <v>179.17997574060001</v>
      </c>
      <c r="EY11" s="35">
        <v>181.19562580499999</v>
      </c>
      <c r="EZ11" s="35">
        <v>183.2112758694</v>
      </c>
      <c r="FA11" s="35">
        <v>191.17997574060001</v>
      </c>
      <c r="FB11" s="35">
        <v>193.19562580499999</v>
      </c>
      <c r="FC11" s="35">
        <v>195.2112758694</v>
      </c>
      <c r="FD11" s="35">
        <v>197.2269259338</v>
      </c>
      <c r="FE11" s="35">
        <v>205.19562580499999</v>
      </c>
      <c r="FF11" s="35">
        <v>207.2112758694</v>
      </c>
      <c r="FG11" s="35">
        <v>209.2269259338</v>
      </c>
      <c r="FH11" s="35">
        <v>211.24257599820001</v>
      </c>
      <c r="FI11" s="35">
        <v>219.2112758694</v>
      </c>
      <c r="FJ11" s="35">
        <v>221.2269259338</v>
      </c>
      <c r="FK11" s="35">
        <v>223.24257599820001</v>
      </c>
      <c r="FL11" s="35">
        <v>225.25822606260002</v>
      </c>
      <c r="FM11" s="35">
        <v>233.2269259338</v>
      </c>
      <c r="FN11" s="35">
        <v>235.24257599820001</v>
      </c>
      <c r="FO11" s="35">
        <v>237.25822606260002</v>
      </c>
      <c r="FP11" s="35">
        <v>239.27387612699999</v>
      </c>
      <c r="FQ11" s="35">
        <v>247.24257599820001</v>
      </c>
      <c r="FR11" s="35">
        <v>249.25822606260002</v>
      </c>
      <c r="FS11" s="35">
        <v>251.27387612699999</v>
      </c>
      <c r="FT11" s="35">
        <v>253.2895261914</v>
      </c>
      <c r="FU11" s="35">
        <v>261.25822606259999</v>
      </c>
      <c r="FV11" s="35">
        <v>263.27387612699999</v>
      </c>
      <c r="FW11" s="35">
        <v>265.2895261914</v>
      </c>
      <c r="FX11" s="35">
        <v>267.30517625580001</v>
      </c>
      <c r="FY11" s="35">
        <v>275.27387612699999</v>
      </c>
      <c r="FZ11" s="35">
        <v>277.2895261914</v>
      </c>
      <c r="GA11" s="35">
        <v>279.30517625580001</v>
      </c>
      <c r="GB11" s="35">
        <v>281.32082632020001</v>
      </c>
      <c r="GC11" s="35">
        <v>289.2895261914</v>
      </c>
      <c r="GD11" s="35">
        <v>0</v>
      </c>
      <c r="GE11" s="35">
        <v>214.34374999999997</v>
      </c>
      <c r="GF11" s="35">
        <v>26.792968749999996</v>
      </c>
      <c r="GG11" s="35">
        <v>3.3491210937499996</v>
      </c>
      <c r="GH11" s="35">
        <v>1.6745605468749998</v>
      </c>
      <c r="GI11" s="36">
        <v>6.1440000000000019</v>
      </c>
      <c r="GJ11" s="36">
        <v>2</v>
      </c>
      <c r="GK11" s="35">
        <v>0</v>
      </c>
      <c r="GL11" s="35">
        <v>25.600000000000005</v>
      </c>
      <c r="GM11" s="35">
        <v>14.222222222222225</v>
      </c>
      <c r="GN11" s="35">
        <v>9.9555555555555575</v>
      </c>
      <c r="GO11" s="35">
        <v>3.3185185185185193</v>
      </c>
      <c r="GP11" s="35">
        <v>32.400000000000006</v>
      </c>
      <c r="GQ11" s="35">
        <v>32.400000000000006</v>
      </c>
      <c r="GR11" s="35">
        <v>16.200000000000003</v>
      </c>
      <c r="GS11" s="35">
        <v>32.400000000000006</v>
      </c>
      <c r="GT11" s="35">
        <v>6.4800000000000013</v>
      </c>
      <c r="GU11" s="35">
        <v>15</v>
      </c>
      <c r="GV11" s="35">
        <v>3.75</v>
      </c>
      <c r="GW11" s="35">
        <v>21.599999999999998</v>
      </c>
      <c r="GX11" s="35">
        <v>10.799999999999999</v>
      </c>
      <c r="GY11" s="35">
        <v>64</v>
      </c>
      <c r="GZ11" s="35">
        <v>35.555555555555557</v>
      </c>
      <c r="HA11" s="35">
        <v>24.888888888888889</v>
      </c>
      <c r="HB11" s="35">
        <v>8.2962962962962958</v>
      </c>
      <c r="HC11" s="35">
        <v>36</v>
      </c>
      <c r="HD11" s="35">
        <v>36</v>
      </c>
      <c r="HE11" s="35">
        <v>18</v>
      </c>
      <c r="HF11" s="35">
        <v>36</v>
      </c>
      <c r="HG11" s="35">
        <v>7.2</v>
      </c>
      <c r="HH11" s="35">
        <v>15</v>
      </c>
      <c r="HI11" s="35">
        <v>3.75</v>
      </c>
      <c r="HJ11" s="35">
        <v>17.28</v>
      </c>
      <c r="HK11" s="35">
        <v>8.64</v>
      </c>
      <c r="HL11" s="35">
        <v>5</v>
      </c>
      <c r="HM11" s="35">
        <v>0</v>
      </c>
      <c r="HN11" s="35">
        <v>0</v>
      </c>
      <c r="HO11" s="35">
        <v>1.831817626953125</v>
      </c>
      <c r="HP11" s="35">
        <v>3.9085542785616756</v>
      </c>
      <c r="HQ11" s="35">
        <v>5.5902637541294098</v>
      </c>
      <c r="HR11" s="35">
        <v>6.6844560764679102</v>
      </c>
      <c r="HS11" s="35">
        <v>4.1731095314025879</v>
      </c>
      <c r="HT11" s="35">
        <v>13.910365104675293</v>
      </c>
      <c r="HU11" s="35">
        <v>8.2393747155211656</v>
      </c>
      <c r="HV11" s="35">
        <v>10.523023046553135</v>
      </c>
      <c r="HW11" s="35">
        <v>47.488933104557965</v>
      </c>
      <c r="HX11" s="35">
        <v>3.5747610377787895</v>
      </c>
      <c r="HY11" s="35">
        <v>23.447265625</v>
      </c>
      <c r="HZ11" s="35">
        <v>58.6181640625</v>
      </c>
      <c r="IA11" s="35">
        <v>2.9420658852981334</v>
      </c>
      <c r="IB11" s="35">
        <v>18.340553474863764</v>
      </c>
      <c r="IC11" s="35">
        <v>47.488933104557965</v>
      </c>
      <c r="ID11" s="35">
        <v>3.3427401001365502</v>
      </c>
      <c r="IE11" s="35">
        <v>14.218460218992666</v>
      </c>
      <c r="IF11" s="35">
        <v>38.179198736184006</v>
      </c>
      <c r="IG11" s="35">
        <v>3.7782345243513888</v>
      </c>
      <c r="IH11" s="35">
        <v>10.917410842418233</v>
      </c>
      <c r="II11" s="35">
        <v>30.44278023366623</v>
      </c>
      <c r="IJ11" s="35">
        <v>4.25</v>
      </c>
      <c r="IK11" s="35">
        <v>8.296334973198956</v>
      </c>
      <c r="IL11" s="35">
        <v>24.059371422276975</v>
      </c>
      <c r="IM11" s="35">
        <v>3.7782345243513888</v>
      </c>
      <c r="IN11" s="35">
        <v>6.2342599931508875</v>
      </c>
      <c r="IO11" s="35">
        <v>18.832660395976639</v>
      </c>
      <c r="IP11" s="35">
        <v>3.3427401001365502</v>
      </c>
      <c r="IQ11" s="35">
        <v>4.6280822675183844</v>
      </c>
      <c r="IR11" s="35">
        <v>14.588520191090559</v>
      </c>
      <c r="IS11" s="35">
        <v>2.9420658852981334</v>
      </c>
      <c r="IT11" s="35">
        <v>3.3905096428567076</v>
      </c>
      <c r="IU11" s="35">
        <v>11.173270413959607</v>
      </c>
      <c r="IV11" s="35">
        <v>2.5747610377787895</v>
      </c>
      <c r="IW11" s="35">
        <v>2.4481683623978912</v>
      </c>
      <c r="IX11" s="35">
        <v>8.4520098225641469</v>
      </c>
      <c r="IY11" s="35">
        <v>2.2393747155211652</v>
      </c>
      <c r="IZ11" s="35">
        <v>1.7398675481714156</v>
      </c>
      <c r="JA11" s="35">
        <v>6.30701986212138</v>
      </c>
      <c r="JB11" s="35">
        <v>1.9344560764679104</v>
      </c>
      <c r="JC11" s="35">
        <v>1.2150143991512878</v>
      </c>
      <c r="JD11" s="35">
        <v>4.6362391546562289</v>
      </c>
      <c r="JE11" s="35">
        <v>1.6585542785616756</v>
      </c>
      <c r="JF11" s="35">
        <v>0.83217325470098846</v>
      </c>
      <c r="JG11" s="35">
        <v>3.3518089425456479</v>
      </c>
      <c r="JH11" s="35">
        <v>1.4102184797451067</v>
      </c>
      <c r="JI11" s="35">
        <v>0.55776167258782994</v>
      </c>
      <c r="JJ11" s="35">
        <v>2.3786894860363308</v>
      </c>
      <c r="JK11" s="35">
        <v>1.1879978379608558</v>
      </c>
      <c r="JL11" s="35">
        <v>0.36487667083827779</v>
      </c>
      <c r="JM11" s="35">
        <v>1.6533474147359464</v>
      </c>
      <c r="JN11" s="35">
        <v>0.99044151115157042</v>
      </c>
      <c r="JO11" s="35">
        <v>0.23224428270574216</v>
      </c>
      <c r="JP11" s="35">
        <v>1.1225140330777554</v>
      </c>
      <c r="JQ11" s="35">
        <v>0.81609865725989961</v>
      </c>
      <c r="JR11" s="35">
        <v>0.14328557402237305</v>
      </c>
      <c r="JS11" s="35">
        <v>0.74201457975871821</v>
      </c>
      <c r="JT11" s="35">
        <v>0.66351843422849333</v>
      </c>
      <c r="JU11" s="35">
        <v>8.5292272206392447E-2</v>
      </c>
      <c r="JV11" s="35">
        <v>0.47566844115103485</v>
      </c>
      <c r="JW11" s="35">
        <v>0.98876953125</v>
      </c>
      <c r="JX11" s="35">
        <v>2.1075056052866707</v>
      </c>
      <c r="JY11" s="35">
        <v>3.0174851417541504</v>
      </c>
      <c r="JZ11" s="35">
        <v>2.9708693673190716</v>
      </c>
      <c r="KA11" s="35">
        <v>2.2525405883789063</v>
      </c>
      <c r="KB11" s="35">
        <v>7.5084686279296875</v>
      </c>
      <c r="KC11" s="35">
        <v>3.4767591328242213</v>
      </c>
      <c r="KD11" s="35">
        <v>5.6800657510757446</v>
      </c>
      <c r="KE11" s="35">
        <v>25.633343316745989</v>
      </c>
      <c r="KF11" s="35">
        <v>2.1443382390127956</v>
      </c>
      <c r="KG11" s="35">
        <v>12.65625</v>
      </c>
      <c r="KH11" s="35">
        <v>31.640625</v>
      </c>
      <c r="KI11" s="35">
        <v>1.3075848379102815</v>
      </c>
      <c r="KJ11" s="35">
        <v>9.8997739706053487</v>
      </c>
      <c r="KK11" s="35">
        <v>25.633343316745989</v>
      </c>
      <c r="KL11" s="35">
        <v>1.4856622667273556</v>
      </c>
      <c r="KM11" s="35">
        <v>7.6747706971322343</v>
      </c>
      <c r="KN11" s="35">
        <v>20.608180575632847</v>
      </c>
      <c r="KO11" s="35">
        <v>1.6792153441561728</v>
      </c>
      <c r="KP11" s="35">
        <v>5.4268824039940089</v>
      </c>
      <c r="KQ11" s="35">
        <v>5.8929464605472841</v>
      </c>
      <c r="KR11" s="35">
        <v>16.432254553449162</v>
      </c>
      <c r="KS11" s="35">
        <v>1.8888888888888888</v>
      </c>
      <c r="KT11" s="35">
        <v>4.1669424034222482</v>
      </c>
      <c r="KU11" s="35">
        <v>4.4781549876159294</v>
      </c>
      <c r="KV11" s="35">
        <v>12.986649464086197</v>
      </c>
      <c r="KW11" s="35">
        <v>1.6792153441561728</v>
      </c>
      <c r="KX11" s="35">
        <v>3.1665337589475833</v>
      </c>
      <c r="KY11" s="35">
        <v>3.3650982720214704</v>
      </c>
      <c r="KZ11" s="35">
        <v>10.165401030064857</v>
      </c>
      <c r="LA11" s="35">
        <v>1.4856622667273556</v>
      </c>
      <c r="LB11" s="35">
        <v>2.3794838075055149</v>
      </c>
      <c r="LC11" s="35">
        <v>2.4981235396517394</v>
      </c>
      <c r="LD11" s="35">
        <v>7.8745198532500478</v>
      </c>
      <c r="LE11" s="35">
        <v>1.3075848379102815</v>
      </c>
      <c r="LF11" s="35">
        <v>1.7664400951294859</v>
      </c>
      <c r="LG11" s="35">
        <v>1.8301126602008719</v>
      </c>
      <c r="LH11" s="35">
        <v>6.031053084752874</v>
      </c>
      <c r="LI11" s="35">
        <v>1.1443382390127954</v>
      </c>
      <c r="LJ11" s="35">
        <v>1.2940850723633883</v>
      </c>
      <c r="LK11" s="35">
        <v>1.321460307233514</v>
      </c>
      <c r="LL11" s="35">
        <v>4.5621843940204645</v>
      </c>
      <c r="LM11" s="35">
        <v>0.99527765134274004</v>
      </c>
      <c r="LN11" s="35">
        <v>0.93441354431367618</v>
      </c>
      <c r="LO11" s="35">
        <v>0.93913716885887322</v>
      </c>
      <c r="LP11" s="35">
        <v>3.4043722371134146</v>
      </c>
      <c r="LQ11" s="35">
        <v>0.8597582562079602</v>
      </c>
      <c r="LR11" s="35">
        <v>0.66407026056444496</v>
      </c>
      <c r="LS11" s="35">
        <v>0.6558345111620445</v>
      </c>
      <c r="LT11" s="35">
        <v>2.5025264241709593</v>
      </c>
      <c r="LU11" s="35">
        <v>0.73713523491630029</v>
      </c>
      <c r="LV11" s="35">
        <v>0.46374503017884611</v>
      </c>
      <c r="LW11" s="35">
        <v>0.4491863965399755</v>
      </c>
      <c r="LX11" s="35">
        <v>1.8092229860637898</v>
      </c>
      <c r="LY11" s="35">
        <v>0.62676376877560303</v>
      </c>
      <c r="LZ11" s="35">
        <v>0.31762274701016618</v>
      </c>
      <c r="MA11" s="35">
        <v>0.3010658590894742</v>
      </c>
      <c r="MB11" s="35">
        <v>1.283957340234521</v>
      </c>
      <c r="MC11" s="35">
        <v>0.52799903909371371</v>
      </c>
      <c r="MD11" s="35">
        <v>0.21288571054592076</v>
      </c>
    </row>
    <row r="12" spans="1:343" s="4" customFormat="1" ht="14.25" x14ac:dyDescent="0.2">
      <c r="A12" s="4">
        <v>6</v>
      </c>
      <c r="B12" s="16" t="s">
        <v>673</v>
      </c>
      <c r="C12" s="16" t="s">
        <v>435</v>
      </c>
      <c r="D12" s="16" t="s">
        <v>142</v>
      </c>
      <c r="E12" s="16" t="s">
        <v>435</v>
      </c>
      <c r="F12" s="31" t="s">
        <v>146</v>
      </c>
      <c r="G12" s="31" t="s">
        <v>147</v>
      </c>
      <c r="H12" s="32">
        <v>-1</v>
      </c>
      <c r="I12" s="33">
        <v>26.41</v>
      </c>
      <c r="J12" s="34">
        <v>20.6083</v>
      </c>
      <c r="K12" s="32" t="s">
        <v>148</v>
      </c>
      <c r="L12" s="16">
        <v>0</v>
      </c>
      <c r="M12" s="16">
        <v>2</v>
      </c>
      <c r="N12" s="16" t="s">
        <v>435</v>
      </c>
      <c r="O12" s="16">
        <v>0</v>
      </c>
      <c r="P12" s="16">
        <v>0</v>
      </c>
      <c r="Q12" s="16">
        <v>0</v>
      </c>
      <c r="R12" s="16">
        <v>3</v>
      </c>
      <c r="S12" s="16">
        <v>0</v>
      </c>
      <c r="T12" s="16">
        <v>40</v>
      </c>
      <c r="U12" s="16">
        <v>0</v>
      </c>
      <c r="V12" s="16">
        <v>40</v>
      </c>
      <c r="W12" s="16">
        <v>0</v>
      </c>
      <c r="X12" s="16" t="s">
        <v>435</v>
      </c>
      <c r="Y12" s="35">
        <v>1058.7484899028</v>
      </c>
      <c r="Z12" s="35">
        <v>1040.7379299028</v>
      </c>
      <c r="AA12" s="35">
        <v>1058.7484899028</v>
      </c>
      <c r="AB12" s="35">
        <v>1040.7379299028</v>
      </c>
      <c r="AC12" s="35">
        <v>1620.3819149028</v>
      </c>
      <c r="AD12" s="35">
        <v>1296.2762680628</v>
      </c>
      <c r="AE12" s="35">
        <v>1278.2657033788</v>
      </c>
      <c r="AF12" s="35">
        <v>1260.2551386948001</v>
      </c>
      <c r="AG12" s="35">
        <v>1242.2445740108001</v>
      </c>
      <c r="AH12" s="35">
        <v>1222.2394886304</v>
      </c>
      <c r="AI12" s="35">
        <v>1204.2289239464001</v>
      </c>
      <c r="AJ12" s="35">
        <v>1112.1815798300001</v>
      </c>
      <c r="AK12" s="35">
        <v>737.66591548680003</v>
      </c>
      <c r="AL12" s="35">
        <v>719.65535080280006</v>
      </c>
      <c r="AM12" s="35">
        <v>701.64478611880008</v>
      </c>
      <c r="AN12" s="35">
        <v>683.63422143480011</v>
      </c>
      <c r="AO12" s="35">
        <v>663.62913605440008</v>
      </c>
      <c r="AP12" s="35">
        <v>645.6185713704001</v>
      </c>
      <c r="AQ12" s="35">
        <v>627.60800668640013</v>
      </c>
      <c r="AR12" s="35">
        <v>609.59744200240016</v>
      </c>
      <c r="AS12" s="35">
        <v>591.58687731840018</v>
      </c>
      <c r="AT12" s="35">
        <v>607.6029213060001</v>
      </c>
      <c r="AU12" s="35">
        <v>589.59235662200012</v>
      </c>
      <c r="AV12" s="35">
        <v>557.60252757600006</v>
      </c>
      <c r="AW12" s="35">
        <v>575.61309226000003</v>
      </c>
      <c r="AX12" s="35">
        <v>743.71286568000005</v>
      </c>
      <c r="AY12" s="35">
        <v>725.70230099600008</v>
      </c>
      <c r="AZ12" s="35">
        <v>707.6917363120001</v>
      </c>
      <c r="BA12" s="35">
        <v>689.68117162800013</v>
      </c>
      <c r="BB12" s="35">
        <v>669.6760862476001</v>
      </c>
      <c r="BC12" s="35">
        <v>651.66552156360012</v>
      </c>
      <c r="BD12" s="35">
        <v>633.65495687960015</v>
      </c>
      <c r="BE12" s="35">
        <v>615.64439219560018</v>
      </c>
      <c r="BF12" s="35">
        <v>597.6338275116002</v>
      </c>
      <c r="BG12" s="35">
        <v>613.64987149920012</v>
      </c>
      <c r="BH12" s="35">
        <v>595.63930681520014</v>
      </c>
      <c r="BI12" s="35">
        <v>551.55557738280004</v>
      </c>
      <c r="BJ12" s="35">
        <v>569.56614206680001</v>
      </c>
      <c r="BK12" s="35">
        <v>163.06064842000001</v>
      </c>
      <c r="BL12" s="35">
        <v>0</v>
      </c>
      <c r="BM12" s="35">
        <v>0</v>
      </c>
      <c r="BN12" s="35">
        <v>55.0547752254</v>
      </c>
      <c r="BO12" s="35">
        <v>57.070425289800006</v>
      </c>
      <c r="BP12" s="35">
        <v>69.070425289799999</v>
      </c>
      <c r="BQ12" s="35">
        <v>71.086075354200005</v>
      </c>
      <c r="BR12" s="35">
        <v>83.086075354200005</v>
      </c>
      <c r="BS12" s="35">
        <v>85.101725418599997</v>
      </c>
      <c r="BT12" s="35">
        <v>97.101725418599997</v>
      </c>
      <c r="BU12" s="35">
        <v>99.117375483000004</v>
      </c>
      <c r="BV12" s="35">
        <v>111.117375483</v>
      </c>
      <c r="BW12" s="35">
        <v>113.13302554740001</v>
      </c>
      <c r="BX12" s="35">
        <v>125.13302554740001</v>
      </c>
      <c r="BY12" s="35">
        <v>127.1486756118</v>
      </c>
      <c r="BZ12" s="35">
        <v>139.1486756118</v>
      </c>
      <c r="CA12" s="35">
        <v>141.16432567620001</v>
      </c>
      <c r="CB12" s="35">
        <v>153.16432567620001</v>
      </c>
      <c r="CC12" s="35">
        <v>155.17997574060001</v>
      </c>
      <c r="CD12" s="35">
        <v>167.17997574060001</v>
      </c>
      <c r="CE12" s="35">
        <v>169.19562580499999</v>
      </c>
      <c r="CF12" s="35">
        <v>181.19562580499999</v>
      </c>
      <c r="CG12" s="35">
        <v>183.2112758694</v>
      </c>
      <c r="CH12" s="35">
        <v>195.2112758694</v>
      </c>
      <c r="CI12" s="35">
        <v>197.2269259338</v>
      </c>
      <c r="CJ12" s="35">
        <v>209.2269259338</v>
      </c>
      <c r="CK12" s="35">
        <v>211.24257599820001</v>
      </c>
      <c r="CL12" s="35">
        <v>223.24257599820001</v>
      </c>
      <c r="CM12" s="35">
        <v>225.25822606260002</v>
      </c>
      <c r="CN12" s="35">
        <v>237.25822606260002</v>
      </c>
      <c r="CO12" s="35">
        <v>239.27387612699999</v>
      </c>
      <c r="CP12" s="35">
        <v>251.27387612699999</v>
      </c>
      <c r="CQ12" s="35">
        <v>253.2895261914</v>
      </c>
      <c r="CR12" s="35">
        <v>265.2895261914</v>
      </c>
      <c r="CS12" s="35">
        <v>267.30517625580001</v>
      </c>
      <c r="CT12" s="35">
        <v>279.30517625580001</v>
      </c>
      <c r="CU12" s="35">
        <v>281.32082632020001</v>
      </c>
      <c r="CV12" s="35">
        <v>293.32082632020001</v>
      </c>
      <c r="CW12" s="35">
        <v>295.33647638460002</v>
      </c>
      <c r="CX12" s="35">
        <v>307.33647638460002</v>
      </c>
      <c r="CY12" s="35">
        <v>309.35212644900002</v>
      </c>
      <c r="CZ12" s="35">
        <v>321.35212644900002</v>
      </c>
      <c r="DA12" s="35">
        <v>323.36777651340003</v>
      </c>
      <c r="DB12" s="35">
        <v>335.36777651340003</v>
      </c>
      <c r="DC12" s="35">
        <v>337.38342657779998</v>
      </c>
      <c r="DD12" s="35">
        <v>349.38342657779998</v>
      </c>
      <c r="DE12" s="35">
        <v>351.39907664219999</v>
      </c>
      <c r="DF12" s="35">
        <v>363.39907664219999</v>
      </c>
      <c r="DG12" s="35">
        <v>365.41472670659999</v>
      </c>
      <c r="DH12" s="35">
        <v>377.41472670659999</v>
      </c>
      <c r="DI12" s="35">
        <v>379.430376771</v>
      </c>
      <c r="DJ12" s="35">
        <v>391.430376771</v>
      </c>
      <c r="DK12" s="35">
        <v>393.4460268354</v>
      </c>
      <c r="DL12" s="35">
        <v>405.4460268354</v>
      </c>
      <c r="DM12" s="35">
        <v>407.46167689980001</v>
      </c>
      <c r="DN12" s="35">
        <v>419.46167689980001</v>
      </c>
      <c r="DO12" s="35">
        <v>421.47732696420002</v>
      </c>
      <c r="DP12" s="35">
        <v>433.47732696420002</v>
      </c>
      <c r="DQ12" s="35">
        <v>435.49297702860002</v>
      </c>
      <c r="DR12" s="35">
        <v>447.49297702860002</v>
      </c>
      <c r="DS12" s="35">
        <v>449.50862709300003</v>
      </c>
      <c r="DT12" s="35">
        <v>461.50862709300003</v>
      </c>
      <c r="DU12" s="35">
        <v>463.52427715739998</v>
      </c>
      <c r="DV12" s="35">
        <v>55.0547752254</v>
      </c>
      <c r="DW12" s="35">
        <v>57.070425289800006</v>
      </c>
      <c r="DX12" s="35">
        <v>69.070425289799999</v>
      </c>
      <c r="DY12" s="35">
        <v>71.086075354200005</v>
      </c>
      <c r="DZ12" s="35">
        <v>81.070425289799999</v>
      </c>
      <c r="EA12" s="35">
        <v>83.086075354200005</v>
      </c>
      <c r="EB12" s="35">
        <v>85.101725418599997</v>
      </c>
      <c r="EC12" s="35">
        <v>95.086075354200005</v>
      </c>
      <c r="ED12" s="35">
        <v>97.101725418599997</v>
      </c>
      <c r="EE12" s="35">
        <v>99.117375483000004</v>
      </c>
      <c r="EF12" s="35">
        <v>109.1017254186</v>
      </c>
      <c r="EG12" s="35">
        <v>111.117375483</v>
      </c>
      <c r="EH12" s="35">
        <v>113.13302554740001</v>
      </c>
      <c r="EI12" s="35">
        <v>123.117375483</v>
      </c>
      <c r="EJ12" s="35">
        <v>125.13302554740001</v>
      </c>
      <c r="EK12" s="35">
        <v>127.1486756118</v>
      </c>
      <c r="EL12" s="35">
        <v>137.1330255474</v>
      </c>
      <c r="EM12" s="35">
        <v>139.1486756118</v>
      </c>
      <c r="EN12" s="35">
        <v>141.16432567620001</v>
      </c>
      <c r="EO12" s="35">
        <v>149.1330255474</v>
      </c>
      <c r="EP12" s="35">
        <v>151.1486756118</v>
      </c>
      <c r="EQ12" s="35">
        <v>153.16432567620001</v>
      </c>
      <c r="ER12" s="35">
        <v>155.17997574060001</v>
      </c>
      <c r="ES12" s="35">
        <v>163.1486756118</v>
      </c>
      <c r="ET12" s="35">
        <v>165.16432567620001</v>
      </c>
      <c r="EU12" s="35">
        <v>167.17997574060001</v>
      </c>
      <c r="EV12" s="35">
        <v>169.19562580499999</v>
      </c>
      <c r="EW12" s="35">
        <v>177.16432567620001</v>
      </c>
      <c r="EX12" s="35">
        <v>179.17997574060001</v>
      </c>
      <c r="EY12" s="35">
        <v>181.19562580499999</v>
      </c>
      <c r="EZ12" s="35">
        <v>183.2112758694</v>
      </c>
      <c r="FA12" s="35">
        <v>191.17997574060001</v>
      </c>
      <c r="FB12" s="35">
        <v>193.19562580499999</v>
      </c>
      <c r="FC12" s="35">
        <v>195.2112758694</v>
      </c>
      <c r="FD12" s="35">
        <v>197.2269259338</v>
      </c>
      <c r="FE12" s="35">
        <v>205.19562580499999</v>
      </c>
      <c r="FF12" s="35">
        <v>207.2112758694</v>
      </c>
      <c r="FG12" s="35">
        <v>209.2269259338</v>
      </c>
      <c r="FH12" s="35">
        <v>211.24257599820001</v>
      </c>
      <c r="FI12" s="35">
        <v>217.19562580499999</v>
      </c>
      <c r="FJ12" s="35">
        <v>219.2112758694</v>
      </c>
      <c r="FK12" s="35">
        <v>221.2269259338</v>
      </c>
      <c r="FL12" s="35">
        <v>223.24257599820001</v>
      </c>
      <c r="FM12" s="35">
        <v>225.25822606260002</v>
      </c>
      <c r="FN12" s="35">
        <v>231.2112758694</v>
      </c>
      <c r="FO12" s="35">
        <v>233.2269259338</v>
      </c>
      <c r="FP12" s="35">
        <v>235.24257599820001</v>
      </c>
      <c r="FQ12" s="35">
        <v>237.25822606260002</v>
      </c>
      <c r="FR12" s="35">
        <v>239.27387612699999</v>
      </c>
      <c r="FS12" s="35">
        <v>245.2269259338</v>
      </c>
      <c r="FT12" s="35">
        <v>247.24257599820001</v>
      </c>
      <c r="FU12" s="35">
        <v>249.25822606260002</v>
      </c>
      <c r="FV12" s="35">
        <v>251.27387612699999</v>
      </c>
      <c r="FW12" s="35">
        <v>253.2895261914</v>
      </c>
      <c r="FX12" s="35">
        <v>259.24257599819998</v>
      </c>
      <c r="FY12" s="35">
        <v>261.25822606259999</v>
      </c>
      <c r="FZ12" s="35">
        <v>263.27387612699999</v>
      </c>
      <c r="GA12" s="35">
        <v>265.2895261914</v>
      </c>
      <c r="GB12" s="35">
        <v>267.30517625580001</v>
      </c>
      <c r="GC12" s="35">
        <v>273.25822606259999</v>
      </c>
      <c r="GD12" s="35">
        <v>0</v>
      </c>
      <c r="GE12" s="35">
        <v>214.34374999999997</v>
      </c>
      <c r="GF12" s="35">
        <v>26.792968749999996</v>
      </c>
      <c r="GG12" s="35">
        <v>3.3491210937499996</v>
      </c>
      <c r="GH12" s="35">
        <v>1.6745605468749998</v>
      </c>
      <c r="GI12" s="36">
        <v>6.1440000000000019</v>
      </c>
      <c r="GJ12" s="36">
        <v>2</v>
      </c>
      <c r="GK12" s="35">
        <v>0</v>
      </c>
      <c r="GL12" s="35">
        <v>20.480000000000004</v>
      </c>
      <c r="GM12" s="35">
        <v>11.37777777777778</v>
      </c>
      <c r="GN12" s="35">
        <v>7.9644444444444451</v>
      </c>
      <c r="GO12" s="35">
        <v>2.6548148148148152</v>
      </c>
      <c r="GP12" s="35">
        <v>29.160000000000004</v>
      </c>
      <c r="GQ12" s="35">
        <v>29.160000000000004</v>
      </c>
      <c r="GR12" s="35">
        <v>14.580000000000002</v>
      </c>
      <c r="GS12" s="35">
        <v>29.160000000000004</v>
      </c>
      <c r="GT12" s="35">
        <v>5.8320000000000007</v>
      </c>
      <c r="GU12" s="35">
        <v>15</v>
      </c>
      <c r="GV12" s="35">
        <v>3.75</v>
      </c>
      <c r="GW12" s="35">
        <v>18</v>
      </c>
      <c r="GX12" s="35">
        <v>9</v>
      </c>
      <c r="GY12" s="35">
        <v>80</v>
      </c>
      <c r="GZ12" s="35">
        <v>44.444444444444443</v>
      </c>
      <c r="HA12" s="35">
        <v>31.111111111111107</v>
      </c>
      <c r="HB12" s="35">
        <v>10.370370370370368</v>
      </c>
      <c r="HC12" s="35">
        <v>40</v>
      </c>
      <c r="HD12" s="35">
        <v>40</v>
      </c>
      <c r="HE12" s="35">
        <v>20</v>
      </c>
      <c r="HF12" s="35">
        <v>40</v>
      </c>
      <c r="HG12" s="35">
        <v>8</v>
      </c>
      <c r="HH12" s="35">
        <v>15</v>
      </c>
      <c r="HI12" s="35">
        <v>3.75</v>
      </c>
      <c r="HJ12" s="35">
        <v>7.7759999999999998</v>
      </c>
      <c r="HK12" s="35">
        <v>3.8879999999999999</v>
      </c>
      <c r="HL12" s="35">
        <v>5</v>
      </c>
      <c r="HM12" s="35">
        <v>0</v>
      </c>
      <c r="HN12" s="35">
        <v>0</v>
      </c>
      <c r="HO12" s="35">
        <v>3.125</v>
      </c>
      <c r="HP12" s="35">
        <v>17.634217114246702</v>
      </c>
      <c r="HQ12" s="35">
        <v>9.5367431640625</v>
      </c>
      <c r="HR12" s="35">
        <v>38.737824305871641</v>
      </c>
      <c r="HS12" s="35">
        <v>23.73046875</v>
      </c>
      <c r="HT12" s="35">
        <v>49.957498862084663</v>
      </c>
      <c r="HU12" s="35">
        <v>51.2908935546875</v>
      </c>
      <c r="HV12" s="35">
        <v>11.299044151115158</v>
      </c>
      <c r="HW12" s="35">
        <v>100</v>
      </c>
      <c r="HX12" s="35">
        <v>12.768263541192534</v>
      </c>
      <c r="HY12" s="35">
        <v>81.014023322061405</v>
      </c>
      <c r="HZ12" s="35">
        <v>13.370960400546201</v>
      </c>
      <c r="IA12" s="35">
        <v>65.132027498296409</v>
      </c>
      <c r="IB12" s="35">
        <v>15.112938097405555</v>
      </c>
      <c r="IC12" s="35">
        <v>51.93403908250599</v>
      </c>
      <c r="ID12" s="35">
        <v>17</v>
      </c>
      <c r="IE12" s="35">
        <v>41.044225466741565</v>
      </c>
      <c r="IF12" s="35">
        <v>15.112938097405555</v>
      </c>
      <c r="IG12" s="35">
        <v>32.127687206130908</v>
      </c>
      <c r="IH12" s="35">
        <v>13.370960400546201</v>
      </c>
      <c r="II12" s="35">
        <v>24.887371388049534</v>
      </c>
      <c r="IJ12" s="35">
        <v>11.768263541192534</v>
      </c>
      <c r="IK12" s="35">
        <v>19.061106045638713</v>
      </c>
      <c r="IL12" s="35">
        <v>10.299044151115158</v>
      </c>
      <c r="IM12" s="35">
        <v>14.418755615669616</v>
      </c>
      <c r="IN12" s="35">
        <v>8.9574988620846607</v>
      </c>
      <c r="IO12" s="35">
        <v>10.759497440753508</v>
      </c>
      <c r="IP12" s="35">
        <v>7.7378243058716416</v>
      </c>
      <c r="IQ12" s="35">
        <v>7.9092193158983397</v>
      </c>
      <c r="IR12" s="35">
        <v>6.6342171142467024</v>
      </c>
      <c r="IS12" s="35">
        <v>5.7180380794114836</v>
      </c>
      <c r="IT12" s="35">
        <v>5.6408739189804269</v>
      </c>
      <c r="IU12" s="35">
        <v>4.0579392481486094</v>
      </c>
      <c r="IV12" s="35">
        <v>4.7519913518434231</v>
      </c>
      <c r="IW12" s="35">
        <v>2.8205376971088865</v>
      </c>
      <c r="IX12" s="35">
        <v>3.9617660446062817</v>
      </c>
      <c r="IY12" s="35">
        <v>1.9149593833762957</v>
      </c>
      <c r="IZ12" s="35">
        <v>3.2643946290395984</v>
      </c>
      <c r="JA12" s="35">
        <v>1.2658441144072095</v>
      </c>
      <c r="JB12" s="35">
        <v>2.6540737369139733</v>
      </c>
      <c r="JC12" s="35">
        <v>0.81146936066415609</v>
      </c>
      <c r="JD12" s="35">
        <v>2.125</v>
      </c>
      <c r="JE12" s="35">
        <v>0.50199511259579543</v>
      </c>
      <c r="JF12" s="35">
        <v>1.6713700500682751</v>
      </c>
      <c r="JG12" s="35">
        <v>0.29782978196310489</v>
      </c>
      <c r="JH12" s="35">
        <v>1.2873805188893952</v>
      </c>
      <c r="JI12" s="35">
        <v>0.16811714751177356</v>
      </c>
      <c r="JJ12" s="35">
        <v>0.9672280382339552</v>
      </c>
      <c r="JK12" s="35">
        <v>8.9344344990804431E-2</v>
      </c>
      <c r="JL12" s="35">
        <v>0.70510923987255336</v>
      </c>
      <c r="JM12" s="35">
        <v>4.4070901517326351E-2</v>
      </c>
      <c r="JN12" s="35">
        <v>0.49522075557578521</v>
      </c>
      <c r="JO12" s="35">
        <v>1.9778814287612648E-2</v>
      </c>
      <c r="JP12" s="35">
        <v>0.33175921711424688</v>
      </c>
      <c r="JQ12" s="35">
        <v>7.8436736343093037E-3</v>
      </c>
      <c r="JR12" s="35">
        <v>0.20892125625853425</v>
      </c>
      <c r="JS12" s="35">
        <v>2.6268304298714619E-3</v>
      </c>
      <c r="JT12" s="35">
        <v>0.1209035047792444</v>
      </c>
      <c r="JU12" s="35">
        <v>6.8860783620822423E-4</v>
      </c>
      <c r="JV12" s="35">
        <v>6.1902594446973151E-2</v>
      </c>
      <c r="JW12" s="35">
        <v>0.476837158203125</v>
      </c>
      <c r="JX12" s="35">
        <v>1.5708885696404189</v>
      </c>
      <c r="JY12" s="35">
        <v>1.4551915228366852</v>
      </c>
      <c r="JZ12" s="35">
        <v>1.9523640191169775</v>
      </c>
      <c r="KA12" s="35">
        <v>1.0862946510314941</v>
      </c>
      <c r="KB12" s="35">
        <v>3.6209821701049805</v>
      </c>
      <c r="KC12" s="35">
        <v>2.1848436788802914</v>
      </c>
      <c r="KD12" s="35">
        <v>2.7392292395234108</v>
      </c>
      <c r="KE12" s="35">
        <v>12.361758929757904</v>
      </c>
      <c r="KF12" s="35">
        <v>1.6436902594446974</v>
      </c>
      <c r="KG12" s="35">
        <v>6.103515625</v>
      </c>
      <c r="KH12" s="35">
        <v>15.2587890625</v>
      </c>
      <c r="KI12" s="35">
        <v>0.73551647132453335</v>
      </c>
      <c r="KJ12" s="35">
        <v>4.7741965521823628</v>
      </c>
      <c r="KK12" s="35">
        <v>12.361758929757904</v>
      </c>
      <c r="KL12" s="35">
        <v>0.83568502503413755</v>
      </c>
      <c r="KM12" s="35">
        <v>3.7011818562559</v>
      </c>
      <c r="KN12" s="35">
        <v>9.938358688094544</v>
      </c>
      <c r="KO12" s="35">
        <v>0.94455863108784721</v>
      </c>
      <c r="KP12" s="35">
        <v>2.6171307889631601</v>
      </c>
      <c r="KQ12" s="35">
        <v>2.8418916187052878</v>
      </c>
      <c r="KR12" s="35">
        <v>7.9245054752358994</v>
      </c>
      <c r="KS12" s="35">
        <v>1.0625</v>
      </c>
      <c r="KT12" s="35">
        <v>2.0095208349837232</v>
      </c>
      <c r="KU12" s="35">
        <v>2.1596040642437933</v>
      </c>
      <c r="KV12" s="35">
        <v>6.2628517863070012</v>
      </c>
      <c r="KW12" s="35">
        <v>0.94455863108784721</v>
      </c>
      <c r="KX12" s="35">
        <v>1.5270706785048145</v>
      </c>
      <c r="KY12" s="35">
        <v>1.6228290277881319</v>
      </c>
      <c r="KZ12" s="35">
        <v>4.9022960214433144</v>
      </c>
      <c r="LA12" s="35">
        <v>0.83568502503413755</v>
      </c>
      <c r="LB12" s="35">
        <v>1.1475134102553601</v>
      </c>
      <c r="LC12" s="35">
        <v>1.2047277872548898</v>
      </c>
      <c r="LD12" s="35">
        <v>3.7975115033034568</v>
      </c>
      <c r="LE12" s="35">
        <v>0.73551647132453335</v>
      </c>
      <c r="LF12" s="35">
        <v>0.85187118785179694</v>
      </c>
      <c r="LG12" s="35">
        <v>0.8825774788777353</v>
      </c>
      <c r="LH12" s="35">
        <v>2.908493964483446</v>
      </c>
      <c r="LI12" s="35">
        <v>0.64369025944469738</v>
      </c>
      <c r="LJ12" s="35">
        <v>0.62407652023697346</v>
      </c>
      <c r="LK12" s="35">
        <v>2.0566158053263899</v>
      </c>
      <c r="LL12" s="35">
        <v>0.63727831174455729</v>
      </c>
      <c r="LM12" s="35">
        <v>2.2001275048323996</v>
      </c>
      <c r="LN12" s="35">
        <v>0.5598436788802913</v>
      </c>
      <c r="LO12" s="35">
        <v>0.45062381573769106</v>
      </c>
      <c r="LP12" s="35">
        <v>1.5557250781420282</v>
      </c>
      <c r="LQ12" s="35">
        <v>0.45290179825370042</v>
      </c>
      <c r="LR12" s="35">
        <v>1.6417690186696638</v>
      </c>
      <c r="LS12" s="35">
        <v>0.4836140191169776</v>
      </c>
      <c r="LT12" s="35">
        <v>0.32024993275677321</v>
      </c>
      <c r="LU12" s="35">
        <v>1.1609060062433028</v>
      </c>
      <c r="LV12" s="35">
        <v>0.31627821718848598</v>
      </c>
      <c r="LW12" s="35">
        <v>1.2068510919034332</v>
      </c>
      <c r="LX12" s="35">
        <v>0.4146385696404189</v>
      </c>
      <c r="LY12" s="35">
        <v>0.22364247211557009</v>
      </c>
      <c r="LZ12" s="35">
        <v>0.85337259096730689</v>
      </c>
      <c r="MA12" s="35">
        <v>0.21662152610917026</v>
      </c>
      <c r="MB12" s="35">
        <v>0.8725033690508246</v>
      </c>
      <c r="MC12" s="35">
        <v>0.35255461993627668</v>
      </c>
      <c r="MD12" s="35">
        <v>0.15317455006277303</v>
      </c>
    </row>
    <row r="13" spans="1:343" s="4" customFormat="1" ht="14.25" x14ac:dyDescent="0.2">
      <c r="A13" s="4">
        <v>7</v>
      </c>
      <c r="B13" s="16" t="s">
        <v>674</v>
      </c>
      <c r="C13" s="16" t="s">
        <v>436</v>
      </c>
      <c r="D13" s="16" t="s">
        <v>149</v>
      </c>
      <c r="E13" s="16" t="s">
        <v>436</v>
      </c>
      <c r="F13" s="31" t="s">
        <v>150</v>
      </c>
      <c r="G13" s="31" t="s">
        <v>151</v>
      </c>
      <c r="H13" s="32">
        <v>-1</v>
      </c>
      <c r="I13" s="33">
        <v>27.14</v>
      </c>
      <c r="J13" s="34">
        <v>20.2182</v>
      </c>
      <c r="K13" s="32" t="s">
        <v>152</v>
      </c>
      <c r="L13" s="16">
        <v>0</v>
      </c>
      <c r="M13" s="16">
        <v>2</v>
      </c>
      <c r="N13" s="16" t="s">
        <v>436</v>
      </c>
      <c r="O13" s="16">
        <v>0</v>
      </c>
      <c r="P13" s="16">
        <v>0</v>
      </c>
      <c r="Q13" s="16">
        <v>2</v>
      </c>
      <c r="R13" s="16">
        <v>2</v>
      </c>
      <c r="S13" s="16">
        <v>0</v>
      </c>
      <c r="T13" s="16">
        <v>40</v>
      </c>
      <c r="U13" s="16">
        <v>0</v>
      </c>
      <c r="V13" s="16">
        <v>40</v>
      </c>
      <c r="W13" s="16">
        <v>0</v>
      </c>
      <c r="X13" s="16" t="s">
        <v>436</v>
      </c>
      <c r="Y13" s="35">
        <v>1056.7328398384002</v>
      </c>
      <c r="Z13" s="35">
        <v>1038.7222798384003</v>
      </c>
      <c r="AA13" s="35">
        <v>1056.7328398384002</v>
      </c>
      <c r="AB13" s="35">
        <v>1038.7222798384003</v>
      </c>
      <c r="AC13" s="35">
        <v>1618.3662648384</v>
      </c>
      <c r="AD13" s="35">
        <v>1294.2606179984</v>
      </c>
      <c r="AE13" s="35">
        <v>1276.2500533144</v>
      </c>
      <c r="AF13" s="35">
        <v>1258.2394886304</v>
      </c>
      <c r="AG13" s="35">
        <v>1240.2289239464001</v>
      </c>
      <c r="AH13" s="35">
        <v>1220.223838566</v>
      </c>
      <c r="AI13" s="35">
        <v>1202.2132738820001</v>
      </c>
      <c r="AJ13" s="35">
        <v>1110.1659297656001</v>
      </c>
      <c r="AK13" s="35">
        <v>739.68156555120004</v>
      </c>
      <c r="AL13" s="35">
        <v>721.67100086720006</v>
      </c>
      <c r="AM13" s="35">
        <v>703.66043618320009</v>
      </c>
      <c r="AN13" s="35">
        <v>685.64987149920012</v>
      </c>
      <c r="AO13" s="35">
        <v>665.64478611880008</v>
      </c>
      <c r="AP13" s="35">
        <v>647.63422143480011</v>
      </c>
      <c r="AQ13" s="35">
        <v>629.62365675080014</v>
      </c>
      <c r="AR13" s="35">
        <v>611.61309206680016</v>
      </c>
      <c r="AS13" s="35">
        <v>593.60252738280019</v>
      </c>
      <c r="AT13" s="35">
        <v>609.6185713704001</v>
      </c>
      <c r="AU13" s="35">
        <v>591.60800668640013</v>
      </c>
      <c r="AV13" s="35">
        <v>555.5868774472001</v>
      </c>
      <c r="AW13" s="35">
        <v>573.59744213120007</v>
      </c>
      <c r="AX13" s="35">
        <v>739.68156555120004</v>
      </c>
      <c r="AY13" s="35">
        <v>721.67100086720006</v>
      </c>
      <c r="AZ13" s="35">
        <v>703.66043618320009</v>
      </c>
      <c r="BA13" s="35">
        <v>685.64987149920012</v>
      </c>
      <c r="BB13" s="35">
        <v>665.64478611880008</v>
      </c>
      <c r="BC13" s="35">
        <v>647.63422143480011</v>
      </c>
      <c r="BD13" s="35">
        <v>629.62365675080014</v>
      </c>
      <c r="BE13" s="35">
        <v>611.61309206680016</v>
      </c>
      <c r="BF13" s="35">
        <v>593.60252738280019</v>
      </c>
      <c r="BG13" s="35">
        <v>609.6185713704001</v>
      </c>
      <c r="BH13" s="35">
        <v>591.60800668640013</v>
      </c>
      <c r="BI13" s="35">
        <v>553.57122744720004</v>
      </c>
      <c r="BJ13" s="35">
        <v>571.58179213120002</v>
      </c>
      <c r="BK13" s="35">
        <v>163.06064842000001</v>
      </c>
      <c r="BL13" s="35">
        <v>0</v>
      </c>
      <c r="BM13" s="35">
        <v>0</v>
      </c>
      <c r="BN13" s="35">
        <v>55.0547752254</v>
      </c>
      <c r="BO13" s="35">
        <v>57.070425289800006</v>
      </c>
      <c r="BP13" s="35">
        <v>69.070425289799999</v>
      </c>
      <c r="BQ13" s="35">
        <v>71.086075354200005</v>
      </c>
      <c r="BR13" s="35">
        <v>81.070425289799999</v>
      </c>
      <c r="BS13" s="35">
        <v>83.086075354200005</v>
      </c>
      <c r="BT13" s="35">
        <v>85.101725418599997</v>
      </c>
      <c r="BU13" s="35">
        <v>95.086075354200005</v>
      </c>
      <c r="BV13" s="35">
        <v>97.101725418599997</v>
      </c>
      <c r="BW13" s="35">
        <v>99.117375483000004</v>
      </c>
      <c r="BX13" s="35">
        <v>109.1017254186</v>
      </c>
      <c r="BY13" s="35">
        <v>111.117375483</v>
      </c>
      <c r="BZ13" s="35">
        <v>113.13302554740001</v>
      </c>
      <c r="CA13" s="35">
        <v>123.117375483</v>
      </c>
      <c r="CB13" s="35">
        <v>125.13302554740001</v>
      </c>
      <c r="CC13" s="35">
        <v>127.1486756118</v>
      </c>
      <c r="CD13" s="35">
        <v>137.1330255474</v>
      </c>
      <c r="CE13" s="35">
        <v>139.1486756118</v>
      </c>
      <c r="CF13" s="35">
        <v>141.16432567620001</v>
      </c>
      <c r="CG13" s="35">
        <v>149.1330255474</v>
      </c>
      <c r="CH13" s="35">
        <v>151.1486756118</v>
      </c>
      <c r="CI13" s="35">
        <v>153.16432567620001</v>
      </c>
      <c r="CJ13" s="35">
        <v>155.17997574060001</v>
      </c>
      <c r="CK13" s="35">
        <v>163.1486756118</v>
      </c>
      <c r="CL13" s="35">
        <v>165.16432567620001</v>
      </c>
      <c r="CM13" s="35">
        <v>167.17997574060001</v>
      </c>
      <c r="CN13" s="35">
        <v>169.19562580499999</v>
      </c>
      <c r="CO13" s="35">
        <v>177.16432567620001</v>
      </c>
      <c r="CP13" s="35">
        <v>179.17997574060001</v>
      </c>
      <c r="CQ13" s="35">
        <v>181.19562580499999</v>
      </c>
      <c r="CR13" s="35">
        <v>183.2112758694</v>
      </c>
      <c r="CS13" s="35">
        <v>191.17997574060001</v>
      </c>
      <c r="CT13" s="35">
        <v>193.19562580499999</v>
      </c>
      <c r="CU13" s="35">
        <v>195.2112758694</v>
      </c>
      <c r="CV13" s="35">
        <v>197.2269259338</v>
      </c>
      <c r="CW13" s="35">
        <v>205.19562580499999</v>
      </c>
      <c r="CX13" s="35">
        <v>207.2112758694</v>
      </c>
      <c r="CY13" s="35">
        <v>209.2269259338</v>
      </c>
      <c r="CZ13" s="35">
        <v>211.24257599820001</v>
      </c>
      <c r="DA13" s="35">
        <v>219.2112758694</v>
      </c>
      <c r="DB13" s="35">
        <v>221.2269259338</v>
      </c>
      <c r="DC13" s="35">
        <v>223.24257599820001</v>
      </c>
      <c r="DD13" s="35">
        <v>225.25822606260002</v>
      </c>
      <c r="DE13" s="35">
        <v>233.2269259338</v>
      </c>
      <c r="DF13" s="35">
        <v>235.24257599820001</v>
      </c>
      <c r="DG13" s="35">
        <v>237.25822606260002</v>
      </c>
      <c r="DH13" s="35">
        <v>239.27387612699999</v>
      </c>
      <c r="DI13" s="35">
        <v>247.24257599820001</v>
      </c>
      <c r="DJ13" s="35">
        <v>249.25822606260002</v>
      </c>
      <c r="DK13" s="35">
        <v>251.27387612699999</v>
      </c>
      <c r="DL13" s="35">
        <v>253.2895261914</v>
      </c>
      <c r="DM13" s="35">
        <v>261.25822606259999</v>
      </c>
      <c r="DN13" s="35">
        <v>263.27387612699999</v>
      </c>
      <c r="DO13" s="35">
        <v>265.2895261914</v>
      </c>
      <c r="DP13" s="35">
        <v>267.30517625580001</v>
      </c>
      <c r="DQ13" s="35">
        <v>275.27387612699999</v>
      </c>
      <c r="DR13" s="35">
        <v>277.2895261914</v>
      </c>
      <c r="DS13" s="35">
        <v>279.30517625580001</v>
      </c>
      <c r="DT13" s="35">
        <v>281.32082632020001</v>
      </c>
      <c r="DU13" s="35">
        <v>289.2895261914</v>
      </c>
      <c r="DV13" s="35">
        <v>55.0547752254</v>
      </c>
      <c r="DW13" s="35">
        <v>57.070425289800006</v>
      </c>
      <c r="DX13" s="35">
        <v>69.070425289799999</v>
      </c>
      <c r="DY13" s="35">
        <v>71.086075354200005</v>
      </c>
      <c r="DZ13" s="35">
        <v>81.070425289799999</v>
      </c>
      <c r="EA13" s="35">
        <v>83.086075354200005</v>
      </c>
      <c r="EB13" s="35">
        <v>85.101725418599997</v>
      </c>
      <c r="EC13" s="35">
        <v>95.086075354200005</v>
      </c>
      <c r="ED13" s="35">
        <v>97.101725418599997</v>
      </c>
      <c r="EE13" s="35">
        <v>99.117375483000004</v>
      </c>
      <c r="EF13" s="35">
        <v>109.1017254186</v>
      </c>
      <c r="EG13" s="35">
        <v>111.117375483</v>
      </c>
      <c r="EH13" s="35">
        <v>113.13302554740001</v>
      </c>
      <c r="EI13" s="35">
        <v>123.117375483</v>
      </c>
      <c r="EJ13" s="35">
        <v>125.13302554740001</v>
      </c>
      <c r="EK13" s="35">
        <v>127.1486756118</v>
      </c>
      <c r="EL13" s="35">
        <v>137.1330255474</v>
      </c>
      <c r="EM13" s="35">
        <v>139.1486756118</v>
      </c>
      <c r="EN13" s="35">
        <v>141.16432567620001</v>
      </c>
      <c r="EO13" s="35">
        <v>149.1330255474</v>
      </c>
      <c r="EP13" s="35">
        <v>151.1486756118</v>
      </c>
      <c r="EQ13" s="35">
        <v>153.16432567620001</v>
      </c>
      <c r="ER13" s="35">
        <v>155.17997574060001</v>
      </c>
      <c r="ES13" s="35">
        <v>163.1486756118</v>
      </c>
      <c r="ET13" s="35">
        <v>165.16432567620001</v>
      </c>
      <c r="EU13" s="35">
        <v>167.17997574060001</v>
      </c>
      <c r="EV13" s="35">
        <v>169.19562580499999</v>
      </c>
      <c r="EW13" s="35">
        <v>177.16432567620001</v>
      </c>
      <c r="EX13" s="35">
        <v>179.17997574060001</v>
      </c>
      <c r="EY13" s="35">
        <v>181.19562580499999</v>
      </c>
      <c r="EZ13" s="35">
        <v>183.2112758694</v>
      </c>
      <c r="FA13" s="35">
        <v>191.17997574060001</v>
      </c>
      <c r="FB13" s="35">
        <v>193.19562580499999</v>
      </c>
      <c r="FC13" s="35">
        <v>195.2112758694</v>
      </c>
      <c r="FD13" s="35">
        <v>197.2269259338</v>
      </c>
      <c r="FE13" s="35">
        <v>205.19562580499999</v>
      </c>
      <c r="FF13" s="35">
        <v>207.2112758694</v>
      </c>
      <c r="FG13" s="35">
        <v>209.2269259338</v>
      </c>
      <c r="FH13" s="35">
        <v>211.24257599820001</v>
      </c>
      <c r="FI13" s="35">
        <v>219.2112758694</v>
      </c>
      <c r="FJ13" s="35">
        <v>221.2269259338</v>
      </c>
      <c r="FK13" s="35">
        <v>223.24257599820001</v>
      </c>
      <c r="FL13" s="35">
        <v>225.25822606260002</v>
      </c>
      <c r="FM13" s="35">
        <v>233.2269259338</v>
      </c>
      <c r="FN13" s="35">
        <v>235.24257599820001</v>
      </c>
      <c r="FO13" s="35">
        <v>237.25822606260002</v>
      </c>
      <c r="FP13" s="35">
        <v>239.27387612699999</v>
      </c>
      <c r="FQ13" s="35">
        <v>247.24257599820001</v>
      </c>
      <c r="FR13" s="35">
        <v>249.25822606260002</v>
      </c>
      <c r="FS13" s="35">
        <v>251.27387612699999</v>
      </c>
      <c r="FT13" s="35">
        <v>253.2895261914</v>
      </c>
      <c r="FU13" s="35">
        <v>261.25822606259999</v>
      </c>
      <c r="FV13" s="35">
        <v>263.27387612699999</v>
      </c>
      <c r="FW13" s="35">
        <v>265.2895261914</v>
      </c>
      <c r="FX13" s="35">
        <v>267.30517625580001</v>
      </c>
      <c r="FY13" s="35">
        <v>275.27387612699999</v>
      </c>
      <c r="FZ13" s="35">
        <v>277.2895261914</v>
      </c>
      <c r="GA13" s="35">
        <v>279.30517625580001</v>
      </c>
      <c r="GB13" s="35">
        <v>281.32082632020001</v>
      </c>
      <c r="GC13" s="35">
        <v>289.2895261914</v>
      </c>
      <c r="GD13" s="35">
        <v>0</v>
      </c>
      <c r="GE13" s="35">
        <v>203.62656250000001</v>
      </c>
      <c r="GF13" s="35">
        <v>25.453320312500001</v>
      </c>
      <c r="GG13" s="35">
        <v>3.1816650390625001</v>
      </c>
      <c r="GH13" s="35">
        <v>1.59083251953125</v>
      </c>
      <c r="GI13" s="36">
        <v>4.9152000000000022</v>
      </c>
      <c r="GJ13" s="36">
        <v>2</v>
      </c>
      <c r="GK13" s="35">
        <v>0</v>
      </c>
      <c r="GL13" s="35">
        <v>51.20000000000001</v>
      </c>
      <c r="GM13" s="35">
        <v>28.44444444444445</v>
      </c>
      <c r="GN13" s="35">
        <v>19.911111111111115</v>
      </c>
      <c r="GO13" s="35">
        <v>6.6370370370370386</v>
      </c>
      <c r="GP13" s="35">
        <v>32.400000000000006</v>
      </c>
      <c r="GQ13" s="35">
        <v>32.400000000000006</v>
      </c>
      <c r="GR13" s="35">
        <v>16.200000000000003</v>
      </c>
      <c r="GS13" s="35">
        <v>32.400000000000006</v>
      </c>
      <c r="GT13" s="35">
        <v>6.4800000000000013</v>
      </c>
      <c r="GU13" s="35">
        <v>15</v>
      </c>
      <c r="GV13" s="35">
        <v>3.75</v>
      </c>
      <c r="GW13" s="35">
        <v>25.919999999999998</v>
      </c>
      <c r="GX13" s="35">
        <v>12.959999999999999</v>
      </c>
      <c r="GY13" s="35">
        <v>51.20000000000001</v>
      </c>
      <c r="GZ13" s="35">
        <v>28.44444444444445</v>
      </c>
      <c r="HA13" s="35">
        <v>19.911111111111115</v>
      </c>
      <c r="HB13" s="35">
        <v>6.6370370370370386</v>
      </c>
      <c r="HC13" s="35">
        <v>32.400000000000006</v>
      </c>
      <c r="HD13" s="35">
        <v>32.400000000000006</v>
      </c>
      <c r="HE13" s="35">
        <v>16.200000000000003</v>
      </c>
      <c r="HF13" s="35">
        <v>32.400000000000006</v>
      </c>
      <c r="HG13" s="35">
        <v>6.4800000000000013</v>
      </c>
      <c r="HH13" s="35">
        <v>15</v>
      </c>
      <c r="HI13" s="35">
        <v>3.75</v>
      </c>
      <c r="HJ13" s="35">
        <v>25.919999999999998</v>
      </c>
      <c r="HK13" s="35">
        <v>12.959999999999999</v>
      </c>
      <c r="HL13" s="35">
        <v>5</v>
      </c>
      <c r="HM13" s="35">
        <v>0</v>
      </c>
      <c r="HN13" s="35">
        <v>0</v>
      </c>
      <c r="HO13" s="35">
        <v>0.98876953125</v>
      </c>
      <c r="HP13" s="35">
        <v>2.1075056052866707</v>
      </c>
      <c r="HQ13" s="35">
        <v>3.0174851417541504</v>
      </c>
      <c r="HR13" s="35">
        <v>2.9708693673190716</v>
      </c>
      <c r="HS13" s="35">
        <v>2.2525405883789063</v>
      </c>
      <c r="HT13" s="35">
        <v>7.5084686279296875</v>
      </c>
      <c r="HU13" s="35">
        <v>3.4767591328242213</v>
      </c>
      <c r="HV13" s="35">
        <v>5.6800657510757446</v>
      </c>
      <c r="HW13" s="35">
        <v>25.633343316745989</v>
      </c>
      <c r="HX13" s="35">
        <v>2.1443382390127956</v>
      </c>
      <c r="HY13" s="35">
        <v>12.65625</v>
      </c>
      <c r="HZ13" s="35">
        <v>31.640625</v>
      </c>
      <c r="IA13" s="35">
        <v>1.3075848379102815</v>
      </c>
      <c r="IB13" s="35">
        <v>9.8997739706053487</v>
      </c>
      <c r="IC13" s="35">
        <v>25.633343316745989</v>
      </c>
      <c r="ID13" s="35">
        <v>1.4856622667273556</v>
      </c>
      <c r="IE13" s="35">
        <v>7.6747706971322343</v>
      </c>
      <c r="IF13" s="35">
        <v>20.608180575632847</v>
      </c>
      <c r="IG13" s="35">
        <v>1.6792153441561728</v>
      </c>
      <c r="IH13" s="35">
        <v>5.4268824039940089</v>
      </c>
      <c r="II13" s="35">
        <v>5.8929464605472841</v>
      </c>
      <c r="IJ13" s="35">
        <v>16.432254553449162</v>
      </c>
      <c r="IK13" s="35">
        <v>1.8888888888888888</v>
      </c>
      <c r="IL13" s="35">
        <v>4.1669424034222482</v>
      </c>
      <c r="IM13" s="35">
        <v>4.4781549876159294</v>
      </c>
      <c r="IN13" s="35">
        <v>12.986649464086197</v>
      </c>
      <c r="IO13" s="35">
        <v>1.6792153441561728</v>
      </c>
      <c r="IP13" s="35">
        <v>3.1665337589475833</v>
      </c>
      <c r="IQ13" s="35">
        <v>3.3650982720214704</v>
      </c>
      <c r="IR13" s="35">
        <v>10.165401030064857</v>
      </c>
      <c r="IS13" s="35">
        <v>1.4856622667273556</v>
      </c>
      <c r="IT13" s="35">
        <v>2.3794838075055149</v>
      </c>
      <c r="IU13" s="35">
        <v>2.4981235396517394</v>
      </c>
      <c r="IV13" s="35">
        <v>7.8745198532500478</v>
      </c>
      <c r="IW13" s="35">
        <v>1.3075848379102815</v>
      </c>
      <c r="IX13" s="35">
        <v>1.7664400951294859</v>
      </c>
      <c r="IY13" s="35">
        <v>1.8301126602008719</v>
      </c>
      <c r="IZ13" s="35">
        <v>6.031053084752874</v>
      </c>
      <c r="JA13" s="35">
        <v>1.1443382390127954</v>
      </c>
      <c r="JB13" s="35">
        <v>1.2940850723633883</v>
      </c>
      <c r="JC13" s="35">
        <v>1.321460307233514</v>
      </c>
      <c r="JD13" s="35">
        <v>4.5621843940204645</v>
      </c>
      <c r="JE13" s="35">
        <v>0.99527765134274004</v>
      </c>
      <c r="JF13" s="35">
        <v>0.93441354431367618</v>
      </c>
      <c r="JG13" s="35">
        <v>0.93913716885887322</v>
      </c>
      <c r="JH13" s="35">
        <v>3.4043722371134146</v>
      </c>
      <c r="JI13" s="35">
        <v>0.8597582562079602</v>
      </c>
      <c r="JJ13" s="35">
        <v>0.66407026056444496</v>
      </c>
      <c r="JK13" s="35">
        <v>0.6558345111620445</v>
      </c>
      <c r="JL13" s="35">
        <v>2.5025264241709593</v>
      </c>
      <c r="JM13" s="35">
        <v>0.73713523491630029</v>
      </c>
      <c r="JN13" s="35">
        <v>0.46374503017884611</v>
      </c>
      <c r="JO13" s="35">
        <v>0.4491863965399755</v>
      </c>
      <c r="JP13" s="35">
        <v>1.8092229860637898</v>
      </c>
      <c r="JQ13" s="35">
        <v>0.62676376877560303</v>
      </c>
      <c r="JR13" s="35">
        <v>0.31762274701016618</v>
      </c>
      <c r="JS13" s="35">
        <v>0.3010658590894742</v>
      </c>
      <c r="JT13" s="35">
        <v>1.283957340234521</v>
      </c>
      <c r="JU13" s="35">
        <v>0.52799903909371371</v>
      </c>
      <c r="JV13" s="35">
        <v>0.21288571054592076</v>
      </c>
      <c r="JW13" s="35">
        <v>0.98876953125</v>
      </c>
      <c r="JX13" s="35">
        <v>2.1075056052866707</v>
      </c>
      <c r="JY13" s="35">
        <v>3.0174851417541504</v>
      </c>
      <c r="JZ13" s="35">
        <v>2.9708693673190716</v>
      </c>
      <c r="KA13" s="35">
        <v>2.2525405883789063</v>
      </c>
      <c r="KB13" s="35">
        <v>7.5084686279296875</v>
      </c>
      <c r="KC13" s="35">
        <v>3.4767591328242213</v>
      </c>
      <c r="KD13" s="35">
        <v>5.6800657510757446</v>
      </c>
      <c r="KE13" s="35">
        <v>25.633343316745989</v>
      </c>
      <c r="KF13" s="35">
        <v>2.1443382390127956</v>
      </c>
      <c r="KG13" s="35">
        <v>12.65625</v>
      </c>
      <c r="KH13" s="35">
        <v>31.640625</v>
      </c>
      <c r="KI13" s="35">
        <v>1.3075848379102815</v>
      </c>
      <c r="KJ13" s="35">
        <v>9.8997739706053487</v>
      </c>
      <c r="KK13" s="35">
        <v>25.633343316745989</v>
      </c>
      <c r="KL13" s="35">
        <v>1.4856622667273556</v>
      </c>
      <c r="KM13" s="35">
        <v>7.6747706971322343</v>
      </c>
      <c r="KN13" s="35">
        <v>20.608180575632847</v>
      </c>
      <c r="KO13" s="35">
        <v>1.6792153441561728</v>
      </c>
      <c r="KP13" s="35">
        <v>5.4268824039940089</v>
      </c>
      <c r="KQ13" s="35">
        <v>5.8929464605472841</v>
      </c>
      <c r="KR13" s="35">
        <v>16.432254553449162</v>
      </c>
      <c r="KS13" s="35">
        <v>1.8888888888888888</v>
      </c>
      <c r="KT13" s="35">
        <v>4.1669424034222482</v>
      </c>
      <c r="KU13" s="35">
        <v>4.4781549876159294</v>
      </c>
      <c r="KV13" s="35">
        <v>12.986649464086197</v>
      </c>
      <c r="KW13" s="35">
        <v>1.6792153441561728</v>
      </c>
      <c r="KX13" s="35">
        <v>3.1665337589475833</v>
      </c>
      <c r="KY13" s="35">
        <v>3.3650982720214704</v>
      </c>
      <c r="KZ13" s="35">
        <v>10.165401030064857</v>
      </c>
      <c r="LA13" s="35">
        <v>1.4856622667273556</v>
      </c>
      <c r="LB13" s="35">
        <v>2.3794838075055149</v>
      </c>
      <c r="LC13" s="35">
        <v>2.4981235396517394</v>
      </c>
      <c r="LD13" s="35">
        <v>7.8745198532500478</v>
      </c>
      <c r="LE13" s="35">
        <v>1.3075848379102815</v>
      </c>
      <c r="LF13" s="35">
        <v>1.7664400951294859</v>
      </c>
      <c r="LG13" s="35">
        <v>1.8301126602008719</v>
      </c>
      <c r="LH13" s="35">
        <v>6.031053084752874</v>
      </c>
      <c r="LI13" s="35">
        <v>1.1443382390127954</v>
      </c>
      <c r="LJ13" s="35">
        <v>1.2940850723633883</v>
      </c>
      <c r="LK13" s="35">
        <v>1.321460307233514</v>
      </c>
      <c r="LL13" s="35">
        <v>4.5621843940204645</v>
      </c>
      <c r="LM13" s="35">
        <v>0.99527765134274004</v>
      </c>
      <c r="LN13" s="35">
        <v>0.93441354431367618</v>
      </c>
      <c r="LO13" s="35">
        <v>0.93913716885887322</v>
      </c>
      <c r="LP13" s="35">
        <v>3.4043722371134146</v>
      </c>
      <c r="LQ13" s="35">
        <v>0.8597582562079602</v>
      </c>
      <c r="LR13" s="35">
        <v>0.66407026056444496</v>
      </c>
      <c r="LS13" s="35">
        <v>0.6558345111620445</v>
      </c>
      <c r="LT13" s="35">
        <v>2.5025264241709593</v>
      </c>
      <c r="LU13" s="35">
        <v>0.73713523491630029</v>
      </c>
      <c r="LV13" s="35">
        <v>0.46374503017884611</v>
      </c>
      <c r="LW13" s="35">
        <v>0.4491863965399755</v>
      </c>
      <c r="LX13" s="35">
        <v>1.8092229860637898</v>
      </c>
      <c r="LY13" s="35">
        <v>0.62676376877560303</v>
      </c>
      <c r="LZ13" s="35">
        <v>0.31762274701016618</v>
      </c>
      <c r="MA13" s="35">
        <v>0.3010658590894742</v>
      </c>
      <c r="MB13" s="35">
        <v>1.283957340234521</v>
      </c>
      <c r="MC13" s="35">
        <v>0.52799903909371371</v>
      </c>
      <c r="MD13" s="35">
        <v>0.21288571054592076</v>
      </c>
    </row>
    <row r="14" spans="1:343" s="4" customFormat="1" ht="14.25" x14ac:dyDescent="0.2">
      <c r="A14" s="4">
        <v>8</v>
      </c>
      <c r="B14" s="16" t="s">
        <v>674</v>
      </c>
      <c r="C14" s="16" t="s">
        <v>437</v>
      </c>
      <c r="D14" s="16" t="s">
        <v>149</v>
      </c>
      <c r="E14" s="16" t="s">
        <v>437</v>
      </c>
      <c r="F14" s="31" t="s">
        <v>153</v>
      </c>
      <c r="G14" s="31" t="s">
        <v>154</v>
      </c>
      <c r="H14" s="32">
        <v>-1</v>
      </c>
      <c r="I14" s="33">
        <v>26.94</v>
      </c>
      <c r="J14" s="34">
        <v>20.2182</v>
      </c>
      <c r="K14" s="32" t="s">
        <v>155</v>
      </c>
      <c r="L14" s="16">
        <v>0</v>
      </c>
      <c r="M14" s="16">
        <v>2</v>
      </c>
      <c r="N14" s="16" t="s">
        <v>437</v>
      </c>
      <c r="O14" s="16">
        <v>0</v>
      </c>
      <c r="P14" s="16">
        <v>0</v>
      </c>
      <c r="Q14" s="16">
        <v>1</v>
      </c>
      <c r="R14" s="16">
        <v>3</v>
      </c>
      <c r="S14" s="16">
        <v>0</v>
      </c>
      <c r="T14" s="16">
        <v>40</v>
      </c>
      <c r="U14" s="16">
        <v>0</v>
      </c>
      <c r="V14" s="16">
        <v>40</v>
      </c>
      <c r="W14" s="16">
        <v>0</v>
      </c>
      <c r="X14" s="16" t="s">
        <v>437</v>
      </c>
      <c r="Y14" s="35">
        <v>1056.7328398384002</v>
      </c>
      <c r="Z14" s="35">
        <v>1038.7222798384003</v>
      </c>
      <c r="AA14" s="35">
        <v>1056.7328398384002</v>
      </c>
      <c r="AB14" s="35">
        <v>1038.7222798384003</v>
      </c>
      <c r="AC14" s="35">
        <v>1618.3662648384</v>
      </c>
      <c r="AD14" s="35">
        <v>1294.2606179984</v>
      </c>
      <c r="AE14" s="35">
        <v>1276.2500533144</v>
      </c>
      <c r="AF14" s="35">
        <v>1258.2394886304</v>
      </c>
      <c r="AG14" s="35">
        <v>1240.2289239464001</v>
      </c>
      <c r="AH14" s="35">
        <v>1220.223838566</v>
      </c>
      <c r="AI14" s="35">
        <v>1202.2132738820001</v>
      </c>
      <c r="AJ14" s="35">
        <v>1110.1659297656001</v>
      </c>
      <c r="AK14" s="35">
        <v>737.66591548680003</v>
      </c>
      <c r="AL14" s="35">
        <v>719.65535080280006</v>
      </c>
      <c r="AM14" s="35">
        <v>701.64478611880008</v>
      </c>
      <c r="AN14" s="35">
        <v>683.63422143480011</v>
      </c>
      <c r="AO14" s="35">
        <v>663.62913605440008</v>
      </c>
      <c r="AP14" s="35">
        <v>645.6185713704001</v>
      </c>
      <c r="AQ14" s="35">
        <v>627.60800668640013</v>
      </c>
      <c r="AR14" s="35">
        <v>609.59744200240016</v>
      </c>
      <c r="AS14" s="35">
        <v>591.58687731840018</v>
      </c>
      <c r="AT14" s="35">
        <v>607.6029213060001</v>
      </c>
      <c r="AU14" s="35">
        <v>589.59235662200012</v>
      </c>
      <c r="AV14" s="35">
        <v>555.58687751160005</v>
      </c>
      <c r="AW14" s="35">
        <v>573.59744219560002</v>
      </c>
      <c r="AX14" s="35">
        <v>741.69721561560004</v>
      </c>
      <c r="AY14" s="35">
        <v>723.68665093160007</v>
      </c>
      <c r="AZ14" s="35">
        <v>705.6760862476001</v>
      </c>
      <c r="BA14" s="35">
        <v>687.66552156360012</v>
      </c>
      <c r="BB14" s="35">
        <v>667.66043618320009</v>
      </c>
      <c r="BC14" s="35">
        <v>649.64987149920012</v>
      </c>
      <c r="BD14" s="35">
        <v>631.63930681520014</v>
      </c>
      <c r="BE14" s="35">
        <v>613.62874213120017</v>
      </c>
      <c r="BF14" s="35">
        <v>595.6181774472002</v>
      </c>
      <c r="BG14" s="35">
        <v>611.63422143480011</v>
      </c>
      <c r="BH14" s="35">
        <v>593.62365675080014</v>
      </c>
      <c r="BI14" s="35">
        <v>551.55557738280004</v>
      </c>
      <c r="BJ14" s="35">
        <v>569.56614206680001</v>
      </c>
      <c r="BK14" s="35">
        <v>163.06064842000001</v>
      </c>
      <c r="BL14" s="35">
        <v>0</v>
      </c>
      <c r="BM14" s="35">
        <v>0</v>
      </c>
      <c r="BN14" s="35">
        <v>55.0547752254</v>
      </c>
      <c r="BO14" s="35">
        <v>57.070425289800006</v>
      </c>
      <c r="BP14" s="35">
        <v>69.070425289799999</v>
      </c>
      <c r="BQ14" s="35">
        <v>71.086075354200005</v>
      </c>
      <c r="BR14" s="35">
        <v>81.070425289799999</v>
      </c>
      <c r="BS14" s="35">
        <v>83.086075354200005</v>
      </c>
      <c r="BT14" s="35">
        <v>85.101725418599997</v>
      </c>
      <c r="BU14" s="35">
        <v>95.086075354200005</v>
      </c>
      <c r="BV14" s="35">
        <v>97.101725418599997</v>
      </c>
      <c r="BW14" s="35">
        <v>99.117375483000004</v>
      </c>
      <c r="BX14" s="35">
        <v>109.1017254186</v>
      </c>
      <c r="BY14" s="35">
        <v>111.117375483</v>
      </c>
      <c r="BZ14" s="35">
        <v>113.13302554740001</v>
      </c>
      <c r="CA14" s="35">
        <v>123.117375483</v>
      </c>
      <c r="CB14" s="35">
        <v>125.13302554740001</v>
      </c>
      <c r="CC14" s="35">
        <v>127.1486756118</v>
      </c>
      <c r="CD14" s="35">
        <v>137.1330255474</v>
      </c>
      <c r="CE14" s="35">
        <v>139.1486756118</v>
      </c>
      <c r="CF14" s="35">
        <v>141.16432567620001</v>
      </c>
      <c r="CG14" s="35">
        <v>151.1486756118</v>
      </c>
      <c r="CH14" s="35">
        <v>153.16432567620001</v>
      </c>
      <c r="CI14" s="35">
        <v>155.17997574060001</v>
      </c>
      <c r="CJ14" s="35">
        <v>165.16432567620001</v>
      </c>
      <c r="CK14" s="35">
        <v>167.17997574060001</v>
      </c>
      <c r="CL14" s="35">
        <v>169.19562580499999</v>
      </c>
      <c r="CM14" s="35">
        <v>179.17997574060001</v>
      </c>
      <c r="CN14" s="35">
        <v>181.19562580499999</v>
      </c>
      <c r="CO14" s="35">
        <v>183.2112758694</v>
      </c>
      <c r="CP14" s="35">
        <v>193.19562580499999</v>
      </c>
      <c r="CQ14" s="35">
        <v>195.2112758694</v>
      </c>
      <c r="CR14" s="35">
        <v>197.2269259338</v>
      </c>
      <c r="CS14" s="35">
        <v>207.2112758694</v>
      </c>
      <c r="CT14" s="35">
        <v>209.2269259338</v>
      </c>
      <c r="CU14" s="35">
        <v>211.24257599820001</v>
      </c>
      <c r="CV14" s="35">
        <v>221.2269259338</v>
      </c>
      <c r="CW14" s="35">
        <v>223.24257599820001</v>
      </c>
      <c r="CX14" s="35">
        <v>225.25822606260002</v>
      </c>
      <c r="CY14" s="35">
        <v>235.24257599820001</v>
      </c>
      <c r="CZ14" s="35">
        <v>237.25822606260002</v>
      </c>
      <c r="DA14" s="35">
        <v>239.27387612699999</v>
      </c>
      <c r="DB14" s="35">
        <v>249.25822606260002</v>
      </c>
      <c r="DC14" s="35">
        <v>251.27387612699999</v>
      </c>
      <c r="DD14" s="35">
        <v>253.2895261914</v>
      </c>
      <c r="DE14" s="35">
        <v>263.27387612699999</v>
      </c>
      <c r="DF14" s="35">
        <v>265.2895261914</v>
      </c>
      <c r="DG14" s="35">
        <v>267.30517625580001</v>
      </c>
      <c r="DH14" s="35">
        <v>277.2895261914</v>
      </c>
      <c r="DI14" s="35">
        <v>279.30517625580001</v>
      </c>
      <c r="DJ14" s="35">
        <v>281.32082632020001</v>
      </c>
      <c r="DK14" s="35">
        <v>291.30517625580001</v>
      </c>
      <c r="DL14" s="35">
        <v>293.32082632020001</v>
      </c>
      <c r="DM14" s="35">
        <v>295.33647638460002</v>
      </c>
      <c r="DN14" s="35">
        <v>305.32082632020001</v>
      </c>
      <c r="DO14" s="35">
        <v>307.33647638460002</v>
      </c>
      <c r="DP14" s="35">
        <v>309.35212644900002</v>
      </c>
      <c r="DQ14" s="35">
        <v>319.33647638460002</v>
      </c>
      <c r="DR14" s="35">
        <v>321.35212644900002</v>
      </c>
      <c r="DS14" s="35">
        <v>323.36777651340003</v>
      </c>
      <c r="DT14" s="35">
        <v>333.35212644900002</v>
      </c>
      <c r="DU14" s="35">
        <v>335.36777651340003</v>
      </c>
      <c r="DV14" s="35">
        <v>55.0547752254</v>
      </c>
      <c r="DW14" s="35">
        <v>57.070425289800006</v>
      </c>
      <c r="DX14" s="35">
        <v>69.070425289799999</v>
      </c>
      <c r="DY14" s="35">
        <v>71.086075354200005</v>
      </c>
      <c r="DZ14" s="35">
        <v>81.070425289799999</v>
      </c>
      <c r="EA14" s="35">
        <v>83.086075354200005</v>
      </c>
      <c r="EB14" s="35">
        <v>85.101725418599997</v>
      </c>
      <c r="EC14" s="35">
        <v>95.086075354200005</v>
      </c>
      <c r="ED14" s="35">
        <v>97.101725418599997</v>
      </c>
      <c r="EE14" s="35">
        <v>99.117375483000004</v>
      </c>
      <c r="EF14" s="35">
        <v>109.1017254186</v>
      </c>
      <c r="EG14" s="35">
        <v>111.117375483</v>
      </c>
      <c r="EH14" s="35">
        <v>113.13302554740001</v>
      </c>
      <c r="EI14" s="35">
        <v>123.117375483</v>
      </c>
      <c r="EJ14" s="35">
        <v>125.13302554740001</v>
      </c>
      <c r="EK14" s="35">
        <v>127.1486756118</v>
      </c>
      <c r="EL14" s="35">
        <v>137.1330255474</v>
      </c>
      <c r="EM14" s="35">
        <v>139.1486756118</v>
      </c>
      <c r="EN14" s="35">
        <v>141.16432567620001</v>
      </c>
      <c r="EO14" s="35">
        <v>149.1330255474</v>
      </c>
      <c r="EP14" s="35">
        <v>151.1486756118</v>
      </c>
      <c r="EQ14" s="35">
        <v>153.16432567620001</v>
      </c>
      <c r="ER14" s="35">
        <v>155.17997574060001</v>
      </c>
      <c r="ES14" s="35">
        <v>163.1486756118</v>
      </c>
      <c r="ET14" s="35">
        <v>165.16432567620001</v>
      </c>
      <c r="EU14" s="35">
        <v>167.17997574060001</v>
      </c>
      <c r="EV14" s="35">
        <v>169.19562580499999</v>
      </c>
      <c r="EW14" s="35">
        <v>177.16432567620001</v>
      </c>
      <c r="EX14" s="35">
        <v>179.17997574060001</v>
      </c>
      <c r="EY14" s="35">
        <v>181.19562580499999</v>
      </c>
      <c r="EZ14" s="35">
        <v>183.2112758694</v>
      </c>
      <c r="FA14" s="35">
        <v>191.17997574060001</v>
      </c>
      <c r="FB14" s="35">
        <v>193.19562580499999</v>
      </c>
      <c r="FC14" s="35">
        <v>195.2112758694</v>
      </c>
      <c r="FD14" s="35">
        <v>197.2269259338</v>
      </c>
      <c r="FE14" s="35">
        <v>205.19562580499999</v>
      </c>
      <c r="FF14" s="35">
        <v>207.2112758694</v>
      </c>
      <c r="FG14" s="35">
        <v>209.2269259338</v>
      </c>
      <c r="FH14" s="35">
        <v>211.24257599820001</v>
      </c>
      <c r="FI14" s="35">
        <v>217.19562580499999</v>
      </c>
      <c r="FJ14" s="35">
        <v>219.2112758694</v>
      </c>
      <c r="FK14" s="35">
        <v>221.2269259338</v>
      </c>
      <c r="FL14" s="35">
        <v>223.24257599820001</v>
      </c>
      <c r="FM14" s="35">
        <v>225.25822606260002</v>
      </c>
      <c r="FN14" s="35">
        <v>231.2112758694</v>
      </c>
      <c r="FO14" s="35">
        <v>233.2269259338</v>
      </c>
      <c r="FP14" s="35">
        <v>235.24257599820001</v>
      </c>
      <c r="FQ14" s="35">
        <v>237.25822606260002</v>
      </c>
      <c r="FR14" s="35">
        <v>239.27387612699999</v>
      </c>
      <c r="FS14" s="35">
        <v>245.2269259338</v>
      </c>
      <c r="FT14" s="35">
        <v>247.24257599820001</v>
      </c>
      <c r="FU14" s="35">
        <v>249.25822606260002</v>
      </c>
      <c r="FV14" s="35">
        <v>251.27387612699999</v>
      </c>
      <c r="FW14" s="35">
        <v>253.2895261914</v>
      </c>
      <c r="FX14" s="35">
        <v>259.24257599819998</v>
      </c>
      <c r="FY14" s="35">
        <v>261.25822606259999</v>
      </c>
      <c r="FZ14" s="35">
        <v>263.27387612699999</v>
      </c>
      <c r="GA14" s="35">
        <v>265.2895261914</v>
      </c>
      <c r="GB14" s="35">
        <v>267.30517625580001</v>
      </c>
      <c r="GC14" s="35">
        <v>273.25822606259999</v>
      </c>
      <c r="GD14" s="35">
        <v>0</v>
      </c>
      <c r="GE14" s="35">
        <v>203.62656250000001</v>
      </c>
      <c r="GF14" s="35">
        <v>25.453320312500001</v>
      </c>
      <c r="GG14" s="35">
        <v>3.1816650390625001</v>
      </c>
      <c r="GH14" s="35">
        <v>1.59083251953125</v>
      </c>
      <c r="GI14" s="36">
        <v>4.9152000000000022</v>
      </c>
      <c r="GJ14" s="36">
        <v>2</v>
      </c>
      <c r="GK14" s="35">
        <v>0</v>
      </c>
      <c r="GL14" s="35">
        <v>20.480000000000004</v>
      </c>
      <c r="GM14" s="35">
        <v>11.37777777777778</v>
      </c>
      <c r="GN14" s="35">
        <v>7.9644444444444451</v>
      </c>
      <c r="GO14" s="35">
        <v>2.6548148148148152</v>
      </c>
      <c r="GP14" s="35">
        <v>29.160000000000004</v>
      </c>
      <c r="GQ14" s="35">
        <v>29.160000000000004</v>
      </c>
      <c r="GR14" s="35">
        <v>14.580000000000002</v>
      </c>
      <c r="GS14" s="35">
        <v>29.160000000000004</v>
      </c>
      <c r="GT14" s="35">
        <v>5.8320000000000007</v>
      </c>
      <c r="GU14" s="35">
        <v>15</v>
      </c>
      <c r="GV14" s="35">
        <v>3.75</v>
      </c>
      <c r="GW14" s="35">
        <v>21.599999999999998</v>
      </c>
      <c r="GX14" s="35">
        <v>10.799999999999999</v>
      </c>
      <c r="GY14" s="35">
        <v>64</v>
      </c>
      <c r="GZ14" s="35">
        <v>35.555555555555557</v>
      </c>
      <c r="HA14" s="35">
        <v>24.888888888888889</v>
      </c>
      <c r="HB14" s="35">
        <v>8.2962962962962958</v>
      </c>
      <c r="HC14" s="35">
        <v>36</v>
      </c>
      <c r="HD14" s="35">
        <v>36</v>
      </c>
      <c r="HE14" s="35">
        <v>18</v>
      </c>
      <c r="HF14" s="35">
        <v>36</v>
      </c>
      <c r="HG14" s="35">
        <v>7.2</v>
      </c>
      <c r="HH14" s="35">
        <v>15</v>
      </c>
      <c r="HI14" s="35">
        <v>3.75</v>
      </c>
      <c r="HJ14" s="35">
        <v>15.552</v>
      </c>
      <c r="HK14" s="35">
        <v>7.7759999999999998</v>
      </c>
      <c r="HL14" s="35">
        <v>5</v>
      </c>
      <c r="HM14" s="35">
        <v>0</v>
      </c>
      <c r="HN14" s="35">
        <v>0</v>
      </c>
      <c r="HO14" s="35">
        <v>1.831817626953125</v>
      </c>
      <c r="HP14" s="35">
        <v>3.9085542785616756</v>
      </c>
      <c r="HQ14" s="35">
        <v>5.5902637541294098</v>
      </c>
      <c r="HR14" s="35">
        <v>6.6844560764679102</v>
      </c>
      <c r="HS14" s="35">
        <v>4.1731095314025879</v>
      </c>
      <c r="HT14" s="35">
        <v>13.910365104675293</v>
      </c>
      <c r="HU14" s="35">
        <v>8.2393747155211656</v>
      </c>
      <c r="HV14" s="35">
        <v>10.523023046553135</v>
      </c>
      <c r="HW14" s="35">
        <v>47.488933104557965</v>
      </c>
      <c r="HX14" s="35">
        <v>3.5747610377787895</v>
      </c>
      <c r="HY14" s="35">
        <v>23.447265625</v>
      </c>
      <c r="HZ14" s="35">
        <v>58.6181640625</v>
      </c>
      <c r="IA14" s="35">
        <v>2.9420658852981334</v>
      </c>
      <c r="IB14" s="35">
        <v>18.340553474863764</v>
      </c>
      <c r="IC14" s="35">
        <v>47.488933104557965</v>
      </c>
      <c r="ID14" s="35">
        <v>3.3427401001365502</v>
      </c>
      <c r="IE14" s="35">
        <v>14.218460218992666</v>
      </c>
      <c r="IF14" s="35">
        <v>38.179198736184006</v>
      </c>
      <c r="IG14" s="35">
        <v>3.7782345243513888</v>
      </c>
      <c r="IH14" s="35">
        <v>10.917410842418233</v>
      </c>
      <c r="II14" s="35">
        <v>30.44278023366623</v>
      </c>
      <c r="IJ14" s="35">
        <v>4.25</v>
      </c>
      <c r="IK14" s="35">
        <v>8.296334973198956</v>
      </c>
      <c r="IL14" s="35">
        <v>24.059371422276975</v>
      </c>
      <c r="IM14" s="35">
        <v>3.7782345243513888</v>
      </c>
      <c r="IN14" s="35">
        <v>6.2342599931508875</v>
      </c>
      <c r="IO14" s="35">
        <v>18.832660395976639</v>
      </c>
      <c r="IP14" s="35">
        <v>3.3427401001365502</v>
      </c>
      <c r="IQ14" s="35">
        <v>4.6280822675183844</v>
      </c>
      <c r="IR14" s="35">
        <v>14.588520191090559</v>
      </c>
      <c r="IS14" s="35">
        <v>2.9420658852981334</v>
      </c>
      <c r="IT14" s="35">
        <v>3.3905096428567076</v>
      </c>
      <c r="IU14" s="35">
        <v>11.173270413959607</v>
      </c>
      <c r="IV14" s="35">
        <v>2.5747610377787895</v>
      </c>
      <c r="IW14" s="35">
        <v>2.4481683623978912</v>
      </c>
      <c r="IX14" s="35">
        <v>8.4520098225641469</v>
      </c>
      <c r="IY14" s="35">
        <v>2.2393747155211652</v>
      </c>
      <c r="IZ14" s="35">
        <v>1.7398675481714156</v>
      </c>
      <c r="JA14" s="35">
        <v>6.30701986212138</v>
      </c>
      <c r="JB14" s="35">
        <v>1.9344560764679104</v>
      </c>
      <c r="JC14" s="35">
        <v>1.2150143991512878</v>
      </c>
      <c r="JD14" s="35">
        <v>4.6362391546562289</v>
      </c>
      <c r="JE14" s="35">
        <v>1.6585542785616756</v>
      </c>
      <c r="JF14" s="35">
        <v>0.83217325470098846</v>
      </c>
      <c r="JG14" s="35">
        <v>3.3518089425456479</v>
      </c>
      <c r="JH14" s="35">
        <v>1.4102184797451067</v>
      </c>
      <c r="JI14" s="35">
        <v>0.55776167258782994</v>
      </c>
      <c r="JJ14" s="35">
        <v>2.3786894860363308</v>
      </c>
      <c r="JK14" s="35">
        <v>1.1879978379608558</v>
      </c>
      <c r="JL14" s="35">
        <v>0.36487667083827779</v>
      </c>
      <c r="JM14" s="35">
        <v>1.6533474147359464</v>
      </c>
      <c r="JN14" s="35">
        <v>0.99044151115157042</v>
      </c>
      <c r="JO14" s="35">
        <v>0.23224428270574216</v>
      </c>
      <c r="JP14" s="35">
        <v>1.1225140330777554</v>
      </c>
      <c r="JQ14" s="35">
        <v>0.81609865725989961</v>
      </c>
      <c r="JR14" s="35">
        <v>0.14328557402237305</v>
      </c>
      <c r="JS14" s="35">
        <v>0.74201457975871821</v>
      </c>
      <c r="JT14" s="35">
        <v>0.66351843422849333</v>
      </c>
      <c r="JU14" s="35">
        <v>8.5292272206392447E-2</v>
      </c>
      <c r="JV14" s="35">
        <v>0.47566844115103485</v>
      </c>
      <c r="JW14" s="35">
        <v>0.476837158203125</v>
      </c>
      <c r="JX14" s="35">
        <v>1.5708885696404189</v>
      </c>
      <c r="JY14" s="35">
        <v>1.4551915228366852</v>
      </c>
      <c r="JZ14" s="35">
        <v>1.9523640191169775</v>
      </c>
      <c r="KA14" s="35">
        <v>1.0862946510314941</v>
      </c>
      <c r="KB14" s="35">
        <v>3.6209821701049805</v>
      </c>
      <c r="KC14" s="35">
        <v>2.1848436788802914</v>
      </c>
      <c r="KD14" s="35">
        <v>2.7392292395234108</v>
      </c>
      <c r="KE14" s="35">
        <v>12.361758929757904</v>
      </c>
      <c r="KF14" s="35">
        <v>1.6436902594446974</v>
      </c>
      <c r="KG14" s="35">
        <v>6.103515625</v>
      </c>
      <c r="KH14" s="35">
        <v>15.2587890625</v>
      </c>
      <c r="KI14" s="35">
        <v>0.73551647132453335</v>
      </c>
      <c r="KJ14" s="35">
        <v>4.7741965521823628</v>
      </c>
      <c r="KK14" s="35">
        <v>12.361758929757904</v>
      </c>
      <c r="KL14" s="35">
        <v>0.83568502503413755</v>
      </c>
      <c r="KM14" s="35">
        <v>3.7011818562559</v>
      </c>
      <c r="KN14" s="35">
        <v>9.938358688094544</v>
      </c>
      <c r="KO14" s="35">
        <v>0.94455863108784721</v>
      </c>
      <c r="KP14" s="35">
        <v>2.6171307889631601</v>
      </c>
      <c r="KQ14" s="35">
        <v>2.8418916187052878</v>
      </c>
      <c r="KR14" s="35">
        <v>7.9245054752358994</v>
      </c>
      <c r="KS14" s="35">
        <v>1.0625</v>
      </c>
      <c r="KT14" s="35">
        <v>2.0095208349837232</v>
      </c>
      <c r="KU14" s="35">
        <v>2.1596040642437933</v>
      </c>
      <c r="KV14" s="35">
        <v>6.2628517863070012</v>
      </c>
      <c r="KW14" s="35">
        <v>0.94455863108784721</v>
      </c>
      <c r="KX14" s="35">
        <v>1.5270706785048145</v>
      </c>
      <c r="KY14" s="35">
        <v>1.6228290277881319</v>
      </c>
      <c r="KZ14" s="35">
        <v>4.9022960214433144</v>
      </c>
      <c r="LA14" s="35">
        <v>0.83568502503413755</v>
      </c>
      <c r="LB14" s="35">
        <v>1.1475134102553601</v>
      </c>
      <c r="LC14" s="35">
        <v>1.2047277872548898</v>
      </c>
      <c r="LD14" s="35">
        <v>3.7975115033034568</v>
      </c>
      <c r="LE14" s="35">
        <v>0.73551647132453335</v>
      </c>
      <c r="LF14" s="35">
        <v>0.85187118785179694</v>
      </c>
      <c r="LG14" s="35">
        <v>0.8825774788777353</v>
      </c>
      <c r="LH14" s="35">
        <v>2.908493964483446</v>
      </c>
      <c r="LI14" s="35">
        <v>0.64369025944469738</v>
      </c>
      <c r="LJ14" s="35">
        <v>0.62407652023697346</v>
      </c>
      <c r="LK14" s="35">
        <v>2.0566158053263899</v>
      </c>
      <c r="LL14" s="35">
        <v>0.63727831174455729</v>
      </c>
      <c r="LM14" s="35">
        <v>2.2001275048323996</v>
      </c>
      <c r="LN14" s="35">
        <v>0.5598436788802913</v>
      </c>
      <c r="LO14" s="35">
        <v>0.45062381573769106</v>
      </c>
      <c r="LP14" s="35">
        <v>1.5557250781420282</v>
      </c>
      <c r="LQ14" s="35">
        <v>0.45290179825370042</v>
      </c>
      <c r="LR14" s="35">
        <v>1.6417690186696638</v>
      </c>
      <c r="LS14" s="35">
        <v>0.4836140191169776</v>
      </c>
      <c r="LT14" s="35">
        <v>0.32024993275677321</v>
      </c>
      <c r="LU14" s="35">
        <v>1.1609060062433028</v>
      </c>
      <c r="LV14" s="35">
        <v>0.31627821718848598</v>
      </c>
      <c r="LW14" s="35">
        <v>1.2068510919034332</v>
      </c>
      <c r="LX14" s="35">
        <v>0.4146385696404189</v>
      </c>
      <c r="LY14" s="35">
        <v>0.22364247211557009</v>
      </c>
      <c r="LZ14" s="35">
        <v>0.85337259096730689</v>
      </c>
      <c r="MA14" s="35">
        <v>0.21662152610917026</v>
      </c>
      <c r="MB14" s="35">
        <v>0.8725033690508246</v>
      </c>
      <c r="MC14" s="35">
        <v>0.35255461993627668</v>
      </c>
      <c r="MD14" s="35">
        <v>0.15317455006277303</v>
      </c>
    </row>
    <row r="15" spans="1:343" s="4" customFormat="1" ht="14.25" x14ac:dyDescent="0.2">
      <c r="A15" s="4">
        <v>9</v>
      </c>
      <c r="B15" s="16" t="s">
        <v>674</v>
      </c>
      <c r="C15" s="16" t="s">
        <v>438</v>
      </c>
      <c r="D15" s="16" t="s">
        <v>149</v>
      </c>
      <c r="E15" s="16" t="s">
        <v>438</v>
      </c>
      <c r="F15" s="31" t="s">
        <v>156</v>
      </c>
      <c r="G15" s="31" t="s">
        <v>157</v>
      </c>
      <c r="H15" s="32">
        <v>-1</v>
      </c>
      <c r="I15" s="33">
        <v>26.6</v>
      </c>
      <c r="J15" s="34">
        <v>20.2182</v>
      </c>
      <c r="K15" s="32" t="s">
        <v>158</v>
      </c>
      <c r="L15" s="16">
        <v>0</v>
      </c>
      <c r="M15" s="16">
        <v>2</v>
      </c>
      <c r="N15" s="16" t="s">
        <v>438</v>
      </c>
      <c r="O15" s="16">
        <v>0</v>
      </c>
      <c r="P15" s="16">
        <v>0</v>
      </c>
      <c r="Q15" s="16">
        <v>0</v>
      </c>
      <c r="R15" s="16">
        <v>4</v>
      </c>
      <c r="S15" s="16">
        <v>0</v>
      </c>
      <c r="T15" s="16">
        <v>40</v>
      </c>
      <c r="U15" s="16">
        <v>0</v>
      </c>
      <c r="V15" s="16">
        <v>40</v>
      </c>
      <c r="W15" s="16">
        <v>0</v>
      </c>
      <c r="X15" s="16" t="s">
        <v>438</v>
      </c>
      <c r="Y15" s="35">
        <v>1056.7328398384002</v>
      </c>
      <c r="Z15" s="35">
        <v>1038.7222798384003</v>
      </c>
      <c r="AA15" s="35">
        <v>1056.7328398384002</v>
      </c>
      <c r="AB15" s="35">
        <v>1038.7222798384003</v>
      </c>
      <c r="AC15" s="35">
        <v>1618.3662648384</v>
      </c>
      <c r="AD15" s="35">
        <v>1294.2606179984</v>
      </c>
      <c r="AE15" s="35">
        <v>1276.2500533144</v>
      </c>
      <c r="AF15" s="35">
        <v>1258.2394886304</v>
      </c>
      <c r="AG15" s="35">
        <v>1240.2289239464001</v>
      </c>
      <c r="AH15" s="35">
        <v>1220.223838566</v>
      </c>
      <c r="AI15" s="35">
        <v>1202.2132738820001</v>
      </c>
      <c r="AJ15" s="35">
        <v>1110.1659297656001</v>
      </c>
      <c r="AK15" s="35">
        <v>735.65026542240003</v>
      </c>
      <c r="AL15" s="35">
        <v>717.63970073840005</v>
      </c>
      <c r="AM15" s="35">
        <v>699.62913605440008</v>
      </c>
      <c r="AN15" s="35">
        <v>681.6185713704001</v>
      </c>
      <c r="AO15" s="35">
        <v>661.61348599000007</v>
      </c>
      <c r="AP15" s="35">
        <v>643.6029213060001</v>
      </c>
      <c r="AQ15" s="35">
        <v>625.59235662200012</v>
      </c>
      <c r="AR15" s="35">
        <v>607.58179193800015</v>
      </c>
      <c r="AS15" s="35">
        <v>589.57122725400018</v>
      </c>
      <c r="AT15" s="35">
        <v>605.58727124160009</v>
      </c>
      <c r="AU15" s="35">
        <v>587.57670655760012</v>
      </c>
      <c r="AV15" s="35">
        <v>557.60252757600006</v>
      </c>
      <c r="AW15" s="35">
        <v>575.61309226000003</v>
      </c>
      <c r="AX15" s="35">
        <v>743.71286568000005</v>
      </c>
      <c r="AY15" s="35">
        <v>725.70230099600008</v>
      </c>
      <c r="AZ15" s="35">
        <v>707.6917363120001</v>
      </c>
      <c r="BA15" s="35">
        <v>689.68117162800013</v>
      </c>
      <c r="BB15" s="35">
        <v>669.6760862476001</v>
      </c>
      <c r="BC15" s="35">
        <v>651.66552156360012</v>
      </c>
      <c r="BD15" s="35">
        <v>633.65495687960015</v>
      </c>
      <c r="BE15" s="35">
        <v>615.64439219560018</v>
      </c>
      <c r="BF15" s="35">
        <v>597.6338275116002</v>
      </c>
      <c r="BG15" s="35">
        <v>613.64987149920012</v>
      </c>
      <c r="BH15" s="35">
        <v>595.63930681520014</v>
      </c>
      <c r="BI15" s="35">
        <v>549.53992731840003</v>
      </c>
      <c r="BJ15" s="35">
        <v>567.55049200240001</v>
      </c>
      <c r="BK15" s="35">
        <v>163.06064842000001</v>
      </c>
      <c r="BL15" s="35">
        <v>0</v>
      </c>
      <c r="BM15" s="35">
        <v>0</v>
      </c>
      <c r="BN15" s="35">
        <v>55.0547752254</v>
      </c>
      <c r="BO15" s="35">
        <v>57.070425289800006</v>
      </c>
      <c r="BP15" s="35">
        <v>69.070425289799999</v>
      </c>
      <c r="BQ15" s="35">
        <v>71.086075354200005</v>
      </c>
      <c r="BR15" s="35">
        <v>83.086075354200005</v>
      </c>
      <c r="BS15" s="35">
        <v>85.101725418599997</v>
      </c>
      <c r="BT15" s="35">
        <v>97.101725418599997</v>
      </c>
      <c r="BU15" s="35">
        <v>99.117375483000004</v>
      </c>
      <c r="BV15" s="35">
        <v>111.117375483</v>
      </c>
      <c r="BW15" s="35">
        <v>113.13302554740001</v>
      </c>
      <c r="BX15" s="35">
        <v>125.13302554740001</v>
      </c>
      <c r="BY15" s="35">
        <v>127.1486756118</v>
      </c>
      <c r="BZ15" s="35">
        <v>139.1486756118</v>
      </c>
      <c r="CA15" s="35">
        <v>141.16432567620001</v>
      </c>
      <c r="CB15" s="35">
        <v>153.16432567620001</v>
      </c>
      <c r="CC15" s="35">
        <v>155.17997574060001</v>
      </c>
      <c r="CD15" s="35">
        <v>167.17997574060001</v>
      </c>
      <c r="CE15" s="35">
        <v>169.19562580499999</v>
      </c>
      <c r="CF15" s="35">
        <v>181.19562580499999</v>
      </c>
      <c r="CG15" s="35">
        <v>183.2112758694</v>
      </c>
      <c r="CH15" s="35">
        <v>195.2112758694</v>
      </c>
      <c r="CI15" s="35">
        <v>197.2269259338</v>
      </c>
      <c r="CJ15" s="35">
        <v>209.2269259338</v>
      </c>
      <c r="CK15" s="35">
        <v>211.24257599820001</v>
      </c>
      <c r="CL15" s="35">
        <v>223.24257599820001</v>
      </c>
      <c r="CM15" s="35">
        <v>225.25822606260002</v>
      </c>
      <c r="CN15" s="35">
        <v>237.25822606260002</v>
      </c>
      <c r="CO15" s="35">
        <v>239.27387612699999</v>
      </c>
      <c r="CP15" s="35">
        <v>251.27387612699999</v>
      </c>
      <c r="CQ15" s="35">
        <v>253.2895261914</v>
      </c>
      <c r="CR15" s="35">
        <v>265.2895261914</v>
      </c>
      <c r="CS15" s="35">
        <v>267.30517625580001</v>
      </c>
      <c r="CT15" s="35">
        <v>279.30517625580001</v>
      </c>
      <c r="CU15" s="35">
        <v>281.32082632020001</v>
      </c>
      <c r="CV15" s="35">
        <v>293.32082632020001</v>
      </c>
      <c r="CW15" s="35">
        <v>295.33647638460002</v>
      </c>
      <c r="CX15" s="35">
        <v>307.33647638460002</v>
      </c>
      <c r="CY15" s="35">
        <v>309.35212644900002</v>
      </c>
      <c r="CZ15" s="35">
        <v>321.35212644900002</v>
      </c>
      <c r="DA15" s="35">
        <v>323.36777651340003</v>
      </c>
      <c r="DB15" s="35">
        <v>335.36777651340003</v>
      </c>
      <c r="DC15" s="35">
        <v>337.38342657779998</v>
      </c>
      <c r="DD15" s="35">
        <v>349.38342657779998</v>
      </c>
      <c r="DE15" s="35">
        <v>351.39907664219999</v>
      </c>
      <c r="DF15" s="35">
        <v>363.39907664219999</v>
      </c>
      <c r="DG15" s="35">
        <v>365.41472670659999</v>
      </c>
      <c r="DH15" s="35">
        <v>377.41472670659999</v>
      </c>
      <c r="DI15" s="35">
        <v>379.430376771</v>
      </c>
      <c r="DJ15" s="35">
        <v>391.430376771</v>
      </c>
      <c r="DK15" s="35">
        <v>393.4460268354</v>
      </c>
      <c r="DL15" s="35">
        <v>405.4460268354</v>
      </c>
      <c r="DM15" s="35">
        <v>407.46167689980001</v>
      </c>
      <c r="DN15" s="35">
        <v>419.46167689980001</v>
      </c>
      <c r="DO15" s="35">
        <v>421.47732696420002</v>
      </c>
      <c r="DP15" s="35">
        <v>433.47732696420002</v>
      </c>
      <c r="DQ15" s="35">
        <v>435.49297702860002</v>
      </c>
      <c r="DR15" s="35">
        <v>447.49297702860002</v>
      </c>
      <c r="DS15" s="35">
        <v>449.50862709300003</v>
      </c>
      <c r="DT15" s="35">
        <v>461.50862709300003</v>
      </c>
      <c r="DU15" s="35">
        <v>463.52427715739998</v>
      </c>
      <c r="DV15" s="35">
        <v>55.0547752254</v>
      </c>
      <c r="DW15" s="35">
        <v>57.070425289800006</v>
      </c>
      <c r="DX15" s="35">
        <v>69.070425289799999</v>
      </c>
      <c r="DY15" s="35">
        <v>71.086075354200005</v>
      </c>
      <c r="DZ15" s="35">
        <v>81.070425289799999</v>
      </c>
      <c r="EA15" s="35">
        <v>83.086075354200005</v>
      </c>
      <c r="EB15" s="35">
        <v>85.101725418599997</v>
      </c>
      <c r="EC15" s="35">
        <v>95.086075354200005</v>
      </c>
      <c r="ED15" s="35">
        <v>97.101725418599997</v>
      </c>
      <c r="EE15" s="35">
        <v>99.117375483000004</v>
      </c>
      <c r="EF15" s="35">
        <v>109.1017254186</v>
      </c>
      <c r="EG15" s="35">
        <v>111.117375483</v>
      </c>
      <c r="EH15" s="35">
        <v>113.13302554740001</v>
      </c>
      <c r="EI15" s="35">
        <v>123.117375483</v>
      </c>
      <c r="EJ15" s="35">
        <v>125.13302554740001</v>
      </c>
      <c r="EK15" s="35">
        <v>127.1486756118</v>
      </c>
      <c r="EL15" s="35">
        <v>137.1330255474</v>
      </c>
      <c r="EM15" s="35">
        <v>139.1486756118</v>
      </c>
      <c r="EN15" s="35">
        <v>141.16432567620001</v>
      </c>
      <c r="EO15" s="35">
        <v>149.1330255474</v>
      </c>
      <c r="EP15" s="35">
        <v>151.1486756118</v>
      </c>
      <c r="EQ15" s="35">
        <v>153.16432567620001</v>
      </c>
      <c r="ER15" s="35">
        <v>155.17997574060001</v>
      </c>
      <c r="ES15" s="35">
        <v>163.1486756118</v>
      </c>
      <c r="ET15" s="35">
        <v>165.16432567620001</v>
      </c>
      <c r="EU15" s="35">
        <v>167.17997574060001</v>
      </c>
      <c r="EV15" s="35">
        <v>169.19562580499999</v>
      </c>
      <c r="EW15" s="35">
        <v>177.16432567620001</v>
      </c>
      <c r="EX15" s="35">
        <v>179.17997574060001</v>
      </c>
      <c r="EY15" s="35">
        <v>181.19562580499999</v>
      </c>
      <c r="EZ15" s="35">
        <v>183.2112758694</v>
      </c>
      <c r="FA15" s="35">
        <v>191.17997574060001</v>
      </c>
      <c r="FB15" s="35">
        <v>193.19562580499999</v>
      </c>
      <c r="FC15" s="35">
        <v>195.2112758694</v>
      </c>
      <c r="FD15" s="35">
        <v>197.2269259338</v>
      </c>
      <c r="FE15" s="35">
        <v>205.19562580499999</v>
      </c>
      <c r="FF15" s="35">
        <v>207.2112758694</v>
      </c>
      <c r="FG15" s="35">
        <v>209.2269259338</v>
      </c>
      <c r="FH15" s="35">
        <v>211.24257599820001</v>
      </c>
      <c r="FI15" s="35">
        <v>217.19562580499999</v>
      </c>
      <c r="FJ15" s="35">
        <v>219.2112758694</v>
      </c>
      <c r="FK15" s="35">
        <v>221.2269259338</v>
      </c>
      <c r="FL15" s="35">
        <v>223.24257599820001</v>
      </c>
      <c r="FM15" s="35">
        <v>225.25822606260002</v>
      </c>
      <c r="FN15" s="35">
        <v>231.2112758694</v>
      </c>
      <c r="FO15" s="35">
        <v>233.2269259338</v>
      </c>
      <c r="FP15" s="35">
        <v>235.24257599820001</v>
      </c>
      <c r="FQ15" s="35">
        <v>237.25822606260002</v>
      </c>
      <c r="FR15" s="35">
        <v>239.27387612699999</v>
      </c>
      <c r="FS15" s="35">
        <v>245.2269259338</v>
      </c>
      <c r="FT15" s="35">
        <v>247.24257599820001</v>
      </c>
      <c r="FU15" s="35">
        <v>249.25822606260002</v>
      </c>
      <c r="FV15" s="35">
        <v>251.27387612699999</v>
      </c>
      <c r="FW15" s="35">
        <v>253.2895261914</v>
      </c>
      <c r="FX15" s="35">
        <v>259.24257599819998</v>
      </c>
      <c r="FY15" s="35">
        <v>261.25822606259999</v>
      </c>
      <c r="FZ15" s="35">
        <v>263.27387612699999</v>
      </c>
      <c r="GA15" s="35">
        <v>265.2895261914</v>
      </c>
      <c r="GB15" s="35">
        <v>267.30517625580001</v>
      </c>
      <c r="GC15" s="35">
        <v>273.25822606259999</v>
      </c>
      <c r="GD15" s="35">
        <v>0</v>
      </c>
      <c r="GE15" s="35">
        <v>203.62656250000001</v>
      </c>
      <c r="GF15" s="35">
        <v>25.453320312500001</v>
      </c>
      <c r="GG15" s="35">
        <v>3.1816650390625001</v>
      </c>
      <c r="GH15" s="35">
        <v>1.59083251953125</v>
      </c>
      <c r="GI15" s="36">
        <v>4.9152000000000022</v>
      </c>
      <c r="GJ15" s="36">
        <v>2</v>
      </c>
      <c r="GK15" s="35">
        <v>0</v>
      </c>
      <c r="GL15" s="35">
        <v>16.384000000000007</v>
      </c>
      <c r="GM15" s="35">
        <v>9.1022222222222258</v>
      </c>
      <c r="GN15" s="35">
        <v>6.3715555555555579</v>
      </c>
      <c r="GO15" s="35">
        <v>2.1238518518518528</v>
      </c>
      <c r="GP15" s="35">
        <v>26.244000000000007</v>
      </c>
      <c r="GQ15" s="35">
        <v>26.244000000000007</v>
      </c>
      <c r="GR15" s="35">
        <v>13.122000000000003</v>
      </c>
      <c r="GS15" s="35">
        <v>26.244000000000007</v>
      </c>
      <c r="GT15" s="35">
        <v>5.248800000000001</v>
      </c>
      <c r="GU15" s="35">
        <v>15</v>
      </c>
      <c r="GV15" s="35">
        <v>3.75</v>
      </c>
      <c r="GW15" s="35">
        <v>18</v>
      </c>
      <c r="GX15" s="35">
        <v>9</v>
      </c>
      <c r="GY15" s="35">
        <v>80</v>
      </c>
      <c r="GZ15" s="35">
        <v>44.444444444444443</v>
      </c>
      <c r="HA15" s="35">
        <v>31.111111111111107</v>
      </c>
      <c r="HB15" s="35">
        <v>10.370370370370368</v>
      </c>
      <c r="HC15" s="35">
        <v>40</v>
      </c>
      <c r="HD15" s="35">
        <v>40</v>
      </c>
      <c r="HE15" s="35">
        <v>20</v>
      </c>
      <c r="HF15" s="35">
        <v>40</v>
      </c>
      <c r="HG15" s="35">
        <v>8</v>
      </c>
      <c r="HH15" s="35">
        <v>15</v>
      </c>
      <c r="HI15" s="35">
        <v>3.75</v>
      </c>
      <c r="HJ15" s="35">
        <v>7.4649599999999978</v>
      </c>
      <c r="HK15" s="35">
        <v>3.7324799999999989</v>
      </c>
      <c r="HL15" s="35">
        <v>5</v>
      </c>
      <c r="HM15" s="35">
        <v>0</v>
      </c>
      <c r="HN15" s="35">
        <v>0</v>
      </c>
      <c r="HO15" s="35">
        <v>3.125</v>
      </c>
      <c r="HP15" s="35">
        <v>17.634217114246702</v>
      </c>
      <c r="HQ15" s="35">
        <v>9.5367431640625</v>
      </c>
      <c r="HR15" s="35">
        <v>38.737824305871641</v>
      </c>
      <c r="HS15" s="35">
        <v>23.73046875</v>
      </c>
      <c r="HT15" s="35">
        <v>49.957498862084663</v>
      </c>
      <c r="HU15" s="35">
        <v>51.2908935546875</v>
      </c>
      <c r="HV15" s="35">
        <v>11.299044151115158</v>
      </c>
      <c r="HW15" s="35">
        <v>100</v>
      </c>
      <c r="HX15" s="35">
        <v>12.768263541192534</v>
      </c>
      <c r="HY15" s="35">
        <v>81.014023322061405</v>
      </c>
      <c r="HZ15" s="35">
        <v>13.370960400546201</v>
      </c>
      <c r="IA15" s="35">
        <v>65.132027498296409</v>
      </c>
      <c r="IB15" s="35">
        <v>15.112938097405555</v>
      </c>
      <c r="IC15" s="35">
        <v>51.93403908250599</v>
      </c>
      <c r="ID15" s="35">
        <v>17</v>
      </c>
      <c r="IE15" s="35">
        <v>41.044225466741565</v>
      </c>
      <c r="IF15" s="35">
        <v>15.112938097405555</v>
      </c>
      <c r="IG15" s="35">
        <v>32.127687206130908</v>
      </c>
      <c r="IH15" s="35">
        <v>13.370960400546201</v>
      </c>
      <c r="II15" s="35">
        <v>24.887371388049534</v>
      </c>
      <c r="IJ15" s="35">
        <v>11.768263541192534</v>
      </c>
      <c r="IK15" s="35">
        <v>19.061106045638713</v>
      </c>
      <c r="IL15" s="35">
        <v>10.299044151115158</v>
      </c>
      <c r="IM15" s="35">
        <v>14.418755615669616</v>
      </c>
      <c r="IN15" s="35">
        <v>8.9574988620846607</v>
      </c>
      <c r="IO15" s="35">
        <v>10.759497440753508</v>
      </c>
      <c r="IP15" s="35">
        <v>7.7378243058716416</v>
      </c>
      <c r="IQ15" s="35">
        <v>7.9092193158983397</v>
      </c>
      <c r="IR15" s="35">
        <v>6.6342171142467024</v>
      </c>
      <c r="IS15" s="35">
        <v>5.7180380794114836</v>
      </c>
      <c r="IT15" s="35">
        <v>5.6408739189804269</v>
      </c>
      <c r="IU15" s="35">
        <v>4.0579392481486094</v>
      </c>
      <c r="IV15" s="35">
        <v>4.7519913518434231</v>
      </c>
      <c r="IW15" s="35">
        <v>2.8205376971088865</v>
      </c>
      <c r="IX15" s="35">
        <v>3.9617660446062817</v>
      </c>
      <c r="IY15" s="35">
        <v>1.9149593833762957</v>
      </c>
      <c r="IZ15" s="35">
        <v>3.2643946290395984</v>
      </c>
      <c r="JA15" s="35">
        <v>1.2658441144072095</v>
      </c>
      <c r="JB15" s="35">
        <v>2.6540737369139733</v>
      </c>
      <c r="JC15" s="35">
        <v>0.81146936066415609</v>
      </c>
      <c r="JD15" s="35">
        <v>2.125</v>
      </c>
      <c r="JE15" s="35">
        <v>0.50199511259579543</v>
      </c>
      <c r="JF15" s="35">
        <v>1.6713700500682751</v>
      </c>
      <c r="JG15" s="35">
        <v>0.29782978196310489</v>
      </c>
      <c r="JH15" s="35">
        <v>1.2873805188893952</v>
      </c>
      <c r="JI15" s="35">
        <v>0.16811714751177356</v>
      </c>
      <c r="JJ15" s="35">
        <v>0.9672280382339552</v>
      </c>
      <c r="JK15" s="35">
        <v>8.9344344990804431E-2</v>
      </c>
      <c r="JL15" s="35">
        <v>0.70510923987255336</v>
      </c>
      <c r="JM15" s="35">
        <v>4.4070901517326351E-2</v>
      </c>
      <c r="JN15" s="35">
        <v>0.49522075557578521</v>
      </c>
      <c r="JO15" s="35">
        <v>1.9778814287612648E-2</v>
      </c>
      <c r="JP15" s="35">
        <v>0.33175921711424688</v>
      </c>
      <c r="JQ15" s="35">
        <v>7.8436736343093037E-3</v>
      </c>
      <c r="JR15" s="35">
        <v>0.20892125625853425</v>
      </c>
      <c r="JS15" s="35">
        <v>2.6268304298714619E-3</v>
      </c>
      <c r="JT15" s="35">
        <v>0.1209035047792444</v>
      </c>
      <c r="JU15" s="35">
        <v>6.8860783620822423E-4</v>
      </c>
      <c r="JV15" s="35">
        <v>6.1902594446973151E-2</v>
      </c>
      <c r="JW15" s="35">
        <v>0.1953125</v>
      </c>
      <c r="JX15" s="35">
        <v>1.3453686845698682</v>
      </c>
      <c r="JY15" s="35">
        <v>0.59604644775390625</v>
      </c>
      <c r="JZ15" s="35">
        <v>1.5495129722348657</v>
      </c>
      <c r="KA15" s="35">
        <v>0.4449462890625</v>
      </c>
      <c r="KB15" s="35">
        <v>1.483154296875</v>
      </c>
      <c r="KC15" s="35">
        <v>1.6782999544833865</v>
      </c>
      <c r="KD15" s="35">
        <v>1.1219882965087891</v>
      </c>
      <c r="KE15" s="35">
        <v>5.0633764576288378</v>
      </c>
      <c r="KF15" s="35">
        <v>1.4119617660446062</v>
      </c>
      <c r="KG15" s="35">
        <v>2.5</v>
      </c>
      <c r="KH15" s="35">
        <v>6.25</v>
      </c>
      <c r="KI15" s="35">
        <v>0.47073054164770134</v>
      </c>
      <c r="KJ15" s="35">
        <v>1.9555109077738959</v>
      </c>
      <c r="KK15" s="35">
        <v>5.0633764576288378</v>
      </c>
      <c r="KL15" s="35">
        <v>0.53483841602184801</v>
      </c>
      <c r="KM15" s="35">
        <v>1.5160040883224166</v>
      </c>
      <c r="KN15" s="35">
        <v>4.0707517186435256</v>
      </c>
      <c r="KO15" s="35">
        <v>0.60451752389622226</v>
      </c>
      <c r="KP15" s="35">
        <v>1.0719767711593104</v>
      </c>
      <c r="KQ15" s="35">
        <v>1.1640388070216858</v>
      </c>
      <c r="KR15" s="35">
        <v>3.2458774426566244</v>
      </c>
      <c r="KS15" s="35">
        <v>0.68</v>
      </c>
      <c r="KT15" s="35">
        <v>0.82309973400933301</v>
      </c>
      <c r="KU15" s="35">
        <v>0.88457382471425772</v>
      </c>
      <c r="KV15" s="35">
        <v>2.5652640916713478</v>
      </c>
      <c r="KW15" s="35">
        <v>0.60451752389622226</v>
      </c>
      <c r="KX15" s="35">
        <v>0.625488149915572</v>
      </c>
      <c r="KY15" s="35">
        <v>0.66471076978201882</v>
      </c>
      <c r="KZ15" s="35">
        <v>2.0079804503831817</v>
      </c>
      <c r="LA15" s="35">
        <v>0.53483841602184801</v>
      </c>
      <c r="LB15" s="35">
        <v>0.47002149284059552</v>
      </c>
      <c r="LC15" s="35">
        <v>0.49345650165960286</v>
      </c>
      <c r="LD15" s="35">
        <v>1.5554607117530959</v>
      </c>
      <c r="LE15" s="35">
        <v>0.47073054164770134</v>
      </c>
      <c r="LF15" s="35">
        <v>0.348926438544096</v>
      </c>
      <c r="LG15" s="35">
        <v>0.36150373534832037</v>
      </c>
      <c r="LH15" s="35">
        <v>1.1913191278524196</v>
      </c>
      <c r="LI15" s="35">
        <v>0.41196176604460633</v>
      </c>
      <c r="LJ15" s="35">
        <v>0.25562174268906435</v>
      </c>
      <c r="LK15" s="35">
        <v>0.84238983386168942</v>
      </c>
      <c r="LL15" s="35">
        <v>0.26102919649057066</v>
      </c>
      <c r="LM15" s="35">
        <v>0.90117222597935098</v>
      </c>
      <c r="LN15" s="35">
        <v>0.35829995448338642</v>
      </c>
      <c r="LO15" s="35">
        <v>0.18457551492615826</v>
      </c>
      <c r="LP15" s="35">
        <v>0.6372249920069748</v>
      </c>
      <c r="LQ15" s="35">
        <v>0.1855085765647157</v>
      </c>
      <c r="LR15" s="35">
        <v>0.67246859004709425</v>
      </c>
      <c r="LS15" s="35">
        <v>0.30951297223486568</v>
      </c>
      <c r="LT15" s="35">
        <v>0.13117437245717431</v>
      </c>
      <c r="LU15" s="35">
        <v>0.47550710015725678</v>
      </c>
      <c r="LV15" s="35">
        <v>0.12954755776040386</v>
      </c>
      <c r="LW15" s="35">
        <v>0.49432620724364623</v>
      </c>
      <c r="LX15" s="35">
        <v>0.26536868456986812</v>
      </c>
      <c r="LY15" s="35">
        <v>9.160395657853751E-2</v>
      </c>
      <c r="LZ15" s="35">
        <v>0.34954141326020888</v>
      </c>
      <c r="MA15" s="35">
        <v>8.8728177094316144E-2</v>
      </c>
      <c r="MB15" s="35">
        <v>0.35737737996321772</v>
      </c>
      <c r="MC15" s="35">
        <v>0.22563495675921708</v>
      </c>
      <c r="MD15" s="35">
        <v>6.2740295705711838E-2</v>
      </c>
    </row>
    <row r="16" spans="1:343" s="4" customFormat="1" ht="14.25" x14ac:dyDescent="0.2">
      <c r="A16" s="4">
        <v>10</v>
      </c>
      <c r="B16" s="16" t="s">
        <v>675</v>
      </c>
      <c r="C16" s="16" t="s">
        <v>439</v>
      </c>
      <c r="D16" s="16" t="s">
        <v>159</v>
      </c>
      <c r="E16" s="16" t="s">
        <v>439</v>
      </c>
      <c r="F16" s="31" t="s">
        <v>160</v>
      </c>
      <c r="G16" s="31" t="s">
        <v>161</v>
      </c>
      <c r="H16" s="32">
        <v>-1</v>
      </c>
      <c r="I16" s="33">
        <v>27.53</v>
      </c>
      <c r="J16" s="34">
        <v>19.828099999999999</v>
      </c>
      <c r="K16" s="32" t="s">
        <v>162</v>
      </c>
      <c r="L16" s="16">
        <v>0</v>
      </c>
      <c r="M16" s="16">
        <v>2</v>
      </c>
      <c r="N16" s="16" t="s">
        <v>439</v>
      </c>
      <c r="O16" s="16">
        <v>0</v>
      </c>
      <c r="P16" s="16">
        <v>0</v>
      </c>
      <c r="Q16" s="16">
        <v>3</v>
      </c>
      <c r="R16" s="16">
        <v>2</v>
      </c>
      <c r="S16" s="16">
        <v>0</v>
      </c>
      <c r="T16" s="16">
        <v>40</v>
      </c>
      <c r="U16" s="16">
        <v>0</v>
      </c>
      <c r="V16" s="16">
        <v>40</v>
      </c>
      <c r="W16" s="16">
        <v>0</v>
      </c>
      <c r="X16" s="16" t="s">
        <v>439</v>
      </c>
      <c r="Y16" s="35">
        <v>1054.717189774</v>
      </c>
      <c r="Z16" s="35">
        <v>1036.706629774</v>
      </c>
      <c r="AA16" s="35">
        <v>1054.717189774</v>
      </c>
      <c r="AB16" s="35">
        <v>1036.706629774</v>
      </c>
      <c r="AC16" s="35">
        <v>1616.350614774</v>
      </c>
      <c r="AD16" s="35">
        <v>1292.244967934</v>
      </c>
      <c r="AE16" s="35">
        <v>1274.23440325</v>
      </c>
      <c r="AF16" s="35">
        <v>1256.223838566</v>
      </c>
      <c r="AG16" s="35">
        <v>1238.2132738820001</v>
      </c>
      <c r="AH16" s="35">
        <v>1218.2081885016</v>
      </c>
      <c r="AI16" s="35">
        <v>1200.1976238176001</v>
      </c>
      <c r="AJ16" s="35">
        <v>1108.1502797012001</v>
      </c>
      <c r="AK16" s="35">
        <v>739.68156555120004</v>
      </c>
      <c r="AL16" s="35">
        <v>721.67100086720006</v>
      </c>
      <c r="AM16" s="35">
        <v>703.66043618320009</v>
      </c>
      <c r="AN16" s="35">
        <v>685.64987149920012</v>
      </c>
      <c r="AO16" s="35">
        <v>665.64478611880008</v>
      </c>
      <c r="AP16" s="35">
        <v>647.63422143480011</v>
      </c>
      <c r="AQ16" s="35">
        <v>629.62365675080014</v>
      </c>
      <c r="AR16" s="35">
        <v>611.61309206680016</v>
      </c>
      <c r="AS16" s="35">
        <v>593.60252738280019</v>
      </c>
      <c r="AT16" s="35">
        <v>609.6185713704001</v>
      </c>
      <c r="AU16" s="35">
        <v>591.60800668640013</v>
      </c>
      <c r="AV16" s="35">
        <v>551.55557738280004</v>
      </c>
      <c r="AW16" s="35">
        <v>569.56614206680001</v>
      </c>
      <c r="AX16" s="35">
        <v>737.66591548680003</v>
      </c>
      <c r="AY16" s="35">
        <v>719.65535080280006</v>
      </c>
      <c r="AZ16" s="35">
        <v>701.64478611880008</v>
      </c>
      <c r="BA16" s="35">
        <v>683.63422143480011</v>
      </c>
      <c r="BB16" s="35">
        <v>663.62913605440008</v>
      </c>
      <c r="BC16" s="35">
        <v>645.6185713704001</v>
      </c>
      <c r="BD16" s="35">
        <v>627.60800668640013</v>
      </c>
      <c r="BE16" s="35">
        <v>609.59744200240016</v>
      </c>
      <c r="BF16" s="35">
        <v>591.58687731840018</v>
      </c>
      <c r="BG16" s="35">
        <v>607.6029213060001</v>
      </c>
      <c r="BH16" s="35">
        <v>589.59235662200012</v>
      </c>
      <c r="BI16" s="35">
        <v>553.57122744720004</v>
      </c>
      <c r="BJ16" s="35">
        <v>571.58179213120002</v>
      </c>
      <c r="BK16" s="35">
        <v>163.06064842000001</v>
      </c>
      <c r="BL16" s="35">
        <v>0</v>
      </c>
      <c r="BM16" s="35">
        <v>0</v>
      </c>
      <c r="BN16" s="35">
        <v>55.0547752254</v>
      </c>
      <c r="BO16" s="35">
        <v>57.070425289800006</v>
      </c>
      <c r="BP16" s="35">
        <v>69.070425289799999</v>
      </c>
      <c r="BQ16" s="35">
        <v>71.086075354200005</v>
      </c>
      <c r="BR16" s="35">
        <v>81.070425289799999</v>
      </c>
      <c r="BS16" s="35">
        <v>83.086075354200005</v>
      </c>
      <c r="BT16" s="35">
        <v>85.101725418599997</v>
      </c>
      <c r="BU16" s="35">
        <v>95.086075354200005</v>
      </c>
      <c r="BV16" s="35">
        <v>97.101725418599997</v>
      </c>
      <c r="BW16" s="35">
        <v>99.117375483000004</v>
      </c>
      <c r="BX16" s="35">
        <v>109.1017254186</v>
      </c>
      <c r="BY16" s="35">
        <v>111.117375483</v>
      </c>
      <c r="BZ16" s="35">
        <v>113.13302554740001</v>
      </c>
      <c r="CA16" s="35">
        <v>123.117375483</v>
      </c>
      <c r="CB16" s="35">
        <v>125.13302554740001</v>
      </c>
      <c r="CC16" s="35">
        <v>127.1486756118</v>
      </c>
      <c r="CD16" s="35">
        <v>137.1330255474</v>
      </c>
      <c r="CE16" s="35">
        <v>139.1486756118</v>
      </c>
      <c r="CF16" s="35">
        <v>141.16432567620001</v>
      </c>
      <c r="CG16" s="35">
        <v>149.1330255474</v>
      </c>
      <c r="CH16" s="35">
        <v>151.1486756118</v>
      </c>
      <c r="CI16" s="35">
        <v>153.16432567620001</v>
      </c>
      <c r="CJ16" s="35">
        <v>155.17997574060001</v>
      </c>
      <c r="CK16" s="35">
        <v>163.1486756118</v>
      </c>
      <c r="CL16" s="35">
        <v>165.16432567620001</v>
      </c>
      <c r="CM16" s="35">
        <v>167.17997574060001</v>
      </c>
      <c r="CN16" s="35">
        <v>169.19562580499999</v>
      </c>
      <c r="CO16" s="35">
        <v>177.16432567620001</v>
      </c>
      <c r="CP16" s="35">
        <v>179.17997574060001</v>
      </c>
      <c r="CQ16" s="35">
        <v>181.19562580499999</v>
      </c>
      <c r="CR16" s="35">
        <v>183.2112758694</v>
      </c>
      <c r="CS16" s="35">
        <v>191.17997574060001</v>
      </c>
      <c r="CT16" s="35">
        <v>193.19562580499999</v>
      </c>
      <c r="CU16" s="35">
        <v>195.2112758694</v>
      </c>
      <c r="CV16" s="35">
        <v>197.2269259338</v>
      </c>
      <c r="CW16" s="35">
        <v>205.19562580499999</v>
      </c>
      <c r="CX16" s="35">
        <v>207.2112758694</v>
      </c>
      <c r="CY16" s="35">
        <v>209.2269259338</v>
      </c>
      <c r="CZ16" s="35">
        <v>211.24257599820001</v>
      </c>
      <c r="DA16" s="35">
        <v>217.19562580499999</v>
      </c>
      <c r="DB16" s="35">
        <v>219.2112758694</v>
      </c>
      <c r="DC16" s="35">
        <v>221.2269259338</v>
      </c>
      <c r="DD16" s="35">
        <v>223.24257599820001</v>
      </c>
      <c r="DE16" s="35">
        <v>225.25822606260002</v>
      </c>
      <c r="DF16" s="35">
        <v>231.2112758694</v>
      </c>
      <c r="DG16" s="35">
        <v>233.2269259338</v>
      </c>
      <c r="DH16" s="35">
        <v>235.24257599820001</v>
      </c>
      <c r="DI16" s="35">
        <v>237.25822606260002</v>
      </c>
      <c r="DJ16" s="35">
        <v>239.27387612699999</v>
      </c>
      <c r="DK16" s="35">
        <v>245.2269259338</v>
      </c>
      <c r="DL16" s="35">
        <v>247.24257599820001</v>
      </c>
      <c r="DM16" s="35">
        <v>249.25822606260002</v>
      </c>
      <c r="DN16" s="35">
        <v>251.27387612699999</v>
      </c>
      <c r="DO16" s="35">
        <v>253.2895261914</v>
      </c>
      <c r="DP16" s="35">
        <v>259.24257599819998</v>
      </c>
      <c r="DQ16" s="35">
        <v>261.25822606259999</v>
      </c>
      <c r="DR16" s="35">
        <v>263.27387612699999</v>
      </c>
      <c r="DS16" s="35">
        <v>265.2895261914</v>
      </c>
      <c r="DT16" s="35">
        <v>267.30517625580001</v>
      </c>
      <c r="DU16" s="35">
        <v>273.25822606259999</v>
      </c>
      <c r="DV16" s="35">
        <v>55.0547752254</v>
      </c>
      <c r="DW16" s="35">
        <v>57.070425289800006</v>
      </c>
      <c r="DX16" s="35">
        <v>69.070425289799999</v>
      </c>
      <c r="DY16" s="35">
        <v>71.086075354200005</v>
      </c>
      <c r="DZ16" s="35">
        <v>81.070425289799999</v>
      </c>
      <c r="EA16" s="35">
        <v>83.086075354200005</v>
      </c>
      <c r="EB16" s="35">
        <v>85.101725418599997</v>
      </c>
      <c r="EC16" s="35">
        <v>95.086075354200005</v>
      </c>
      <c r="ED16" s="35">
        <v>97.101725418599997</v>
      </c>
      <c r="EE16" s="35">
        <v>99.117375483000004</v>
      </c>
      <c r="EF16" s="35">
        <v>109.1017254186</v>
      </c>
      <c r="EG16" s="35">
        <v>111.117375483</v>
      </c>
      <c r="EH16" s="35">
        <v>113.13302554740001</v>
      </c>
      <c r="EI16" s="35">
        <v>123.117375483</v>
      </c>
      <c r="EJ16" s="35">
        <v>125.13302554740001</v>
      </c>
      <c r="EK16" s="35">
        <v>127.1486756118</v>
      </c>
      <c r="EL16" s="35">
        <v>137.1330255474</v>
      </c>
      <c r="EM16" s="35">
        <v>139.1486756118</v>
      </c>
      <c r="EN16" s="35">
        <v>141.16432567620001</v>
      </c>
      <c r="EO16" s="35">
        <v>149.1330255474</v>
      </c>
      <c r="EP16" s="35">
        <v>151.1486756118</v>
      </c>
      <c r="EQ16" s="35">
        <v>153.16432567620001</v>
      </c>
      <c r="ER16" s="35">
        <v>155.17997574060001</v>
      </c>
      <c r="ES16" s="35">
        <v>163.1486756118</v>
      </c>
      <c r="ET16" s="35">
        <v>165.16432567620001</v>
      </c>
      <c r="EU16" s="35">
        <v>167.17997574060001</v>
      </c>
      <c r="EV16" s="35">
        <v>169.19562580499999</v>
      </c>
      <c r="EW16" s="35">
        <v>177.16432567620001</v>
      </c>
      <c r="EX16" s="35">
        <v>179.17997574060001</v>
      </c>
      <c r="EY16" s="35">
        <v>181.19562580499999</v>
      </c>
      <c r="EZ16" s="35">
        <v>183.2112758694</v>
      </c>
      <c r="FA16" s="35">
        <v>191.17997574060001</v>
      </c>
      <c r="FB16" s="35">
        <v>193.19562580499999</v>
      </c>
      <c r="FC16" s="35">
        <v>195.2112758694</v>
      </c>
      <c r="FD16" s="35">
        <v>197.2269259338</v>
      </c>
      <c r="FE16" s="35">
        <v>205.19562580499999</v>
      </c>
      <c r="FF16" s="35">
        <v>207.2112758694</v>
      </c>
      <c r="FG16" s="35">
        <v>209.2269259338</v>
      </c>
      <c r="FH16" s="35">
        <v>211.24257599820001</v>
      </c>
      <c r="FI16" s="35">
        <v>219.2112758694</v>
      </c>
      <c r="FJ16" s="35">
        <v>221.2269259338</v>
      </c>
      <c r="FK16" s="35">
        <v>223.24257599820001</v>
      </c>
      <c r="FL16" s="35">
        <v>225.25822606260002</v>
      </c>
      <c r="FM16" s="35">
        <v>233.2269259338</v>
      </c>
      <c r="FN16" s="35">
        <v>235.24257599820001</v>
      </c>
      <c r="FO16" s="35">
        <v>237.25822606260002</v>
      </c>
      <c r="FP16" s="35">
        <v>239.27387612699999</v>
      </c>
      <c r="FQ16" s="35">
        <v>247.24257599820001</v>
      </c>
      <c r="FR16" s="35">
        <v>249.25822606260002</v>
      </c>
      <c r="FS16" s="35">
        <v>251.27387612699999</v>
      </c>
      <c r="FT16" s="35">
        <v>253.2895261914</v>
      </c>
      <c r="FU16" s="35">
        <v>261.25822606259999</v>
      </c>
      <c r="FV16" s="35">
        <v>263.27387612699999</v>
      </c>
      <c r="FW16" s="35">
        <v>265.2895261914</v>
      </c>
      <c r="FX16" s="35">
        <v>267.30517625580001</v>
      </c>
      <c r="FY16" s="35">
        <v>275.27387612699999</v>
      </c>
      <c r="FZ16" s="35">
        <v>277.2895261914</v>
      </c>
      <c r="GA16" s="35">
        <v>279.30517625580001</v>
      </c>
      <c r="GB16" s="35">
        <v>281.32082632020001</v>
      </c>
      <c r="GC16" s="35">
        <v>289.2895261914</v>
      </c>
      <c r="GD16" s="35">
        <v>0</v>
      </c>
      <c r="GE16" s="35">
        <v>193.44523437499998</v>
      </c>
      <c r="GF16" s="35">
        <v>24.180654296874998</v>
      </c>
      <c r="GG16" s="35">
        <v>3.0225817871093748</v>
      </c>
      <c r="GH16" s="35">
        <v>1.5112908935546874</v>
      </c>
      <c r="GI16" s="36">
        <v>3.9321600000000023</v>
      </c>
      <c r="GJ16" s="36">
        <v>2</v>
      </c>
      <c r="GK16" s="35">
        <v>0</v>
      </c>
      <c r="GL16" s="35">
        <v>51.20000000000001</v>
      </c>
      <c r="GM16" s="35">
        <v>28.44444444444445</v>
      </c>
      <c r="GN16" s="35">
        <v>19.911111111111115</v>
      </c>
      <c r="GO16" s="35">
        <v>6.6370370370370386</v>
      </c>
      <c r="GP16" s="35">
        <v>32.400000000000006</v>
      </c>
      <c r="GQ16" s="35">
        <v>32.400000000000006</v>
      </c>
      <c r="GR16" s="35">
        <v>16.200000000000003</v>
      </c>
      <c r="GS16" s="35">
        <v>32.400000000000006</v>
      </c>
      <c r="GT16" s="35">
        <v>6.4800000000000013</v>
      </c>
      <c r="GU16" s="35">
        <v>15</v>
      </c>
      <c r="GV16" s="35">
        <v>3.75</v>
      </c>
      <c r="GW16" s="35">
        <v>23.327999999999999</v>
      </c>
      <c r="GX16" s="35">
        <v>11.664</v>
      </c>
      <c r="GY16" s="35">
        <v>20.480000000000004</v>
      </c>
      <c r="GZ16" s="35">
        <v>11.37777777777778</v>
      </c>
      <c r="HA16" s="35">
        <v>7.9644444444444451</v>
      </c>
      <c r="HB16" s="35">
        <v>2.6548148148148152</v>
      </c>
      <c r="HC16" s="35">
        <v>29.160000000000004</v>
      </c>
      <c r="HD16" s="35">
        <v>29.160000000000004</v>
      </c>
      <c r="HE16" s="35">
        <v>14.580000000000002</v>
      </c>
      <c r="HF16" s="35">
        <v>29.160000000000004</v>
      </c>
      <c r="HG16" s="35">
        <v>5.8320000000000007</v>
      </c>
      <c r="HH16" s="35">
        <v>15</v>
      </c>
      <c r="HI16" s="35">
        <v>3.75</v>
      </c>
      <c r="HJ16" s="35">
        <v>25.919999999999998</v>
      </c>
      <c r="HK16" s="35">
        <v>12.959999999999999</v>
      </c>
      <c r="HL16" s="35">
        <v>5</v>
      </c>
      <c r="HM16" s="35">
        <v>0</v>
      </c>
      <c r="HN16" s="35">
        <v>0</v>
      </c>
      <c r="HO16" s="35">
        <v>0.476837158203125</v>
      </c>
      <c r="HP16" s="35">
        <v>1.5708885696404189</v>
      </c>
      <c r="HQ16" s="35">
        <v>1.4551915228366852</v>
      </c>
      <c r="HR16" s="35">
        <v>1.9523640191169775</v>
      </c>
      <c r="HS16" s="35">
        <v>1.0862946510314941</v>
      </c>
      <c r="HT16" s="35">
        <v>3.6209821701049805</v>
      </c>
      <c r="HU16" s="35">
        <v>2.1848436788802914</v>
      </c>
      <c r="HV16" s="35">
        <v>2.7392292395234108</v>
      </c>
      <c r="HW16" s="35">
        <v>12.361758929757904</v>
      </c>
      <c r="HX16" s="35">
        <v>1.6436902594446974</v>
      </c>
      <c r="HY16" s="35">
        <v>6.103515625</v>
      </c>
      <c r="HZ16" s="35">
        <v>15.2587890625</v>
      </c>
      <c r="IA16" s="35">
        <v>0.73551647132453335</v>
      </c>
      <c r="IB16" s="35">
        <v>4.7741965521823628</v>
      </c>
      <c r="IC16" s="35">
        <v>12.361758929757904</v>
      </c>
      <c r="ID16" s="35">
        <v>0.83568502503413755</v>
      </c>
      <c r="IE16" s="35">
        <v>3.7011818562559</v>
      </c>
      <c r="IF16" s="35">
        <v>9.938358688094544</v>
      </c>
      <c r="IG16" s="35">
        <v>0.94455863108784721</v>
      </c>
      <c r="IH16" s="35">
        <v>2.6171307889631601</v>
      </c>
      <c r="II16" s="35">
        <v>2.8418916187052878</v>
      </c>
      <c r="IJ16" s="35">
        <v>7.9245054752358994</v>
      </c>
      <c r="IK16" s="35">
        <v>1.0625</v>
      </c>
      <c r="IL16" s="35">
        <v>2.0095208349837232</v>
      </c>
      <c r="IM16" s="35">
        <v>2.1596040642437933</v>
      </c>
      <c r="IN16" s="35">
        <v>6.2628517863070012</v>
      </c>
      <c r="IO16" s="35">
        <v>0.94455863108784721</v>
      </c>
      <c r="IP16" s="35">
        <v>1.5270706785048145</v>
      </c>
      <c r="IQ16" s="35">
        <v>1.6228290277881319</v>
      </c>
      <c r="IR16" s="35">
        <v>4.9022960214433144</v>
      </c>
      <c r="IS16" s="35">
        <v>0.83568502503413755</v>
      </c>
      <c r="IT16" s="35">
        <v>1.1475134102553601</v>
      </c>
      <c r="IU16" s="35">
        <v>1.2047277872548898</v>
      </c>
      <c r="IV16" s="35">
        <v>3.7975115033034568</v>
      </c>
      <c r="IW16" s="35">
        <v>0.73551647132453335</v>
      </c>
      <c r="IX16" s="35">
        <v>0.85187118785179694</v>
      </c>
      <c r="IY16" s="35">
        <v>0.8825774788777353</v>
      </c>
      <c r="IZ16" s="35">
        <v>2.908493964483446</v>
      </c>
      <c r="JA16" s="35">
        <v>0.64369025944469738</v>
      </c>
      <c r="JB16" s="35">
        <v>0.62407652023697346</v>
      </c>
      <c r="JC16" s="35">
        <v>2.0566158053263899</v>
      </c>
      <c r="JD16" s="35">
        <v>0.63727831174455729</v>
      </c>
      <c r="JE16" s="35">
        <v>2.2001275048323996</v>
      </c>
      <c r="JF16" s="35">
        <v>0.5598436788802913</v>
      </c>
      <c r="JG16" s="35">
        <v>0.45062381573769106</v>
      </c>
      <c r="JH16" s="35">
        <v>1.5557250781420282</v>
      </c>
      <c r="JI16" s="35">
        <v>0.45290179825370042</v>
      </c>
      <c r="JJ16" s="35">
        <v>1.6417690186696638</v>
      </c>
      <c r="JK16" s="35">
        <v>0.4836140191169776</v>
      </c>
      <c r="JL16" s="35">
        <v>0.32024993275677321</v>
      </c>
      <c r="JM16" s="35">
        <v>1.1609060062433028</v>
      </c>
      <c r="JN16" s="35">
        <v>0.31627821718848598</v>
      </c>
      <c r="JO16" s="35">
        <v>1.2068510919034332</v>
      </c>
      <c r="JP16" s="35">
        <v>0.4146385696404189</v>
      </c>
      <c r="JQ16" s="35">
        <v>0.22364247211557009</v>
      </c>
      <c r="JR16" s="35">
        <v>0.85337259096730689</v>
      </c>
      <c r="JS16" s="35">
        <v>0.21662152610917026</v>
      </c>
      <c r="JT16" s="35">
        <v>0.8725033690508246</v>
      </c>
      <c r="JU16" s="35">
        <v>0.35255461993627668</v>
      </c>
      <c r="JV16" s="35">
        <v>0.15317455006277303</v>
      </c>
      <c r="JW16" s="35">
        <v>0.98876953125</v>
      </c>
      <c r="JX16" s="35">
        <v>2.1075056052866707</v>
      </c>
      <c r="JY16" s="35">
        <v>3.0174851417541504</v>
      </c>
      <c r="JZ16" s="35">
        <v>2.9708693673190716</v>
      </c>
      <c r="KA16" s="35">
        <v>2.2525405883789063</v>
      </c>
      <c r="KB16" s="35">
        <v>7.5084686279296875</v>
      </c>
      <c r="KC16" s="35">
        <v>3.4767591328242213</v>
      </c>
      <c r="KD16" s="35">
        <v>5.6800657510757446</v>
      </c>
      <c r="KE16" s="35">
        <v>25.633343316745989</v>
      </c>
      <c r="KF16" s="35">
        <v>2.1443382390127956</v>
      </c>
      <c r="KG16" s="35">
        <v>12.65625</v>
      </c>
      <c r="KH16" s="35">
        <v>31.640625</v>
      </c>
      <c r="KI16" s="35">
        <v>1.3075848379102815</v>
      </c>
      <c r="KJ16" s="35">
        <v>9.8997739706053487</v>
      </c>
      <c r="KK16" s="35">
        <v>25.633343316745989</v>
      </c>
      <c r="KL16" s="35">
        <v>1.4856622667273556</v>
      </c>
      <c r="KM16" s="35">
        <v>7.6747706971322343</v>
      </c>
      <c r="KN16" s="35">
        <v>20.608180575632847</v>
      </c>
      <c r="KO16" s="35">
        <v>1.6792153441561728</v>
      </c>
      <c r="KP16" s="35">
        <v>5.4268824039940089</v>
      </c>
      <c r="KQ16" s="35">
        <v>5.8929464605472841</v>
      </c>
      <c r="KR16" s="35">
        <v>16.432254553449162</v>
      </c>
      <c r="KS16" s="35">
        <v>1.8888888888888888</v>
      </c>
      <c r="KT16" s="35">
        <v>4.1669424034222482</v>
      </c>
      <c r="KU16" s="35">
        <v>4.4781549876159294</v>
      </c>
      <c r="KV16" s="35">
        <v>12.986649464086197</v>
      </c>
      <c r="KW16" s="35">
        <v>1.6792153441561728</v>
      </c>
      <c r="KX16" s="35">
        <v>3.1665337589475833</v>
      </c>
      <c r="KY16" s="35">
        <v>3.3650982720214704</v>
      </c>
      <c r="KZ16" s="35">
        <v>10.165401030064857</v>
      </c>
      <c r="LA16" s="35">
        <v>1.4856622667273556</v>
      </c>
      <c r="LB16" s="35">
        <v>2.3794838075055149</v>
      </c>
      <c r="LC16" s="35">
        <v>2.4981235396517394</v>
      </c>
      <c r="LD16" s="35">
        <v>7.8745198532500478</v>
      </c>
      <c r="LE16" s="35">
        <v>1.3075848379102815</v>
      </c>
      <c r="LF16" s="35">
        <v>1.7664400951294859</v>
      </c>
      <c r="LG16" s="35">
        <v>1.8301126602008719</v>
      </c>
      <c r="LH16" s="35">
        <v>6.031053084752874</v>
      </c>
      <c r="LI16" s="35">
        <v>1.1443382390127954</v>
      </c>
      <c r="LJ16" s="35">
        <v>1.2940850723633883</v>
      </c>
      <c r="LK16" s="35">
        <v>1.321460307233514</v>
      </c>
      <c r="LL16" s="35">
        <v>4.5621843940204645</v>
      </c>
      <c r="LM16" s="35">
        <v>0.99527765134274004</v>
      </c>
      <c r="LN16" s="35">
        <v>0.93441354431367618</v>
      </c>
      <c r="LO16" s="35">
        <v>0.93913716885887322</v>
      </c>
      <c r="LP16" s="35">
        <v>3.4043722371134146</v>
      </c>
      <c r="LQ16" s="35">
        <v>0.8597582562079602</v>
      </c>
      <c r="LR16" s="35">
        <v>0.66407026056444496</v>
      </c>
      <c r="LS16" s="35">
        <v>0.6558345111620445</v>
      </c>
      <c r="LT16" s="35">
        <v>2.5025264241709593</v>
      </c>
      <c r="LU16" s="35">
        <v>0.73713523491630029</v>
      </c>
      <c r="LV16" s="35">
        <v>0.46374503017884611</v>
      </c>
      <c r="LW16" s="35">
        <v>0.4491863965399755</v>
      </c>
      <c r="LX16" s="35">
        <v>1.8092229860637898</v>
      </c>
      <c r="LY16" s="35">
        <v>0.62676376877560303</v>
      </c>
      <c r="LZ16" s="35">
        <v>0.31762274701016618</v>
      </c>
      <c r="MA16" s="35">
        <v>0.3010658590894742</v>
      </c>
      <c r="MB16" s="35">
        <v>1.283957340234521</v>
      </c>
      <c r="MC16" s="35">
        <v>0.52799903909371371</v>
      </c>
      <c r="MD16" s="35">
        <v>0.21288571054592076</v>
      </c>
    </row>
    <row r="17" spans="1:342" s="4" customFormat="1" ht="14.25" x14ac:dyDescent="0.2">
      <c r="A17" s="4">
        <v>11</v>
      </c>
      <c r="B17" s="16" t="s">
        <v>675</v>
      </c>
      <c r="C17" s="16" t="s">
        <v>440</v>
      </c>
      <c r="D17" s="16" t="s">
        <v>159</v>
      </c>
      <c r="E17" s="16" t="s">
        <v>440</v>
      </c>
      <c r="F17" s="31" t="s">
        <v>163</v>
      </c>
      <c r="G17" s="31" t="s">
        <v>164</v>
      </c>
      <c r="H17" s="32">
        <v>-1</v>
      </c>
      <c r="I17" s="33">
        <v>27.2</v>
      </c>
      <c r="J17" s="34">
        <v>19.828099999999999</v>
      </c>
      <c r="K17" s="32" t="s">
        <v>165</v>
      </c>
      <c r="L17" s="16">
        <v>0</v>
      </c>
      <c r="M17" s="16">
        <v>2</v>
      </c>
      <c r="N17" s="16" t="s">
        <v>440</v>
      </c>
      <c r="O17" s="16">
        <v>0</v>
      </c>
      <c r="P17" s="16">
        <v>0</v>
      </c>
      <c r="Q17" s="16">
        <v>1</v>
      </c>
      <c r="R17" s="16">
        <v>4</v>
      </c>
      <c r="S17" s="16">
        <v>0</v>
      </c>
      <c r="T17" s="16">
        <v>40</v>
      </c>
      <c r="U17" s="16">
        <v>0</v>
      </c>
      <c r="V17" s="16">
        <v>40</v>
      </c>
      <c r="W17" s="16">
        <v>0</v>
      </c>
      <c r="X17" s="16" t="s">
        <v>440</v>
      </c>
      <c r="Y17" s="35">
        <v>1054.717189774</v>
      </c>
      <c r="Z17" s="35">
        <v>1036.706629774</v>
      </c>
      <c r="AA17" s="35">
        <v>1054.717189774</v>
      </c>
      <c r="AB17" s="35">
        <v>1036.706629774</v>
      </c>
      <c r="AC17" s="35">
        <v>1616.350614774</v>
      </c>
      <c r="AD17" s="35">
        <v>1292.244967934</v>
      </c>
      <c r="AE17" s="35">
        <v>1274.23440325</v>
      </c>
      <c r="AF17" s="35">
        <v>1256.223838566</v>
      </c>
      <c r="AG17" s="35">
        <v>1238.2132738820001</v>
      </c>
      <c r="AH17" s="35">
        <v>1218.2081885016</v>
      </c>
      <c r="AI17" s="35">
        <v>1200.1976238176001</v>
      </c>
      <c r="AJ17" s="35">
        <v>1108.1502797012001</v>
      </c>
      <c r="AK17" s="35">
        <v>735.65026542240003</v>
      </c>
      <c r="AL17" s="35">
        <v>717.63970073840005</v>
      </c>
      <c r="AM17" s="35">
        <v>699.62913605440008</v>
      </c>
      <c r="AN17" s="35">
        <v>681.6185713704001</v>
      </c>
      <c r="AO17" s="35">
        <v>661.61348599000007</v>
      </c>
      <c r="AP17" s="35">
        <v>643.6029213060001</v>
      </c>
      <c r="AQ17" s="35">
        <v>625.59235662200012</v>
      </c>
      <c r="AR17" s="35">
        <v>607.58179193800015</v>
      </c>
      <c r="AS17" s="35">
        <v>589.57122725400018</v>
      </c>
      <c r="AT17" s="35">
        <v>605.58727124160009</v>
      </c>
      <c r="AU17" s="35">
        <v>587.57670655760012</v>
      </c>
      <c r="AV17" s="35">
        <v>555.58687751160005</v>
      </c>
      <c r="AW17" s="35">
        <v>573.59744219560002</v>
      </c>
      <c r="AX17" s="35">
        <v>741.69721561560004</v>
      </c>
      <c r="AY17" s="35">
        <v>723.68665093160007</v>
      </c>
      <c r="AZ17" s="35">
        <v>705.6760862476001</v>
      </c>
      <c r="BA17" s="35">
        <v>687.66552156360012</v>
      </c>
      <c r="BB17" s="35">
        <v>667.66043618320009</v>
      </c>
      <c r="BC17" s="35">
        <v>649.64987149920012</v>
      </c>
      <c r="BD17" s="35">
        <v>631.63930681520014</v>
      </c>
      <c r="BE17" s="35">
        <v>613.62874213120017</v>
      </c>
      <c r="BF17" s="35">
        <v>595.6181774472002</v>
      </c>
      <c r="BG17" s="35">
        <v>611.63422143480011</v>
      </c>
      <c r="BH17" s="35">
        <v>593.62365675080014</v>
      </c>
      <c r="BI17" s="35">
        <v>549.53992731840003</v>
      </c>
      <c r="BJ17" s="35">
        <v>567.55049200240001</v>
      </c>
      <c r="BK17" s="35">
        <v>163.06064842000001</v>
      </c>
      <c r="BL17" s="35">
        <v>0</v>
      </c>
      <c r="BM17" s="35">
        <v>0</v>
      </c>
      <c r="BN17" s="35">
        <v>55.0547752254</v>
      </c>
      <c r="BO17" s="35">
        <v>57.070425289800006</v>
      </c>
      <c r="BP17" s="35">
        <v>69.070425289799999</v>
      </c>
      <c r="BQ17" s="35">
        <v>71.086075354200005</v>
      </c>
      <c r="BR17" s="35">
        <v>81.070425289799999</v>
      </c>
      <c r="BS17" s="35">
        <v>83.086075354200005</v>
      </c>
      <c r="BT17" s="35">
        <v>85.101725418599997</v>
      </c>
      <c r="BU17" s="35">
        <v>95.086075354200005</v>
      </c>
      <c r="BV17" s="35">
        <v>97.101725418599997</v>
      </c>
      <c r="BW17" s="35">
        <v>99.117375483000004</v>
      </c>
      <c r="BX17" s="35">
        <v>109.1017254186</v>
      </c>
      <c r="BY17" s="35">
        <v>111.117375483</v>
      </c>
      <c r="BZ17" s="35">
        <v>113.13302554740001</v>
      </c>
      <c r="CA17" s="35">
        <v>123.117375483</v>
      </c>
      <c r="CB17" s="35">
        <v>125.13302554740001</v>
      </c>
      <c r="CC17" s="35">
        <v>127.1486756118</v>
      </c>
      <c r="CD17" s="35">
        <v>137.1330255474</v>
      </c>
      <c r="CE17" s="35">
        <v>139.1486756118</v>
      </c>
      <c r="CF17" s="35">
        <v>141.16432567620001</v>
      </c>
      <c r="CG17" s="35">
        <v>151.1486756118</v>
      </c>
      <c r="CH17" s="35">
        <v>153.16432567620001</v>
      </c>
      <c r="CI17" s="35">
        <v>155.17997574060001</v>
      </c>
      <c r="CJ17" s="35">
        <v>165.16432567620001</v>
      </c>
      <c r="CK17" s="35">
        <v>167.17997574060001</v>
      </c>
      <c r="CL17" s="35">
        <v>169.19562580499999</v>
      </c>
      <c r="CM17" s="35">
        <v>179.17997574060001</v>
      </c>
      <c r="CN17" s="35">
        <v>181.19562580499999</v>
      </c>
      <c r="CO17" s="35">
        <v>183.2112758694</v>
      </c>
      <c r="CP17" s="35">
        <v>193.19562580499999</v>
      </c>
      <c r="CQ17" s="35">
        <v>195.2112758694</v>
      </c>
      <c r="CR17" s="35">
        <v>197.2269259338</v>
      </c>
      <c r="CS17" s="35">
        <v>207.2112758694</v>
      </c>
      <c r="CT17" s="35">
        <v>209.2269259338</v>
      </c>
      <c r="CU17" s="35">
        <v>211.24257599820001</v>
      </c>
      <c r="CV17" s="35">
        <v>221.2269259338</v>
      </c>
      <c r="CW17" s="35">
        <v>223.24257599820001</v>
      </c>
      <c r="CX17" s="35">
        <v>225.25822606260002</v>
      </c>
      <c r="CY17" s="35">
        <v>235.24257599820001</v>
      </c>
      <c r="CZ17" s="35">
        <v>237.25822606260002</v>
      </c>
      <c r="DA17" s="35">
        <v>239.27387612699999</v>
      </c>
      <c r="DB17" s="35">
        <v>249.25822606260002</v>
      </c>
      <c r="DC17" s="35">
        <v>251.27387612699999</v>
      </c>
      <c r="DD17" s="35">
        <v>253.2895261914</v>
      </c>
      <c r="DE17" s="35">
        <v>263.27387612699999</v>
      </c>
      <c r="DF17" s="35">
        <v>265.2895261914</v>
      </c>
      <c r="DG17" s="35">
        <v>267.30517625580001</v>
      </c>
      <c r="DH17" s="35">
        <v>277.2895261914</v>
      </c>
      <c r="DI17" s="35">
        <v>279.30517625580001</v>
      </c>
      <c r="DJ17" s="35">
        <v>281.32082632020001</v>
      </c>
      <c r="DK17" s="35">
        <v>291.30517625580001</v>
      </c>
      <c r="DL17" s="35">
        <v>293.32082632020001</v>
      </c>
      <c r="DM17" s="35">
        <v>295.33647638460002</v>
      </c>
      <c r="DN17" s="35">
        <v>305.32082632020001</v>
      </c>
      <c r="DO17" s="35">
        <v>307.33647638460002</v>
      </c>
      <c r="DP17" s="35">
        <v>309.35212644900002</v>
      </c>
      <c r="DQ17" s="35">
        <v>319.33647638460002</v>
      </c>
      <c r="DR17" s="35">
        <v>321.35212644900002</v>
      </c>
      <c r="DS17" s="35">
        <v>323.36777651340003</v>
      </c>
      <c r="DT17" s="35">
        <v>333.35212644900002</v>
      </c>
      <c r="DU17" s="35">
        <v>335.36777651340003</v>
      </c>
      <c r="DV17" s="35">
        <v>55.0547752254</v>
      </c>
      <c r="DW17" s="35">
        <v>57.070425289800006</v>
      </c>
      <c r="DX17" s="35">
        <v>69.070425289799999</v>
      </c>
      <c r="DY17" s="35">
        <v>71.086075354200005</v>
      </c>
      <c r="DZ17" s="35">
        <v>81.070425289799999</v>
      </c>
      <c r="EA17" s="35">
        <v>83.086075354200005</v>
      </c>
      <c r="EB17" s="35">
        <v>85.101725418599997</v>
      </c>
      <c r="EC17" s="35">
        <v>95.086075354200005</v>
      </c>
      <c r="ED17" s="35">
        <v>97.101725418599997</v>
      </c>
      <c r="EE17" s="35">
        <v>99.117375483000004</v>
      </c>
      <c r="EF17" s="35">
        <v>109.1017254186</v>
      </c>
      <c r="EG17" s="35">
        <v>111.117375483</v>
      </c>
      <c r="EH17" s="35">
        <v>113.13302554740001</v>
      </c>
      <c r="EI17" s="35">
        <v>123.117375483</v>
      </c>
      <c r="EJ17" s="35">
        <v>125.13302554740001</v>
      </c>
      <c r="EK17" s="35">
        <v>127.1486756118</v>
      </c>
      <c r="EL17" s="35">
        <v>137.1330255474</v>
      </c>
      <c r="EM17" s="35">
        <v>139.1486756118</v>
      </c>
      <c r="EN17" s="35">
        <v>141.16432567620001</v>
      </c>
      <c r="EO17" s="35">
        <v>149.1330255474</v>
      </c>
      <c r="EP17" s="35">
        <v>151.1486756118</v>
      </c>
      <c r="EQ17" s="35">
        <v>153.16432567620001</v>
      </c>
      <c r="ER17" s="35">
        <v>155.17997574060001</v>
      </c>
      <c r="ES17" s="35">
        <v>163.1486756118</v>
      </c>
      <c r="ET17" s="35">
        <v>165.16432567620001</v>
      </c>
      <c r="EU17" s="35">
        <v>167.17997574060001</v>
      </c>
      <c r="EV17" s="35">
        <v>169.19562580499999</v>
      </c>
      <c r="EW17" s="35">
        <v>177.16432567620001</v>
      </c>
      <c r="EX17" s="35">
        <v>179.17997574060001</v>
      </c>
      <c r="EY17" s="35">
        <v>181.19562580499999</v>
      </c>
      <c r="EZ17" s="35">
        <v>183.2112758694</v>
      </c>
      <c r="FA17" s="35">
        <v>191.17997574060001</v>
      </c>
      <c r="FB17" s="35">
        <v>193.19562580499999</v>
      </c>
      <c r="FC17" s="35">
        <v>195.2112758694</v>
      </c>
      <c r="FD17" s="35">
        <v>197.2269259338</v>
      </c>
      <c r="FE17" s="35">
        <v>205.19562580499999</v>
      </c>
      <c r="FF17" s="35">
        <v>207.2112758694</v>
      </c>
      <c r="FG17" s="35">
        <v>209.2269259338</v>
      </c>
      <c r="FH17" s="35">
        <v>211.24257599820001</v>
      </c>
      <c r="FI17" s="35">
        <v>217.19562580499999</v>
      </c>
      <c r="FJ17" s="35">
        <v>219.2112758694</v>
      </c>
      <c r="FK17" s="35">
        <v>221.2269259338</v>
      </c>
      <c r="FL17" s="35">
        <v>223.24257599820001</v>
      </c>
      <c r="FM17" s="35">
        <v>225.25822606260002</v>
      </c>
      <c r="FN17" s="35">
        <v>231.2112758694</v>
      </c>
      <c r="FO17" s="35">
        <v>233.2269259338</v>
      </c>
      <c r="FP17" s="35">
        <v>235.24257599820001</v>
      </c>
      <c r="FQ17" s="35">
        <v>237.25822606260002</v>
      </c>
      <c r="FR17" s="35">
        <v>239.27387612699999</v>
      </c>
      <c r="FS17" s="35">
        <v>245.2269259338</v>
      </c>
      <c r="FT17" s="35">
        <v>247.24257599820001</v>
      </c>
      <c r="FU17" s="35">
        <v>249.25822606260002</v>
      </c>
      <c r="FV17" s="35">
        <v>251.27387612699999</v>
      </c>
      <c r="FW17" s="35">
        <v>253.2895261914</v>
      </c>
      <c r="FX17" s="35">
        <v>259.24257599819998</v>
      </c>
      <c r="FY17" s="35">
        <v>261.25822606259999</v>
      </c>
      <c r="FZ17" s="35">
        <v>263.27387612699999</v>
      </c>
      <c r="GA17" s="35">
        <v>265.2895261914</v>
      </c>
      <c r="GB17" s="35">
        <v>267.30517625580001</v>
      </c>
      <c r="GC17" s="35">
        <v>273.25822606259999</v>
      </c>
      <c r="GD17" s="35">
        <v>0</v>
      </c>
      <c r="GE17" s="35">
        <v>193.44523437499998</v>
      </c>
      <c r="GF17" s="35">
        <v>24.180654296874998</v>
      </c>
      <c r="GG17" s="35">
        <v>3.0225817871093748</v>
      </c>
      <c r="GH17" s="35">
        <v>1.5112908935546874</v>
      </c>
      <c r="GI17" s="36">
        <v>3.9321600000000023</v>
      </c>
      <c r="GJ17" s="36">
        <v>2</v>
      </c>
      <c r="GK17" s="35">
        <v>0</v>
      </c>
      <c r="GL17" s="35">
        <v>16.384000000000007</v>
      </c>
      <c r="GM17" s="35">
        <v>9.1022222222222258</v>
      </c>
      <c r="GN17" s="35">
        <v>6.3715555555555579</v>
      </c>
      <c r="GO17" s="35">
        <v>2.1238518518518528</v>
      </c>
      <c r="GP17" s="35">
        <v>26.244000000000007</v>
      </c>
      <c r="GQ17" s="35">
        <v>26.244000000000007</v>
      </c>
      <c r="GR17" s="35">
        <v>13.122000000000003</v>
      </c>
      <c r="GS17" s="35">
        <v>26.244000000000007</v>
      </c>
      <c r="GT17" s="35">
        <v>5.248800000000001</v>
      </c>
      <c r="GU17" s="35">
        <v>15</v>
      </c>
      <c r="GV17" s="35">
        <v>3.75</v>
      </c>
      <c r="GW17" s="35">
        <v>21.599999999999998</v>
      </c>
      <c r="GX17" s="35">
        <v>10.799999999999999</v>
      </c>
      <c r="GY17" s="35">
        <v>64</v>
      </c>
      <c r="GZ17" s="35">
        <v>35.555555555555557</v>
      </c>
      <c r="HA17" s="35">
        <v>24.888888888888889</v>
      </c>
      <c r="HB17" s="35">
        <v>8.2962962962962958</v>
      </c>
      <c r="HC17" s="35">
        <v>36</v>
      </c>
      <c r="HD17" s="35">
        <v>36</v>
      </c>
      <c r="HE17" s="35">
        <v>18</v>
      </c>
      <c r="HF17" s="35">
        <v>36</v>
      </c>
      <c r="HG17" s="35">
        <v>7.2</v>
      </c>
      <c r="HH17" s="35">
        <v>15</v>
      </c>
      <c r="HI17" s="35">
        <v>3.75</v>
      </c>
      <c r="HJ17" s="35">
        <v>14.929919999999999</v>
      </c>
      <c r="HK17" s="35">
        <v>7.4649599999999996</v>
      </c>
      <c r="HL17" s="35">
        <v>5</v>
      </c>
      <c r="HM17" s="35">
        <v>0</v>
      </c>
      <c r="HN17" s="35">
        <v>0</v>
      </c>
      <c r="HO17" s="35">
        <v>1.831817626953125</v>
      </c>
      <c r="HP17" s="35">
        <v>3.9085542785616756</v>
      </c>
      <c r="HQ17" s="35">
        <v>5.5902637541294098</v>
      </c>
      <c r="HR17" s="35">
        <v>6.6844560764679102</v>
      </c>
      <c r="HS17" s="35">
        <v>4.1731095314025879</v>
      </c>
      <c r="HT17" s="35">
        <v>13.910365104675293</v>
      </c>
      <c r="HU17" s="35">
        <v>8.2393747155211656</v>
      </c>
      <c r="HV17" s="35">
        <v>10.523023046553135</v>
      </c>
      <c r="HW17" s="35">
        <v>47.488933104557965</v>
      </c>
      <c r="HX17" s="35">
        <v>3.5747610377787895</v>
      </c>
      <c r="HY17" s="35">
        <v>23.447265625</v>
      </c>
      <c r="HZ17" s="35">
        <v>58.6181640625</v>
      </c>
      <c r="IA17" s="35">
        <v>2.9420658852981334</v>
      </c>
      <c r="IB17" s="35">
        <v>18.340553474863764</v>
      </c>
      <c r="IC17" s="35">
        <v>47.488933104557965</v>
      </c>
      <c r="ID17" s="35">
        <v>3.3427401001365502</v>
      </c>
      <c r="IE17" s="35">
        <v>14.218460218992666</v>
      </c>
      <c r="IF17" s="35">
        <v>38.179198736184006</v>
      </c>
      <c r="IG17" s="35">
        <v>3.7782345243513888</v>
      </c>
      <c r="IH17" s="35">
        <v>10.917410842418233</v>
      </c>
      <c r="II17" s="35">
        <v>30.44278023366623</v>
      </c>
      <c r="IJ17" s="35">
        <v>4.25</v>
      </c>
      <c r="IK17" s="35">
        <v>8.296334973198956</v>
      </c>
      <c r="IL17" s="35">
        <v>24.059371422276975</v>
      </c>
      <c r="IM17" s="35">
        <v>3.7782345243513888</v>
      </c>
      <c r="IN17" s="35">
        <v>6.2342599931508875</v>
      </c>
      <c r="IO17" s="35">
        <v>18.832660395976639</v>
      </c>
      <c r="IP17" s="35">
        <v>3.3427401001365502</v>
      </c>
      <c r="IQ17" s="35">
        <v>4.6280822675183844</v>
      </c>
      <c r="IR17" s="35">
        <v>14.588520191090559</v>
      </c>
      <c r="IS17" s="35">
        <v>2.9420658852981334</v>
      </c>
      <c r="IT17" s="35">
        <v>3.3905096428567076</v>
      </c>
      <c r="IU17" s="35">
        <v>11.173270413959607</v>
      </c>
      <c r="IV17" s="35">
        <v>2.5747610377787895</v>
      </c>
      <c r="IW17" s="35">
        <v>2.4481683623978912</v>
      </c>
      <c r="IX17" s="35">
        <v>8.4520098225641469</v>
      </c>
      <c r="IY17" s="35">
        <v>2.2393747155211652</v>
      </c>
      <c r="IZ17" s="35">
        <v>1.7398675481714156</v>
      </c>
      <c r="JA17" s="35">
        <v>6.30701986212138</v>
      </c>
      <c r="JB17" s="35">
        <v>1.9344560764679104</v>
      </c>
      <c r="JC17" s="35">
        <v>1.2150143991512878</v>
      </c>
      <c r="JD17" s="35">
        <v>4.6362391546562289</v>
      </c>
      <c r="JE17" s="35">
        <v>1.6585542785616756</v>
      </c>
      <c r="JF17" s="35">
        <v>0.83217325470098846</v>
      </c>
      <c r="JG17" s="35">
        <v>3.3518089425456479</v>
      </c>
      <c r="JH17" s="35">
        <v>1.4102184797451067</v>
      </c>
      <c r="JI17" s="35">
        <v>0.55776167258782994</v>
      </c>
      <c r="JJ17" s="35">
        <v>2.3786894860363308</v>
      </c>
      <c r="JK17" s="35">
        <v>1.1879978379608558</v>
      </c>
      <c r="JL17" s="35">
        <v>0.36487667083827779</v>
      </c>
      <c r="JM17" s="35">
        <v>1.6533474147359464</v>
      </c>
      <c r="JN17" s="35">
        <v>0.99044151115157042</v>
      </c>
      <c r="JO17" s="35">
        <v>0.23224428270574216</v>
      </c>
      <c r="JP17" s="35">
        <v>1.1225140330777554</v>
      </c>
      <c r="JQ17" s="35">
        <v>0.81609865725989961</v>
      </c>
      <c r="JR17" s="35">
        <v>0.14328557402237305</v>
      </c>
      <c r="JS17" s="35">
        <v>0.74201457975871821</v>
      </c>
      <c r="JT17" s="35">
        <v>0.66351843422849333</v>
      </c>
      <c r="JU17" s="35">
        <v>8.5292272206392447E-2</v>
      </c>
      <c r="JV17" s="35">
        <v>0.47566844115103485</v>
      </c>
      <c r="JW17" s="35">
        <v>0.1953125</v>
      </c>
      <c r="JX17" s="35">
        <v>1.3453686845698682</v>
      </c>
      <c r="JY17" s="35">
        <v>0.59604644775390625</v>
      </c>
      <c r="JZ17" s="35">
        <v>1.5495129722348657</v>
      </c>
      <c r="KA17" s="35">
        <v>0.4449462890625</v>
      </c>
      <c r="KB17" s="35">
        <v>1.483154296875</v>
      </c>
      <c r="KC17" s="35">
        <v>1.6782999544833865</v>
      </c>
      <c r="KD17" s="35">
        <v>1.1219882965087891</v>
      </c>
      <c r="KE17" s="35">
        <v>5.0633764576288378</v>
      </c>
      <c r="KF17" s="35">
        <v>1.4119617660446062</v>
      </c>
      <c r="KG17" s="35">
        <v>2.5</v>
      </c>
      <c r="KH17" s="35">
        <v>6.25</v>
      </c>
      <c r="KI17" s="35">
        <v>0.47073054164770134</v>
      </c>
      <c r="KJ17" s="35">
        <v>1.9555109077738959</v>
      </c>
      <c r="KK17" s="35">
        <v>5.0633764576288378</v>
      </c>
      <c r="KL17" s="35">
        <v>0.53483841602184801</v>
      </c>
      <c r="KM17" s="35">
        <v>1.5160040883224166</v>
      </c>
      <c r="KN17" s="35">
        <v>4.0707517186435256</v>
      </c>
      <c r="KO17" s="35">
        <v>0.60451752389622226</v>
      </c>
      <c r="KP17" s="35">
        <v>1.0719767711593104</v>
      </c>
      <c r="KQ17" s="35">
        <v>1.1640388070216858</v>
      </c>
      <c r="KR17" s="35">
        <v>3.2458774426566244</v>
      </c>
      <c r="KS17" s="35">
        <v>0.68</v>
      </c>
      <c r="KT17" s="35">
        <v>0.82309973400933301</v>
      </c>
      <c r="KU17" s="35">
        <v>0.88457382471425772</v>
      </c>
      <c r="KV17" s="35">
        <v>2.5652640916713478</v>
      </c>
      <c r="KW17" s="35">
        <v>0.60451752389622226</v>
      </c>
      <c r="KX17" s="35">
        <v>0.625488149915572</v>
      </c>
      <c r="KY17" s="35">
        <v>0.66471076978201882</v>
      </c>
      <c r="KZ17" s="35">
        <v>2.0079804503831817</v>
      </c>
      <c r="LA17" s="35">
        <v>0.53483841602184801</v>
      </c>
      <c r="LB17" s="35">
        <v>0.47002149284059552</v>
      </c>
      <c r="LC17" s="35">
        <v>0.49345650165960286</v>
      </c>
      <c r="LD17" s="35">
        <v>1.5554607117530959</v>
      </c>
      <c r="LE17" s="35">
        <v>0.47073054164770134</v>
      </c>
      <c r="LF17" s="35">
        <v>0.348926438544096</v>
      </c>
      <c r="LG17" s="35">
        <v>0.36150373534832037</v>
      </c>
      <c r="LH17" s="35">
        <v>1.1913191278524196</v>
      </c>
      <c r="LI17" s="35">
        <v>0.41196176604460633</v>
      </c>
      <c r="LJ17" s="35">
        <v>0.25562174268906435</v>
      </c>
      <c r="LK17" s="35">
        <v>0.84238983386168942</v>
      </c>
      <c r="LL17" s="35">
        <v>0.26102919649057066</v>
      </c>
      <c r="LM17" s="35">
        <v>0.90117222597935098</v>
      </c>
      <c r="LN17" s="35">
        <v>0.35829995448338642</v>
      </c>
      <c r="LO17" s="35">
        <v>0.18457551492615826</v>
      </c>
      <c r="LP17" s="35">
        <v>0.6372249920069748</v>
      </c>
      <c r="LQ17" s="35">
        <v>0.1855085765647157</v>
      </c>
      <c r="LR17" s="35">
        <v>0.67246859004709425</v>
      </c>
      <c r="LS17" s="35">
        <v>0.30951297223486568</v>
      </c>
      <c r="LT17" s="35">
        <v>0.13117437245717431</v>
      </c>
      <c r="LU17" s="35">
        <v>0.47550710015725678</v>
      </c>
      <c r="LV17" s="35">
        <v>0.12954755776040386</v>
      </c>
      <c r="LW17" s="35">
        <v>0.49432620724364623</v>
      </c>
      <c r="LX17" s="35">
        <v>0.26536868456986812</v>
      </c>
      <c r="LY17" s="35">
        <v>9.160395657853751E-2</v>
      </c>
      <c r="LZ17" s="35">
        <v>0.34954141326020888</v>
      </c>
      <c r="MA17" s="35">
        <v>8.8728177094316144E-2</v>
      </c>
      <c r="MB17" s="35">
        <v>0.35737737996321772</v>
      </c>
      <c r="MC17" s="35">
        <v>0.22563495675921708</v>
      </c>
      <c r="MD17" s="35">
        <v>6.2740295705711838E-2</v>
      </c>
    </row>
    <row r="18" spans="1:342" s="4" customFormat="1" ht="14.25" x14ac:dyDescent="0.2">
      <c r="A18" s="4">
        <v>12</v>
      </c>
      <c r="B18" s="16" t="s">
        <v>676</v>
      </c>
      <c r="C18" s="16" t="s">
        <v>441</v>
      </c>
      <c r="D18" s="16" t="s">
        <v>166</v>
      </c>
      <c r="E18" s="16" t="s">
        <v>441</v>
      </c>
      <c r="F18" s="31" t="s">
        <v>167</v>
      </c>
      <c r="G18" s="31" t="s">
        <v>168</v>
      </c>
      <c r="H18" s="32">
        <v>-1</v>
      </c>
      <c r="I18" s="33">
        <v>27.81</v>
      </c>
      <c r="J18" s="34">
        <v>19.437999999999999</v>
      </c>
      <c r="K18" s="32" t="s">
        <v>169</v>
      </c>
      <c r="L18" s="16">
        <v>0</v>
      </c>
      <c r="M18" s="16">
        <v>2</v>
      </c>
      <c r="N18" s="16" t="s">
        <v>441</v>
      </c>
      <c r="O18" s="16">
        <v>0</v>
      </c>
      <c r="P18" s="16">
        <v>0</v>
      </c>
      <c r="Q18" s="16">
        <v>3</v>
      </c>
      <c r="R18" s="16">
        <v>3</v>
      </c>
      <c r="S18" s="16">
        <v>0</v>
      </c>
      <c r="T18" s="16">
        <v>40</v>
      </c>
      <c r="U18" s="16">
        <v>0</v>
      </c>
      <c r="V18" s="16">
        <v>40</v>
      </c>
      <c r="W18" s="16">
        <v>0</v>
      </c>
      <c r="X18" s="16" t="s">
        <v>441</v>
      </c>
      <c r="Y18" s="35">
        <v>1052.7015397096002</v>
      </c>
      <c r="Z18" s="35">
        <v>1034.6909797096002</v>
      </c>
      <c r="AA18" s="35">
        <v>1052.7015397096002</v>
      </c>
      <c r="AB18" s="35">
        <v>1034.6909797096002</v>
      </c>
      <c r="AC18" s="35">
        <v>1614.3349647095999</v>
      </c>
      <c r="AD18" s="35">
        <v>1290.2293178696</v>
      </c>
      <c r="AE18" s="35">
        <v>1272.2187531856</v>
      </c>
      <c r="AF18" s="35">
        <v>1254.2081885016</v>
      </c>
      <c r="AG18" s="35">
        <v>1236.1976238176001</v>
      </c>
      <c r="AH18" s="35">
        <v>1216.1925384372</v>
      </c>
      <c r="AI18" s="35">
        <v>1198.1819737532001</v>
      </c>
      <c r="AJ18" s="35">
        <v>1106.1346296368001</v>
      </c>
      <c r="AK18" s="35">
        <v>737.66591548680003</v>
      </c>
      <c r="AL18" s="35">
        <v>719.65535080280006</v>
      </c>
      <c r="AM18" s="35">
        <v>701.64478611880008</v>
      </c>
      <c r="AN18" s="35">
        <v>683.63422143480011</v>
      </c>
      <c r="AO18" s="35">
        <v>663.62913605440008</v>
      </c>
      <c r="AP18" s="35">
        <v>645.6185713704001</v>
      </c>
      <c r="AQ18" s="35">
        <v>627.60800668640013</v>
      </c>
      <c r="AR18" s="35">
        <v>609.59744200240016</v>
      </c>
      <c r="AS18" s="35">
        <v>591.58687731840018</v>
      </c>
      <c r="AT18" s="35">
        <v>607.6029213060001</v>
      </c>
      <c r="AU18" s="35">
        <v>589.59235662200012</v>
      </c>
      <c r="AV18" s="35">
        <v>553.57122738280009</v>
      </c>
      <c r="AW18" s="35">
        <v>571.58179206680006</v>
      </c>
      <c r="AX18" s="35">
        <v>737.66591548680003</v>
      </c>
      <c r="AY18" s="35">
        <v>719.65535080280006</v>
      </c>
      <c r="AZ18" s="35">
        <v>701.64478611880008</v>
      </c>
      <c r="BA18" s="35">
        <v>683.63422143480011</v>
      </c>
      <c r="BB18" s="35">
        <v>663.62913605440008</v>
      </c>
      <c r="BC18" s="35">
        <v>645.6185713704001</v>
      </c>
      <c r="BD18" s="35">
        <v>627.60800668640013</v>
      </c>
      <c r="BE18" s="35">
        <v>609.59744200240016</v>
      </c>
      <c r="BF18" s="35">
        <v>591.58687731840018</v>
      </c>
      <c r="BG18" s="35">
        <v>607.6029213060001</v>
      </c>
      <c r="BH18" s="35">
        <v>589.59235662200012</v>
      </c>
      <c r="BI18" s="35">
        <v>551.55557738280004</v>
      </c>
      <c r="BJ18" s="35">
        <v>569.56614206680001</v>
      </c>
      <c r="BK18" s="35">
        <v>163.06064842000001</v>
      </c>
      <c r="BL18" s="35">
        <v>0</v>
      </c>
      <c r="BM18" s="35">
        <v>0</v>
      </c>
      <c r="BN18" s="35">
        <v>55.0547752254</v>
      </c>
      <c r="BO18" s="35">
        <v>57.070425289800006</v>
      </c>
      <c r="BP18" s="35">
        <v>69.070425289799999</v>
      </c>
      <c r="BQ18" s="35">
        <v>71.086075354200005</v>
      </c>
      <c r="BR18" s="35">
        <v>81.070425289799999</v>
      </c>
      <c r="BS18" s="35">
        <v>83.086075354200005</v>
      </c>
      <c r="BT18" s="35">
        <v>85.101725418599997</v>
      </c>
      <c r="BU18" s="35">
        <v>95.086075354200005</v>
      </c>
      <c r="BV18" s="35">
        <v>97.101725418599997</v>
      </c>
      <c r="BW18" s="35">
        <v>99.117375483000004</v>
      </c>
      <c r="BX18" s="35">
        <v>109.1017254186</v>
      </c>
      <c r="BY18" s="35">
        <v>111.117375483</v>
      </c>
      <c r="BZ18" s="35">
        <v>113.13302554740001</v>
      </c>
      <c r="CA18" s="35">
        <v>123.117375483</v>
      </c>
      <c r="CB18" s="35">
        <v>125.13302554740001</v>
      </c>
      <c r="CC18" s="35">
        <v>127.1486756118</v>
      </c>
      <c r="CD18" s="35">
        <v>137.1330255474</v>
      </c>
      <c r="CE18" s="35">
        <v>139.1486756118</v>
      </c>
      <c r="CF18" s="35">
        <v>141.16432567620001</v>
      </c>
      <c r="CG18" s="35">
        <v>149.1330255474</v>
      </c>
      <c r="CH18" s="35">
        <v>151.1486756118</v>
      </c>
      <c r="CI18" s="35">
        <v>153.16432567620001</v>
      </c>
      <c r="CJ18" s="35">
        <v>155.17997574060001</v>
      </c>
      <c r="CK18" s="35">
        <v>163.1486756118</v>
      </c>
      <c r="CL18" s="35">
        <v>165.16432567620001</v>
      </c>
      <c r="CM18" s="35">
        <v>167.17997574060001</v>
      </c>
      <c r="CN18" s="35">
        <v>169.19562580499999</v>
      </c>
      <c r="CO18" s="35">
        <v>177.16432567620001</v>
      </c>
      <c r="CP18" s="35">
        <v>179.17997574060001</v>
      </c>
      <c r="CQ18" s="35">
        <v>181.19562580499999</v>
      </c>
      <c r="CR18" s="35">
        <v>183.2112758694</v>
      </c>
      <c r="CS18" s="35">
        <v>191.17997574060001</v>
      </c>
      <c r="CT18" s="35">
        <v>193.19562580499999</v>
      </c>
      <c r="CU18" s="35">
        <v>195.2112758694</v>
      </c>
      <c r="CV18" s="35">
        <v>197.2269259338</v>
      </c>
      <c r="CW18" s="35">
        <v>205.19562580499999</v>
      </c>
      <c r="CX18" s="35">
        <v>207.2112758694</v>
      </c>
      <c r="CY18" s="35">
        <v>209.2269259338</v>
      </c>
      <c r="CZ18" s="35">
        <v>211.24257599820001</v>
      </c>
      <c r="DA18" s="35">
        <v>217.19562580499999</v>
      </c>
      <c r="DB18" s="35">
        <v>219.2112758694</v>
      </c>
      <c r="DC18" s="35">
        <v>221.2269259338</v>
      </c>
      <c r="DD18" s="35">
        <v>223.24257599820001</v>
      </c>
      <c r="DE18" s="35">
        <v>225.25822606260002</v>
      </c>
      <c r="DF18" s="35">
        <v>231.2112758694</v>
      </c>
      <c r="DG18" s="35">
        <v>233.2269259338</v>
      </c>
      <c r="DH18" s="35">
        <v>235.24257599820001</v>
      </c>
      <c r="DI18" s="35">
        <v>237.25822606260002</v>
      </c>
      <c r="DJ18" s="35">
        <v>239.27387612699999</v>
      </c>
      <c r="DK18" s="35">
        <v>245.2269259338</v>
      </c>
      <c r="DL18" s="35">
        <v>247.24257599820001</v>
      </c>
      <c r="DM18" s="35">
        <v>249.25822606260002</v>
      </c>
      <c r="DN18" s="35">
        <v>251.27387612699999</v>
      </c>
      <c r="DO18" s="35">
        <v>253.2895261914</v>
      </c>
      <c r="DP18" s="35">
        <v>259.24257599819998</v>
      </c>
      <c r="DQ18" s="35">
        <v>261.25822606259999</v>
      </c>
      <c r="DR18" s="35">
        <v>263.27387612699999</v>
      </c>
      <c r="DS18" s="35">
        <v>265.2895261914</v>
      </c>
      <c r="DT18" s="35">
        <v>267.30517625580001</v>
      </c>
      <c r="DU18" s="35">
        <v>273.25822606259999</v>
      </c>
      <c r="DV18" s="35">
        <v>55.0547752254</v>
      </c>
      <c r="DW18" s="35">
        <v>57.070425289800006</v>
      </c>
      <c r="DX18" s="35">
        <v>69.070425289799999</v>
      </c>
      <c r="DY18" s="35">
        <v>71.086075354200005</v>
      </c>
      <c r="DZ18" s="35">
        <v>81.070425289799999</v>
      </c>
      <c r="EA18" s="35">
        <v>83.086075354200005</v>
      </c>
      <c r="EB18" s="35">
        <v>85.101725418599997</v>
      </c>
      <c r="EC18" s="35">
        <v>95.086075354200005</v>
      </c>
      <c r="ED18" s="35">
        <v>97.101725418599997</v>
      </c>
      <c r="EE18" s="35">
        <v>99.117375483000004</v>
      </c>
      <c r="EF18" s="35">
        <v>109.1017254186</v>
      </c>
      <c r="EG18" s="35">
        <v>111.117375483</v>
      </c>
      <c r="EH18" s="35">
        <v>113.13302554740001</v>
      </c>
      <c r="EI18" s="35">
        <v>123.117375483</v>
      </c>
      <c r="EJ18" s="35">
        <v>125.13302554740001</v>
      </c>
      <c r="EK18" s="35">
        <v>127.1486756118</v>
      </c>
      <c r="EL18" s="35">
        <v>137.1330255474</v>
      </c>
      <c r="EM18" s="35">
        <v>139.1486756118</v>
      </c>
      <c r="EN18" s="35">
        <v>141.16432567620001</v>
      </c>
      <c r="EO18" s="35">
        <v>149.1330255474</v>
      </c>
      <c r="EP18" s="35">
        <v>151.1486756118</v>
      </c>
      <c r="EQ18" s="35">
        <v>153.16432567620001</v>
      </c>
      <c r="ER18" s="35">
        <v>155.17997574060001</v>
      </c>
      <c r="ES18" s="35">
        <v>163.1486756118</v>
      </c>
      <c r="ET18" s="35">
        <v>165.16432567620001</v>
      </c>
      <c r="EU18" s="35">
        <v>167.17997574060001</v>
      </c>
      <c r="EV18" s="35">
        <v>169.19562580499999</v>
      </c>
      <c r="EW18" s="35">
        <v>177.16432567620001</v>
      </c>
      <c r="EX18" s="35">
        <v>179.17997574060001</v>
      </c>
      <c r="EY18" s="35">
        <v>181.19562580499999</v>
      </c>
      <c r="EZ18" s="35">
        <v>183.2112758694</v>
      </c>
      <c r="FA18" s="35">
        <v>191.17997574060001</v>
      </c>
      <c r="FB18" s="35">
        <v>193.19562580499999</v>
      </c>
      <c r="FC18" s="35">
        <v>195.2112758694</v>
      </c>
      <c r="FD18" s="35">
        <v>197.2269259338</v>
      </c>
      <c r="FE18" s="35">
        <v>205.19562580499999</v>
      </c>
      <c r="FF18" s="35">
        <v>207.2112758694</v>
      </c>
      <c r="FG18" s="35">
        <v>209.2269259338</v>
      </c>
      <c r="FH18" s="35">
        <v>211.24257599820001</v>
      </c>
      <c r="FI18" s="35">
        <v>217.19562580499999</v>
      </c>
      <c r="FJ18" s="35">
        <v>219.2112758694</v>
      </c>
      <c r="FK18" s="35">
        <v>221.2269259338</v>
      </c>
      <c r="FL18" s="35">
        <v>223.24257599820001</v>
      </c>
      <c r="FM18" s="35">
        <v>225.25822606260002</v>
      </c>
      <c r="FN18" s="35">
        <v>231.2112758694</v>
      </c>
      <c r="FO18" s="35">
        <v>233.2269259338</v>
      </c>
      <c r="FP18" s="35">
        <v>235.24257599820001</v>
      </c>
      <c r="FQ18" s="35">
        <v>237.25822606260002</v>
      </c>
      <c r="FR18" s="35">
        <v>239.27387612699999</v>
      </c>
      <c r="FS18" s="35">
        <v>245.2269259338</v>
      </c>
      <c r="FT18" s="35">
        <v>247.24257599820001</v>
      </c>
      <c r="FU18" s="35">
        <v>249.25822606260002</v>
      </c>
      <c r="FV18" s="35">
        <v>251.27387612699999</v>
      </c>
      <c r="FW18" s="35">
        <v>253.2895261914</v>
      </c>
      <c r="FX18" s="35">
        <v>259.24257599819998</v>
      </c>
      <c r="FY18" s="35">
        <v>261.25822606259999</v>
      </c>
      <c r="FZ18" s="35">
        <v>263.27387612699999</v>
      </c>
      <c r="GA18" s="35">
        <v>265.2895261914</v>
      </c>
      <c r="GB18" s="35">
        <v>267.30517625580001</v>
      </c>
      <c r="GC18" s="35">
        <v>273.25822606259999</v>
      </c>
      <c r="GD18" s="35">
        <v>0</v>
      </c>
      <c r="GE18" s="35">
        <v>183.77297265624998</v>
      </c>
      <c r="GF18" s="35">
        <v>22.971621582031247</v>
      </c>
      <c r="GG18" s="35">
        <v>2.8714526977539059</v>
      </c>
      <c r="GH18" s="35">
        <v>1.4357263488769529</v>
      </c>
      <c r="GI18" s="36">
        <v>3.1457280000000019</v>
      </c>
      <c r="GJ18" s="36">
        <v>2</v>
      </c>
      <c r="GK18" s="35">
        <v>0</v>
      </c>
      <c r="GL18" s="35">
        <v>40.960000000000008</v>
      </c>
      <c r="GM18" s="35">
        <v>22.75555555555556</v>
      </c>
      <c r="GN18" s="35">
        <v>15.92888888888889</v>
      </c>
      <c r="GO18" s="35">
        <v>5.3096296296296304</v>
      </c>
      <c r="GP18" s="35">
        <v>29.160000000000004</v>
      </c>
      <c r="GQ18" s="35">
        <v>29.160000000000004</v>
      </c>
      <c r="GR18" s="35">
        <v>14.580000000000002</v>
      </c>
      <c r="GS18" s="35">
        <v>29.160000000000004</v>
      </c>
      <c r="GT18" s="35">
        <v>5.8320000000000007</v>
      </c>
      <c r="GU18" s="35">
        <v>15</v>
      </c>
      <c r="GV18" s="35">
        <v>3.75</v>
      </c>
      <c r="GW18" s="35">
        <v>31.103999999999999</v>
      </c>
      <c r="GX18" s="35">
        <v>15.552</v>
      </c>
      <c r="GY18" s="35">
        <v>40.960000000000008</v>
      </c>
      <c r="GZ18" s="35">
        <v>22.75555555555556</v>
      </c>
      <c r="HA18" s="35">
        <v>15.92888888888889</v>
      </c>
      <c r="HB18" s="35">
        <v>5.3096296296296304</v>
      </c>
      <c r="HC18" s="35">
        <v>29.160000000000004</v>
      </c>
      <c r="HD18" s="35">
        <v>29.160000000000004</v>
      </c>
      <c r="HE18" s="35">
        <v>14.580000000000002</v>
      </c>
      <c r="HF18" s="35">
        <v>29.160000000000004</v>
      </c>
      <c r="HG18" s="35">
        <v>5.8320000000000007</v>
      </c>
      <c r="HH18" s="35">
        <v>15</v>
      </c>
      <c r="HI18" s="35">
        <v>3.75</v>
      </c>
      <c r="HJ18" s="35">
        <v>31.103999999999999</v>
      </c>
      <c r="HK18" s="35">
        <v>15.552</v>
      </c>
      <c r="HL18" s="35">
        <v>5</v>
      </c>
      <c r="HM18" s="35">
        <v>0</v>
      </c>
      <c r="HN18" s="35">
        <v>0</v>
      </c>
      <c r="HO18" s="35">
        <v>0.476837158203125</v>
      </c>
      <c r="HP18" s="35">
        <v>1.5708885696404189</v>
      </c>
      <c r="HQ18" s="35">
        <v>1.4551915228366852</v>
      </c>
      <c r="HR18" s="35">
        <v>1.9523640191169775</v>
      </c>
      <c r="HS18" s="35">
        <v>1.0862946510314941</v>
      </c>
      <c r="HT18" s="35">
        <v>3.6209821701049805</v>
      </c>
      <c r="HU18" s="35">
        <v>2.1848436788802914</v>
      </c>
      <c r="HV18" s="35">
        <v>2.7392292395234108</v>
      </c>
      <c r="HW18" s="35">
        <v>12.361758929757904</v>
      </c>
      <c r="HX18" s="35">
        <v>1.6436902594446974</v>
      </c>
      <c r="HY18" s="35">
        <v>6.103515625</v>
      </c>
      <c r="HZ18" s="35">
        <v>15.2587890625</v>
      </c>
      <c r="IA18" s="35">
        <v>0.73551647132453335</v>
      </c>
      <c r="IB18" s="35">
        <v>4.7741965521823628</v>
      </c>
      <c r="IC18" s="35">
        <v>12.361758929757904</v>
      </c>
      <c r="ID18" s="35">
        <v>0.83568502503413755</v>
      </c>
      <c r="IE18" s="35">
        <v>3.7011818562559</v>
      </c>
      <c r="IF18" s="35">
        <v>9.938358688094544</v>
      </c>
      <c r="IG18" s="35">
        <v>0.94455863108784721</v>
      </c>
      <c r="IH18" s="35">
        <v>2.6171307889631601</v>
      </c>
      <c r="II18" s="35">
        <v>2.8418916187052878</v>
      </c>
      <c r="IJ18" s="35">
        <v>7.9245054752358994</v>
      </c>
      <c r="IK18" s="35">
        <v>1.0625</v>
      </c>
      <c r="IL18" s="35">
        <v>2.0095208349837232</v>
      </c>
      <c r="IM18" s="35">
        <v>2.1596040642437933</v>
      </c>
      <c r="IN18" s="35">
        <v>6.2628517863070012</v>
      </c>
      <c r="IO18" s="35">
        <v>0.94455863108784721</v>
      </c>
      <c r="IP18" s="35">
        <v>1.5270706785048145</v>
      </c>
      <c r="IQ18" s="35">
        <v>1.6228290277881319</v>
      </c>
      <c r="IR18" s="35">
        <v>4.9022960214433144</v>
      </c>
      <c r="IS18" s="35">
        <v>0.83568502503413755</v>
      </c>
      <c r="IT18" s="35">
        <v>1.1475134102553601</v>
      </c>
      <c r="IU18" s="35">
        <v>1.2047277872548898</v>
      </c>
      <c r="IV18" s="35">
        <v>3.7975115033034568</v>
      </c>
      <c r="IW18" s="35">
        <v>0.73551647132453335</v>
      </c>
      <c r="IX18" s="35">
        <v>0.85187118785179694</v>
      </c>
      <c r="IY18" s="35">
        <v>0.8825774788777353</v>
      </c>
      <c r="IZ18" s="35">
        <v>2.908493964483446</v>
      </c>
      <c r="JA18" s="35">
        <v>0.64369025944469738</v>
      </c>
      <c r="JB18" s="35">
        <v>0.62407652023697346</v>
      </c>
      <c r="JC18" s="35">
        <v>2.0566158053263899</v>
      </c>
      <c r="JD18" s="35">
        <v>0.63727831174455729</v>
      </c>
      <c r="JE18" s="35">
        <v>2.2001275048323996</v>
      </c>
      <c r="JF18" s="35">
        <v>0.5598436788802913</v>
      </c>
      <c r="JG18" s="35">
        <v>0.45062381573769106</v>
      </c>
      <c r="JH18" s="35">
        <v>1.5557250781420282</v>
      </c>
      <c r="JI18" s="35">
        <v>0.45290179825370042</v>
      </c>
      <c r="JJ18" s="35">
        <v>1.6417690186696638</v>
      </c>
      <c r="JK18" s="35">
        <v>0.4836140191169776</v>
      </c>
      <c r="JL18" s="35">
        <v>0.32024993275677321</v>
      </c>
      <c r="JM18" s="35">
        <v>1.1609060062433028</v>
      </c>
      <c r="JN18" s="35">
        <v>0.31627821718848598</v>
      </c>
      <c r="JO18" s="35">
        <v>1.2068510919034332</v>
      </c>
      <c r="JP18" s="35">
        <v>0.4146385696404189</v>
      </c>
      <c r="JQ18" s="35">
        <v>0.22364247211557009</v>
      </c>
      <c r="JR18" s="35">
        <v>0.85337259096730689</v>
      </c>
      <c r="JS18" s="35">
        <v>0.21662152610917026</v>
      </c>
      <c r="JT18" s="35">
        <v>0.8725033690508246</v>
      </c>
      <c r="JU18" s="35">
        <v>0.35255461993627668</v>
      </c>
      <c r="JV18" s="35">
        <v>0.15317455006277303</v>
      </c>
      <c r="JW18" s="35">
        <v>0.476837158203125</v>
      </c>
      <c r="JX18" s="35">
        <v>1.5708885696404189</v>
      </c>
      <c r="JY18" s="35">
        <v>1.4551915228366852</v>
      </c>
      <c r="JZ18" s="35">
        <v>1.9523640191169775</v>
      </c>
      <c r="KA18" s="35">
        <v>1.0862946510314941</v>
      </c>
      <c r="KB18" s="35">
        <v>3.6209821701049805</v>
      </c>
      <c r="KC18" s="35">
        <v>2.1848436788802914</v>
      </c>
      <c r="KD18" s="35">
        <v>2.7392292395234108</v>
      </c>
      <c r="KE18" s="35">
        <v>12.361758929757904</v>
      </c>
      <c r="KF18" s="35">
        <v>1.6436902594446974</v>
      </c>
      <c r="KG18" s="35">
        <v>6.103515625</v>
      </c>
      <c r="KH18" s="35">
        <v>15.2587890625</v>
      </c>
      <c r="KI18" s="35">
        <v>0.73551647132453335</v>
      </c>
      <c r="KJ18" s="35">
        <v>4.7741965521823628</v>
      </c>
      <c r="KK18" s="35">
        <v>12.361758929757904</v>
      </c>
      <c r="KL18" s="35">
        <v>0.83568502503413755</v>
      </c>
      <c r="KM18" s="35">
        <v>3.7011818562559</v>
      </c>
      <c r="KN18" s="35">
        <v>9.938358688094544</v>
      </c>
      <c r="KO18" s="35">
        <v>0.94455863108784721</v>
      </c>
      <c r="KP18" s="35">
        <v>2.6171307889631601</v>
      </c>
      <c r="KQ18" s="35">
        <v>2.8418916187052878</v>
      </c>
      <c r="KR18" s="35">
        <v>7.9245054752358994</v>
      </c>
      <c r="KS18" s="35">
        <v>1.0625</v>
      </c>
      <c r="KT18" s="35">
        <v>2.0095208349837232</v>
      </c>
      <c r="KU18" s="35">
        <v>2.1596040642437933</v>
      </c>
      <c r="KV18" s="35">
        <v>6.2628517863070012</v>
      </c>
      <c r="KW18" s="35">
        <v>0.94455863108784721</v>
      </c>
      <c r="KX18" s="35">
        <v>1.5270706785048145</v>
      </c>
      <c r="KY18" s="35">
        <v>1.6228290277881319</v>
      </c>
      <c r="KZ18" s="35">
        <v>4.9022960214433144</v>
      </c>
      <c r="LA18" s="35">
        <v>0.83568502503413755</v>
      </c>
      <c r="LB18" s="35">
        <v>1.1475134102553601</v>
      </c>
      <c r="LC18" s="35">
        <v>1.2047277872548898</v>
      </c>
      <c r="LD18" s="35">
        <v>3.7975115033034568</v>
      </c>
      <c r="LE18" s="35">
        <v>0.73551647132453335</v>
      </c>
      <c r="LF18" s="35">
        <v>0.85187118785179694</v>
      </c>
      <c r="LG18" s="35">
        <v>0.8825774788777353</v>
      </c>
      <c r="LH18" s="35">
        <v>2.908493964483446</v>
      </c>
      <c r="LI18" s="35">
        <v>0.64369025944469738</v>
      </c>
      <c r="LJ18" s="35">
        <v>0.62407652023697346</v>
      </c>
      <c r="LK18" s="35">
        <v>2.0566158053263899</v>
      </c>
      <c r="LL18" s="35">
        <v>0.63727831174455729</v>
      </c>
      <c r="LM18" s="35">
        <v>2.2001275048323996</v>
      </c>
      <c r="LN18" s="35">
        <v>0.5598436788802913</v>
      </c>
      <c r="LO18" s="35">
        <v>0.45062381573769106</v>
      </c>
      <c r="LP18" s="35">
        <v>1.5557250781420282</v>
      </c>
      <c r="LQ18" s="35">
        <v>0.45290179825370042</v>
      </c>
      <c r="LR18" s="35">
        <v>1.6417690186696638</v>
      </c>
      <c r="LS18" s="35">
        <v>0.4836140191169776</v>
      </c>
      <c r="LT18" s="35">
        <v>0.32024993275677321</v>
      </c>
      <c r="LU18" s="35">
        <v>1.1609060062433028</v>
      </c>
      <c r="LV18" s="35">
        <v>0.31627821718848598</v>
      </c>
      <c r="LW18" s="35">
        <v>1.2068510919034332</v>
      </c>
      <c r="LX18" s="35">
        <v>0.4146385696404189</v>
      </c>
      <c r="LY18" s="35">
        <v>0.22364247211557009</v>
      </c>
      <c r="LZ18" s="35">
        <v>0.85337259096730689</v>
      </c>
      <c r="MA18" s="35">
        <v>0.21662152610917026</v>
      </c>
      <c r="MB18" s="35">
        <v>0.8725033690508246</v>
      </c>
      <c r="MC18" s="35">
        <v>0.35255461993627668</v>
      </c>
      <c r="MD18" s="35">
        <v>0.15317455006277303</v>
      </c>
    </row>
    <row r="19" spans="1:342" s="26" customFormat="1" ht="14.25" x14ac:dyDescent="0.2">
      <c r="A19" s="26">
        <v>13</v>
      </c>
      <c r="B19" s="26" t="s">
        <v>676</v>
      </c>
      <c r="C19" s="26" t="s">
        <v>442</v>
      </c>
      <c r="D19" s="26" t="s">
        <v>166</v>
      </c>
      <c r="E19" s="26" t="s">
        <v>442</v>
      </c>
      <c r="F19" s="31" t="s">
        <v>170</v>
      </c>
      <c r="G19" s="31" t="s">
        <v>171</v>
      </c>
      <c r="H19" s="32">
        <v>-1</v>
      </c>
      <c r="I19" s="33">
        <v>27.77</v>
      </c>
      <c r="J19" s="34">
        <v>19.437999999999999</v>
      </c>
      <c r="K19" s="32" t="s">
        <v>172</v>
      </c>
      <c r="L19" s="26">
        <v>0</v>
      </c>
      <c r="M19" s="26">
        <v>2</v>
      </c>
      <c r="N19" s="26" t="s">
        <v>442</v>
      </c>
      <c r="O19" s="26">
        <v>0</v>
      </c>
      <c r="P19" s="26">
        <v>0</v>
      </c>
      <c r="Q19" s="26">
        <v>2</v>
      </c>
      <c r="R19" s="26">
        <v>4</v>
      </c>
      <c r="S19" s="26">
        <v>0</v>
      </c>
      <c r="T19" s="26">
        <v>40</v>
      </c>
      <c r="U19" s="26">
        <v>0</v>
      </c>
      <c r="V19" s="26">
        <v>40</v>
      </c>
      <c r="W19" s="26">
        <v>0</v>
      </c>
      <c r="X19" s="26" t="s">
        <v>442</v>
      </c>
      <c r="Y19" s="37">
        <v>1052.7015397096002</v>
      </c>
      <c r="Z19" s="37">
        <v>1034.6909797096002</v>
      </c>
      <c r="AA19" s="37">
        <v>1052.7015397096002</v>
      </c>
      <c r="AB19" s="37">
        <v>1034.6909797096002</v>
      </c>
      <c r="AC19" s="37">
        <v>1614.3349647095999</v>
      </c>
      <c r="AD19" s="37">
        <v>1290.2293178696</v>
      </c>
      <c r="AE19" s="37">
        <v>1272.2187531856</v>
      </c>
      <c r="AF19" s="37">
        <v>1254.2081885016</v>
      </c>
      <c r="AG19" s="37">
        <v>1236.1976238176001</v>
      </c>
      <c r="AH19" s="37">
        <v>1216.1925384372</v>
      </c>
      <c r="AI19" s="37">
        <v>1198.1819737532001</v>
      </c>
      <c r="AJ19" s="37">
        <v>1106.1346296368001</v>
      </c>
      <c r="AK19" s="37">
        <v>735.65026542240003</v>
      </c>
      <c r="AL19" s="37">
        <v>717.63970073840005</v>
      </c>
      <c r="AM19" s="37">
        <v>699.62913605440008</v>
      </c>
      <c r="AN19" s="37">
        <v>681.6185713704001</v>
      </c>
      <c r="AO19" s="37">
        <v>661.61348599000007</v>
      </c>
      <c r="AP19" s="37">
        <v>643.6029213060001</v>
      </c>
      <c r="AQ19" s="37">
        <v>625.59235662200012</v>
      </c>
      <c r="AR19" s="37">
        <v>607.58179193800015</v>
      </c>
      <c r="AS19" s="37">
        <v>589.57122725400018</v>
      </c>
      <c r="AT19" s="37">
        <v>605.58727124160009</v>
      </c>
      <c r="AU19" s="37">
        <v>587.57670655760012</v>
      </c>
      <c r="AV19" s="37">
        <v>553.57122744720004</v>
      </c>
      <c r="AW19" s="37">
        <v>571.58179213120002</v>
      </c>
      <c r="AX19" s="37">
        <v>739.68156555120004</v>
      </c>
      <c r="AY19" s="37">
        <v>721.67100086720006</v>
      </c>
      <c r="AZ19" s="37">
        <v>703.66043618320009</v>
      </c>
      <c r="BA19" s="37">
        <v>685.64987149920012</v>
      </c>
      <c r="BB19" s="37">
        <v>665.64478611880008</v>
      </c>
      <c r="BC19" s="37">
        <v>647.63422143480011</v>
      </c>
      <c r="BD19" s="37">
        <v>629.62365675080014</v>
      </c>
      <c r="BE19" s="37">
        <v>611.61309206680016</v>
      </c>
      <c r="BF19" s="37">
        <v>593.60252738280019</v>
      </c>
      <c r="BG19" s="37">
        <v>609.6185713704001</v>
      </c>
      <c r="BH19" s="37">
        <v>591.60800668640013</v>
      </c>
      <c r="BI19" s="37">
        <v>549.53992731840003</v>
      </c>
      <c r="BJ19" s="37">
        <v>567.55049200240001</v>
      </c>
      <c r="BK19" s="37">
        <v>163.06064842000001</v>
      </c>
      <c r="BL19" s="37">
        <v>0</v>
      </c>
      <c r="BM19" s="37">
        <v>0</v>
      </c>
      <c r="BN19" s="37">
        <v>55.0547752254</v>
      </c>
      <c r="BO19" s="37">
        <v>57.070425289800006</v>
      </c>
      <c r="BP19" s="37">
        <v>69.070425289799999</v>
      </c>
      <c r="BQ19" s="37">
        <v>71.086075354200005</v>
      </c>
      <c r="BR19" s="37">
        <v>81.070425289799999</v>
      </c>
      <c r="BS19" s="37">
        <v>83.086075354200005</v>
      </c>
      <c r="BT19" s="37">
        <v>85.101725418599997</v>
      </c>
      <c r="BU19" s="37">
        <v>95.086075354200005</v>
      </c>
      <c r="BV19" s="37">
        <v>97.101725418599997</v>
      </c>
      <c r="BW19" s="37">
        <v>99.117375483000004</v>
      </c>
      <c r="BX19" s="37">
        <v>109.1017254186</v>
      </c>
      <c r="BY19" s="37">
        <v>111.117375483</v>
      </c>
      <c r="BZ19" s="37">
        <v>113.13302554740001</v>
      </c>
      <c r="CA19" s="37">
        <v>123.117375483</v>
      </c>
      <c r="CB19" s="37">
        <v>125.13302554740001</v>
      </c>
      <c r="CC19" s="37">
        <v>127.1486756118</v>
      </c>
      <c r="CD19" s="37">
        <v>137.1330255474</v>
      </c>
      <c r="CE19" s="37">
        <v>139.1486756118</v>
      </c>
      <c r="CF19" s="37">
        <v>141.16432567620001</v>
      </c>
      <c r="CG19" s="37">
        <v>149.1330255474</v>
      </c>
      <c r="CH19" s="37">
        <v>151.1486756118</v>
      </c>
      <c r="CI19" s="37">
        <v>153.16432567620001</v>
      </c>
      <c r="CJ19" s="37">
        <v>155.17997574060001</v>
      </c>
      <c r="CK19" s="37">
        <v>163.1486756118</v>
      </c>
      <c r="CL19" s="37">
        <v>165.16432567620001</v>
      </c>
      <c r="CM19" s="37">
        <v>167.17997574060001</v>
      </c>
      <c r="CN19" s="37">
        <v>169.19562580499999</v>
      </c>
      <c r="CO19" s="37">
        <v>177.16432567620001</v>
      </c>
      <c r="CP19" s="37">
        <v>179.17997574060001</v>
      </c>
      <c r="CQ19" s="37">
        <v>181.19562580499999</v>
      </c>
      <c r="CR19" s="37">
        <v>183.2112758694</v>
      </c>
      <c r="CS19" s="37">
        <v>191.17997574060001</v>
      </c>
      <c r="CT19" s="37">
        <v>193.19562580499999</v>
      </c>
      <c r="CU19" s="37">
        <v>195.2112758694</v>
      </c>
      <c r="CV19" s="37">
        <v>197.2269259338</v>
      </c>
      <c r="CW19" s="37">
        <v>205.19562580499999</v>
      </c>
      <c r="CX19" s="37">
        <v>207.2112758694</v>
      </c>
      <c r="CY19" s="37">
        <v>209.2269259338</v>
      </c>
      <c r="CZ19" s="37">
        <v>211.24257599820001</v>
      </c>
      <c r="DA19" s="37">
        <v>219.2112758694</v>
      </c>
      <c r="DB19" s="37">
        <v>221.2269259338</v>
      </c>
      <c r="DC19" s="37">
        <v>223.24257599820001</v>
      </c>
      <c r="DD19" s="37">
        <v>225.25822606260002</v>
      </c>
      <c r="DE19" s="37">
        <v>233.2269259338</v>
      </c>
      <c r="DF19" s="37">
        <v>235.24257599820001</v>
      </c>
      <c r="DG19" s="37">
        <v>237.25822606260002</v>
      </c>
      <c r="DH19" s="37">
        <v>239.27387612699999</v>
      </c>
      <c r="DI19" s="37">
        <v>247.24257599820001</v>
      </c>
      <c r="DJ19" s="37">
        <v>249.25822606260002</v>
      </c>
      <c r="DK19" s="37">
        <v>251.27387612699999</v>
      </c>
      <c r="DL19" s="37">
        <v>253.2895261914</v>
      </c>
      <c r="DM19" s="37">
        <v>261.25822606259999</v>
      </c>
      <c r="DN19" s="37">
        <v>263.27387612699999</v>
      </c>
      <c r="DO19" s="37">
        <v>265.2895261914</v>
      </c>
      <c r="DP19" s="37">
        <v>267.30517625580001</v>
      </c>
      <c r="DQ19" s="37">
        <v>275.27387612699999</v>
      </c>
      <c r="DR19" s="37">
        <v>277.2895261914</v>
      </c>
      <c r="DS19" s="37">
        <v>279.30517625580001</v>
      </c>
      <c r="DT19" s="37">
        <v>281.32082632020001</v>
      </c>
      <c r="DU19" s="37">
        <v>289.2895261914</v>
      </c>
      <c r="DV19" s="37">
        <v>55.0547752254</v>
      </c>
      <c r="DW19" s="37">
        <v>57.070425289800006</v>
      </c>
      <c r="DX19" s="37">
        <v>69.070425289799999</v>
      </c>
      <c r="DY19" s="37">
        <v>71.086075354200005</v>
      </c>
      <c r="DZ19" s="37">
        <v>81.070425289799999</v>
      </c>
      <c r="EA19" s="37">
        <v>83.086075354200005</v>
      </c>
      <c r="EB19" s="37">
        <v>85.101725418599997</v>
      </c>
      <c r="EC19" s="37">
        <v>95.086075354200005</v>
      </c>
      <c r="ED19" s="37">
        <v>97.101725418599997</v>
      </c>
      <c r="EE19" s="37">
        <v>99.117375483000004</v>
      </c>
      <c r="EF19" s="37">
        <v>109.1017254186</v>
      </c>
      <c r="EG19" s="37">
        <v>111.117375483</v>
      </c>
      <c r="EH19" s="37">
        <v>113.13302554740001</v>
      </c>
      <c r="EI19" s="37">
        <v>123.117375483</v>
      </c>
      <c r="EJ19" s="37">
        <v>125.13302554740001</v>
      </c>
      <c r="EK19" s="37">
        <v>127.1486756118</v>
      </c>
      <c r="EL19" s="37">
        <v>137.1330255474</v>
      </c>
      <c r="EM19" s="37">
        <v>139.1486756118</v>
      </c>
      <c r="EN19" s="37">
        <v>141.16432567620001</v>
      </c>
      <c r="EO19" s="37">
        <v>149.1330255474</v>
      </c>
      <c r="EP19" s="37">
        <v>151.1486756118</v>
      </c>
      <c r="EQ19" s="37">
        <v>153.16432567620001</v>
      </c>
      <c r="ER19" s="37">
        <v>155.17997574060001</v>
      </c>
      <c r="ES19" s="37">
        <v>163.1486756118</v>
      </c>
      <c r="ET19" s="37">
        <v>165.16432567620001</v>
      </c>
      <c r="EU19" s="37">
        <v>167.17997574060001</v>
      </c>
      <c r="EV19" s="37">
        <v>169.19562580499999</v>
      </c>
      <c r="EW19" s="37">
        <v>177.16432567620001</v>
      </c>
      <c r="EX19" s="37">
        <v>179.17997574060001</v>
      </c>
      <c r="EY19" s="37">
        <v>181.19562580499999</v>
      </c>
      <c r="EZ19" s="37">
        <v>183.2112758694</v>
      </c>
      <c r="FA19" s="37">
        <v>191.17997574060001</v>
      </c>
      <c r="FB19" s="37">
        <v>193.19562580499999</v>
      </c>
      <c r="FC19" s="37">
        <v>195.2112758694</v>
      </c>
      <c r="FD19" s="37">
        <v>197.2269259338</v>
      </c>
      <c r="FE19" s="37">
        <v>205.19562580499999</v>
      </c>
      <c r="FF19" s="37">
        <v>207.2112758694</v>
      </c>
      <c r="FG19" s="37">
        <v>209.2269259338</v>
      </c>
      <c r="FH19" s="37">
        <v>211.24257599820001</v>
      </c>
      <c r="FI19" s="37">
        <v>217.19562580499999</v>
      </c>
      <c r="FJ19" s="37">
        <v>219.2112758694</v>
      </c>
      <c r="FK19" s="37">
        <v>221.2269259338</v>
      </c>
      <c r="FL19" s="37">
        <v>223.24257599820001</v>
      </c>
      <c r="FM19" s="37">
        <v>225.25822606260002</v>
      </c>
      <c r="FN19" s="37">
        <v>231.2112758694</v>
      </c>
      <c r="FO19" s="37">
        <v>233.2269259338</v>
      </c>
      <c r="FP19" s="37">
        <v>235.24257599820001</v>
      </c>
      <c r="FQ19" s="37">
        <v>237.25822606260002</v>
      </c>
      <c r="FR19" s="37">
        <v>239.27387612699999</v>
      </c>
      <c r="FS19" s="37">
        <v>245.2269259338</v>
      </c>
      <c r="FT19" s="37">
        <v>247.24257599820001</v>
      </c>
      <c r="FU19" s="37">
        <v>249.25822606260002</v>
      </c>
      <c r="FV19" s="37">
        <v>251.27387612699999</v>
      </c>
      <c r="FW19" s="37">
        <v>253.2895261914</v>
      </c>
      <c r="FX19" s="37">
        <v>259.24257599819998</v>
      </c>
      <c r="FY19" s="37">
        <v>261.25822606259999</v>
      </c>
      <c r="FZ19" s="37">
        <v>263.27387612699999</v>
      </c>
      <c r="GA19" s="37">
        <v>265.2895261914</v>
      </c>
      <c r="GB19" s="37">
        <v>267.30517625580001</v>
      </c>
      <c r="GC19" s="37">
        <v>273.25822606259999</v>
      </c>
      <c r="GD19" s="37">
        <v>0</v>
      </c>
      <c r="GE19" s="37">
        <v>183.77297265624998</v>
      </c>
      <c r="GF19" s="37">
        <v>22.971621582031247</v>
      </c>
      <c r="GG19" s="37">
        <v>2.8714526977539059</v>
      </c>
      <c r="GH19" s="37">
        <v>1.4357263488769529</v>
      </c>
      <c r="GI19" s="37">
        <v>3.1457280000000019</v>
      </c>
      <c r="GJ19" s="37">
        <v>2</v>
      </c>
      <c r="GK19" s="37">
        <v>0</v>
      </c>
      <c r="GL19" s="37">
        <v>16.384000000000007</v>
      </c>
      <c r="GM19" s="37">
        <v>9.1022222222222258</v>
      </c>
      <c r="GN19" s="37">
        <v>6.3715555555555579</v>
      </c>
      <c r="GO19" s="37">
        <v>2.1238518518518528</v>
      </c>
      <c r="GP19" s="37">
        <v>26.244000000000007</v>
      </c>
      <c r="GQ19" s="37">
        <v>26.244000000000007</v>
      </c>
      <c r="GR19" s="37">
        <v>13.122000000000003</v>
      </c>
      <c r="GS19" s="37">
        <v>26.244000000000007</v>
      </c>
      <c r="GT19" s="37">
        <v>5.248800000000001</v>
      </c>
      <c r="GU19" s="37">
        <v>15</v>
      </c>
      <c r="GV19" s="37">
        <v>3.75</v>
      </c>
      <c r="GW19" s="37">
        <v>25.919999999999998</v>
      </c>
      <c r="GX19" s="37">
        <v>12.959999999999999</v>
      </c>
      <c r="GY19" s="37">
        <v>51.20000000000001</v>
      </c>
      <c r="GZ19" s="37">
        <v>28.44444444444445</v>
      </c>
      <c r="HA19" s="37">
        <v>19.911111111111115</v>
      </c>
      <c r="HB19" s="37">
        <v>6.6370370370370386</v>
      </c>
      <c r="HC19" s="37">
        <v>32.400000000000006</v>
      </c>
      <c r="HD19" s="37">
        <v>32.400000000000006</v>
      </c>
      <c r="HE19" s="37">
        <v>16.200000000000003</v>
      </c>
      <c r="HF19" s="37">
        <v>32.400000000000006</v>
      </c>
      <c r="HG19" s="37">
        <v>6.4800000000000013</v>
      </c>
      <c r="HH19" s="37">
        <v>15</v>
      </c>
      <c r="HI19" s="37">
        <v>3.75</v>
      </c>
      <c r="HJ19" s="37">
        <v>22.394879999999997</v>
      </c>
      <c r="HK19" s="37">
        <v>11.197439999999999</v>
      </c>
      <c r="HL19" s="37">
        <v>5</v>
      </c>
      <c r="HM19" s="37">
        <v>0</v>
      </c>
      <c r="HN19" s="37">
        <v>0</v>
      </c>
      <c r="HO19" s="37">
        <v>0.98876953125</v>
      </c>
      <c r="HP19" s="37">
        <v>2.1075056052866707</v>
      </c>
      <c r="HQ19" s="37">
        <v>3.0174851417541504</v>
      </c>
      <c r="HR19" s="37">
        <v>2.9708693673190716</v>
      </c>
      <c r="HS19" s="37">
        <v>2.2525405883789063</v>
      </c>
      <c r="HT19" s="37">
        <v>7.5084686279296875</v>
      </c>
      <c r="HU19" s="37">
        <v>3.4767591328242213</v>
      </c>
      <c r="HV19" s="37">
        <v>5.6800657510757446</v>
      </c>
      <c r="HW19" s="37">
        <v>25.633343316745989</v>
      </c>
      <c r="HX19" s="37">
        <v>2.1443382390127956</v>
      </c>
      <c r="HY19" s="37">
        <v>12.65625</v>
      </c>
      <c r="HZ19" s="37">
        <v>31.640625</v>
      </c>
      <c r="IA19" s="37">
        <v>1.3075848379102815</v>
      </c>
      <c r="IB19" s="37">
        <v>9.8997739706053487</v>
      </c>
      <c r="IC19" s="37">
        <v>25.633343316745989</v>
      </c>
      <c r="ID19" s="37">
        <v>1.4856622667273556</v>
      </c>
      <c r="IE19" s="37">
        <v>7.6747706971322343</v>
      </c>
      <c r="IF19" s="37">
        <v>20.608180575632847</v>
      </c>
      <c r="IG19" s="37">
        <v>1.6792153441561728</v>
      </c>
      <c r="IH19" s="37">
        <v>5.4268824039940089</v>
      </c>
      <c r="II19" s="37">
        <v>5.8929464605472841</v>
      </c>
      <c r="IJ19" s="37">
        <v>16.432254553449162</v>
      </c>
      <c r="IK19" s="37">
        <v>1.8888888888888888</v>
      </c>
      <c r="IL19" s="37">
        <v>4.1669424034222482</v>
      </c>
      <c r="IM19" s="37">
        <v>4.4781549876159294</v>
      </c>
      <c r="IN19" s="37">
        <v>12.986649464086197</v>
      </c>
      <c r="IO19" s="37">
        <v>1.6792153441561728</v>
      </c>
      <c r="IP19" s="37">
        <v>3.1665337589475833</v>
      </c>
      <c r="IQ19" s="37">
        <v>3.3650982720214704</v>
      </c>
      <c r="IR19" s="37">
        <v>10.165401030064857</v>
      </c>
      <c r="IS19" s="37">
        <v>1.4856622667273556</v>
      </c>
      <c r="IT19" s="37">
        <v>2.3794838075055149</v>
      </c>
      <c r="IU19" s="37">
        <v>2.4981235396517394</v>
      </c>
      <c r="IV19" s="37">
        <v>7.8745198532500478</v>
      </c>
      <c r="IW19" s="37">
        <v>1.3075848379102815</v>
      </c>
      <c r="IX19" s="37">
        <v>1.7664400951294859</v>
      </c>
      <c r="IY19" s="37">
        <v>1.8301126602008719</v>
      </c>
      <c r="IZ19" s="37">
        <v>6.031053084752874</v>
      </c>
      <c r="JA19" s="37">
        <v>1.1443382390127954</v>
      </c>
      <c r="JB19" s="37">
        <v>1.2940850723633883</v>
      </c>
      <c r="JC19" s="37">
        <v>1.321460307233514</v>
      </c>
      <c r="JD19" s="37">
        <v>4.5621843940204645</v>
      </c>
      <c r="JE19" s="37">
        <v>0.99527765134274004</v>
      </c>
      <c r="JF19" s="37">
        <v>0.93441354431367618</v>
      </c>
      <c r="JG19" s="37">
        <v>0.93913716885887322</v>
      </c>
      <c r="JH19" s="37">
        <v>3.4043722371134146</v>
      </c>
      <c r="JI19" s="37">
        <v>0.8597582562079602</v>
      </c>
      <c r="JJ19" s="37">
        <v>0.66407026056444496</v>
      </c>
      <c r="JK19" s="37">
        <v>0.6558345111620445</v>
      </c>
      <c r="JL19" s="37">
        <v>2.5025264241709593</v>
      </c>
      <c r="JM19" s="37">
        <v>0.73713523491630029</v>
      </c>
      <c r="JN19" s="37">
        <v>0.46374503017884611</v>
      </c>
      <c r="JO19" s="37">
        <v>0.4491863965399755</v>
      </c>
      <c r="JP19" s="37">
        <v>1.8092229860637898</v>
      </c>
      <c r="JQ19" s="37">
        <v>0.62676376877560303</v>
      </c>
      <c r="JR19" s="37">
        <v>0.31762274701016618</v>
      </c>
      <c r="JS19" s="37">
        <v>0.3010658590894742</v>
      </c>
      <c r="JT19" s="37">
        <v>1.283957340234521</v>
      </c>
      <c r="JU19" s="37">
        <v>0.52799903909371371</v>
      </c>
      <c r="JV19" s="37">
        <v>0.21288571054592076</v>
      </c>
      <c r="JW19" s="37">
        <v>0.1953125</v>
      </c>
      <c r="JX19" s="37">
        <v>1.3453686845698682</v>
      </c>
      <c r="JY19" s="37">
        <v>0.59604644775390625</v>
      </c>
      <c r="JZ19" s="37">
        <v>1.5495129722348657</v>
      </c>
      <c r="KA19" s="37">
        <v>0.4449462890625</v>
      </c>
      <c r="KB19" s="37">
        <v>1.483154296875</v>
      </c>
      <c r="KC19" s="37">
        <v>1.6782999544833865</v>
      </c>
      <c r="KD19" s="37">
        <v>1.1219882965087891</v>
      </c>
      <c r="KE19" s="37">
        <v>5.0633764576288378</v>
      </c>
      <c r="KF19" s="37">
        <v>1.4119617660446062</v>
      </c>
      <c r="KG19" s="37">
        <v>2.5</v>
      </c>
      <c r="KH19" s="37">
        <v>6.25</v>
      </c>
      <c r="KI19" s="37">
        <v>0.47073054164770134</v>
      </c>
      <c r="KJ19" s="37">
        <v>1.9555109077738959</v>
      </c>
      <c r="KK19" s="37">
        <v>5.0633764576288378</v>
      </c>
      <c r="KL19" s="37">
        <v>0.53483841602184801</v>
      </c>
      <c r="KM19" s="37">
        <v>1.5160040883224166</v>
      </c>
      <c r="KN19" s="37">
        <v>4.0707517186435256</v>
      </c>
      <c r="KO19" s="37">
        <v>0.60451752389622226</v>
      </c>
      <c r="KP19" s="37">
        <v>1.0719767711593104</v>
      </c>
      <c r="KQ19" s="37">
        <v>1.1640388070216858</v>
      </c>
      <c r="KR19" s="37">
        <v>3.2458774426566244</v>
      </c>
      <c r="KS19" s="37">
        <v>0.68</v>
      </c>
      <c r="KT19" s="37">
        <v>0.82309973400933301</v>
      </c>
      <c r="KU19" s="37">
        <v>0.88457382471425772</v>
      </c>
      <c r="KV19" s="37">
        <v>2.5652640916713478</v>
      </c>
      <c r="KW19" s="37">
        <v>0.60451752389622226</v>
      </c>
      <c r="KX19" s="37">
        <v>0.625488149915572</v>
      </c>
      <c r="KY19" s="37">
        <v>0.66471076978201882</v>
      </c>
      <c r="KZ19" s="37">
        <v>2.0079804503831817</v>
      </c>
      <c r="LA19" s="37">
        <v>0.53483841602184801</v>
      </c>
      <c r="LB19" s="37">
        <v>0.47002149284059552</v>
      </c>
      <c r="LC19" s="37">
        <v>0.49345650165960286</v>
      </c>
      <c r="LD19" s="37">
        <v>1.5554607117530959</v>
      </c>
      <c r="LE19" s="37">
        <v>0.47073054164770134</v>
      </c>
      <c r="LF19" s="37">
        <v>0.348926438544096</v>
      </c>
      <c r="LG19" s="37">
        <v>0.36150373534832037</v>
      </c>
      <c r="LH19" s="37">
        <v>1.1913191278524196</v>
      </c>
      <c r="LI19" s="37">
        <v>0.41196176604460633</v>
      </c>
      <c r="LJ19" s="37">
        <v>0.25562174268906435</v>
      </c>
      <c r="LK19" s="37">
        <v>0.84238983386168942</v>
      </c>
      <c r="LL19" s="37">
        <v>0.26102919649057066</v>
      </c>
      <c r="LM19" s="37">
        <v>0.90117222597935098</v>
      </c>
      <c r="LN19" s="37">
        <v>0.35829995448338642</v>
      </c>
      <c r="LO19" s="37">
        <v>0.18457551492615826</v>
      </c>
      <c r="LP19" s="37">
        <v>0.6372249920069748</v>
      </c>
      <c r="LQ19" s="37">
        <v>0.1855085765647157</v>
      </c>
      <c r="LR19" s="37">
        <v>0.67246859004709425</v>
      </c>
      <c r="LS19" s="37">
        <v>0.30951297223486568</v>
      </c>
      <c r="LT19" s="37">
        <v>0.13117437245717431</v>
      </c>
      <c r="LU19" s="37">
        <v>0.47550710015725678</v>
      </c>
      <c r="LV19" s="37">
        <v>0.12954755776040386</v>
      </c>
      <c r="LW19" s="37">
        <v>0.49432620724364623</v>
      </c>
      <c r="LX19" s="37">
        <v>0.26536868456986812</v>
      </c>
      <c r="LY19" s="37">
        <v>9.160395657853751E-2</v>
      </c>
      <c r="LZ19" s="37">
        <v>0.34954141326020888</v>
      </c>
      <c r="MA19" s="37">
        <v>8.8728177094316144E-2</v>
      </c>
      <c r="MB19" s="37">
        <v>0.35737737996321772</v>
      </c>
      <c r="MC19" s="37">
        <v>0.22563495675921708</v>
      </c>
      <c r="MD19" s="37">
        <v>6.2740295705711838E-2</v>
      </c>
    </row>
    <row r="20" spans="1:342" s="4" customFormat="1" ht="14.25" x14ac:dyDescent="0.2">
      <c r="A20" s="4">
        <v>14</v>
      </c>
      <c r="B20" s="16" t="s">
        <v>677</v>
      </c>
      <c r="C20" s="16" t="s">
        <v>173</v>
      </c>
      <c r="D20" s="16" t="s">
        <v>174</v>
      </c>
      <c r="E20" s="16" t="s">
        <v>173</v>
      </c>
      <c r="F20" s="31" t="s">
        <v>175</v>
      </c>
      <c r="G20" s="31" t="s">
        <v>176</v>
      </c>
      <c r="H20" s="32">
        <v>-1</v>
      </c>
      <c r="I20" s="33">
        <v>28.1</v>
      </c>
      <c r="J20" s="34">
        <v>19.047899999999998</v>
      </c>
      <c r="K20" s="32" t="s">
        <v>177</v>
      </c>
      <c r="L20" s="16">
        <v>0</v>
      </c>
      <c r="M20" s="16">
        <v>2</v>
      </c>
      <c r="N20" s="16" t="s">
        <v>173</v>
      </c>
      <c r="O20" s="16">
        <v>0</v>
      </c>
      <c r="P20" s="16">
        <v>0</v>
      </c>
      <c r="Q20" s="16">
        <v>3</v>
      </c>
      <c r="R20" s="16">
        <v>4</v>
      </c>
      <c r="S20" s="16">
        <v>0</v>
      </c>
      <c r="T20" s="16">
        <v>40</v>
      </c>
      <c r="U20" s="16">
        <v>0</v>
      </c>
      <c r="V20" s="16">
        <v>40</v>
      </c>
      <c r="W20" s="16">
        <v>0</v>
      </c>
      <c r="X20" s="16" t="s">
        <v>173</v>
      </c>
      <c r="Y20" s="35">
        <v>1050.6858896451999</v>
      </c>
      <c r="Z20" s="35">
        <v>1032.6753296452</v>
      </c>
      <c r="AA20" s="35">
        <v>1050.6858896451999</v>
      </c>
      <c r="AB20" s="35">
        <v>1032.6753296452</v>
      </c>
      <c r="AC20" s="35">
        <v>1612.3193146451999</v>
      </c>
      <c r="AD20" s="35">
        <v>1288.2136678052</v>
      </c>
      <c r="AE20" s="35">
        <v>1270.2031031212</v>
      </c>
      <c r="AF20" s="35">
        <v>1252.1925384372</v>
      </c>
      <c r="AG20" s="35">
        <v>1234.1819737532001</v>
      </c>
      <c r="AH20" s="35">
        <v>1214.1768883728</v>
      </c>
      <c r="AI20" s="35">
        <v>1196.1663236888</v>
      </c>
      <c r="AJ20" s="35">
        <v>1104.1189795724001</v>
      </c>
      <c r="AK20" s="35">
        <v>735.65026542240003</v>
      </c>
      <c r="AL20" s="35">
        <v>717.63970073840005</v>
      </c>
      <c r="AM20" s="35">
        <v>699.62913605440008</v>
      </c>
      <c r="AN20" s="35">
        <v>681.6185713704001</v>
      </c>
      <c r="AO20" s="35">
        <v>661.61348599000007</v>
      </c>
      <c r="AP20" s="35">
        <v>643.6029213060001</v>
      </c>
      <c r="AQ20" s="35">
        <v>625.59235662200012</v>
      </c>
      <c r="AR20" s="35">
        <v>607.58179193800015</v>
      </c>
      <c r="AS20" s="35">
        <v>589.57122725400018</v>
      </c>
      <c r="AT20" s="35">
        <v>605.58727124160009</v>
      </c>
      <c r="AU20" s="35">
        <v>587.57670655760012</v>
      </c>
      <c r="AV20" s="35">
        <v>551.55557738280004</v>
      </c>
      <c r="AW20" s="35">
        <v>569.56614206680001</v>
      </c>
      <c r="AX20" s="35">
        <v>737.66591548680003</v>
      </c>
      <c r="AY20" s="35">
        <v>719.65535080280006</v>
      </c>
      <c r="AZ20" s="35">
        <v>701.64478611880008</v>
      </c>
      <c r="BA20" s="35">
        <v>683.63422143480011</v>
      </c>
      <c r="BB20" s="35">
        <v>663.62913605440008</v>
      </c>
      <c r="BC20" s="35">
        <v>645.6185713704001</v>
      </c>
      <c r="BD20" s="35">
        <v>627.60800668640013</v>
      </c>
      <c r="BE20" s="35">
        <v>609.59744200240016</v>
      </c>
      <c r="BF20" s="35">
        <v>591.58687731840018</v>
      </c>
      <c r="BG20" s="35">
        <v>607.6029213060001</v>
      </c>
      <c r="BH20" s="35">
        <v>589.59235662200012</v>
      </c>
      <c r="BI20" s="35">
        <v>549.53992731840003</v>
      </c>
      <c r="BJ20" s="35">
        <v>567.55049200240001</v>
      </c>
      <c r="BK20" s="35">
        <v>163.06064842000001</v>
      </c>
      <c r="BL20" s="35">
        <v>0</v>
      </c>
      <c r="BM20" s="35">
        <v>0</v>
      </c>
      <c r="BN20" s="35">
        <v>55.0547752254</v>
      </c>
      <c r="BO20" s="35">
        <v>57.070425289800006</v>
      </c>
      <c r="BP20" s="35">
        <v>69.070425289799999</v>
      </c>
      <c r="BQ20" s="35">
        <v>71.086075354200005</v>
      </c>
      <c r="BR20" s="35">
        <v>81.070425289799999</v>
      </c>
      <c r="BS20" s="35">
        <v>83.086075354200005</v>
      </c>
      <c r="BT20" s="35">
        <v>85.101725418599997</v>
      </c>
      <c r="BU20" s="35">
        <v>95.086075354200005</v>
      </c>
      <c r="BV20" s="35">
        <v>97.101725418599997</v>
      </c>
      <c r="BW20" s="35">
        <v>99.117375483000004</v>
      </c>
      <c r="BX20" s="35">
        <v>109.1017254186</v>
      </c>
      <c r="BY20" s="35">
        <v>111.117375483</v>
      </c>
      <c r="BZ20" s="35">
        <v>113.13302554740001</v>
      </c>
      <c r="CA20" s="35">
        <v>123.117375483</v>
      </c>
      <c r="CB20" s="35">
        <v>125.13302554740001</v>
      </c>
      <c r="CC20" s="35">
        <v>127.1486756118</v>
      </c>
      <c r="CD20" s="35">
        <v>137.1330255474</v>
      </c>
      <c r="CE20" s="35">
        <v>139.1486756118</v>
      </c>
      <c r="CF20" s="35">
        <v>141.16432567620001</v>
      </c>
      <c r="CG20" s="35">
        <v>149.1330255474</v>
      </c>
      <c r="CH20" s="35">
        <v>151.1486756118</v>
      </c>
      <c r="CI20" s="35">
        <v>153.16432567620001</v>
      </c>
      <c r="CJ20" s="35">
        <v>155.17997574060001</v>
      </c>
      <c r="CK20" s="35">
        <v>163.1486756118</v>
      </c>
      <c r="CL20" s="35">
        <v>165.16432567620001</v>
      </c>
      <c r="CM20" s="35">
        <v>167.17997574060001</v>
      </c>
      <c r="CN20" s="35">
        <v>169.19562580499999</v>
      </c>
      <c r="CO20" s="35">
        <v>177.16432567620001</v>
      </c>
      <c r="CP20" s="35">
        <v>179.17997574060001</v>
      </c>
      <c r="CQ20" s="35">
        <v>181.19562580499999</v>
      </c>
      <c r="CR20" s="35">
        <v>183.2112758694</v>
      </c>
      <c r="CS20" s="35">
        <v>191.17997574060001</v>
      </c>
      <c r="CT20" s="35">
        <v>193.19562580499999</v>
      </c>
      <c r="CU20" s="35">
        <v>195.2112758694</v>
      </c>
      <c r="CV20" s="35">
        <v>197.2269259338</v>
      </c>
      <c r="CW20" s="35">
        <v>205.19562580499999</v>
      </c>
      <c r="CX20" s="35">
        <v>207.2112758694</v>
      </c>
      <c r="CY20" s="35">
        <v>209.2269259338</v>
      </c>
      <c r="CZ20" s="35">
        <v>211.24257599820001</v>
      </c>
      <c r="DA20" s="35">
        <v>217.19562580499999</v>
      </c>
      <c r="DB20" s="35">
        <v>219.2112758694</v>
      </c>
      <c r="DC20" s="35">
        <v>221.2269259338</v>
      </c>
      <c r="DD20" s="35">
        <v>223.24257599820001</v>
      </c>
      <c r="DE20" s="35">
        <v>225.25822606260002</v>
      </c>
      <c r="DF20" s="35">
        <v>231.2112758694</v>
      </c>
      <c r="DG20" s="35">
        <v>233.2269259338</v>
      </c>
      <c r="DH20" s="35">
        <v>235.24257599820001</v>
      </c>
      <c r="DI20" s="35">
        <v>237.25822606260002</v>
      </c>
      <c r="DJ20" s="35">
        <v>239.27387612699999</v>
      </c>
      <c r="DK20" s="35">
        <v>245.2269259338</v>
      </c>
      <c r="DL20" s="35">
        <v>247.24257599820001</v>
      </c>
      <c r="DM20" s="35">
        <v>249.25822606260002</v>
      </c>
      <c r="DN20" s="35">
        <v>251.27387612699999</v>
      </c>
      <c r="DO20" s="35">
        <v>253.2895261914</v>
      </c>
      <c r="DP20" s="35">
        <v>259.24257599819998</v>
      </c>
      <c r="DQ20" s="35">
        <v>261.25822606259999</v>
      </c>
      <c r="DR20" s="35">
        <v>263.27387612699999</v>
      </c>
      <c r="DS20" s="35">
        <v>265.2895261914</v>
      </c>
      <c r="DT20" s="35">
        <v>267.30517625580001</v>
      </c>
      <c r="DU20" s="35">
        <v>273.25822606259999</v>
      </c>
      <c r="DV20" s="35">
        <v>55.0547752254</v>
      </c>
      <c r="DW20" s="35">
        <v>57.070425289800006</v>
      </c>
      <c r="DX20" s="35">
        <v>69.070425289799999</v>
      </c>
      <c r="DY20" s="35">
        <v>71.086075354200005</v>
      </c>
      <c r="DZ20" s="35">
        <v>81.070425289799999</v>
      </c>
      <c r="EA20" s="35">
        <v>83.086075354200005</v>
      </c>
      <c r="EB20" s="35">
        <v>85.101725418599997</v>
      </c>
      <c r="EC20" s="35">
        <v>95.086075354200005</v>
      </c>
      <c r="ED20" s="35">
        <v>97.101725418599997</v>
      </c>
      <c r="EE20" s="35">
        <v>99.117375483000004</v>
      </c>
      <c r="EF20" s="35">
        <v>109.1017254186</v>
      </c>
      <c r="EG20" s="35">
        <v>111.117375483</v>
      </c>
      <c r="EH20" s="35">
        <v>113.13302554740001</v>
      </c>
      <c r="EI20" s="35">
        <v>123.117375483</v>
      </c>
      <c r="EJ20" s="35">
        <v>125.13302554740001</v>
      </c>
      <c r="EK20" s="35">
        <v>127.1486756118</v>
      </c>
      <c r="EL20" s="35">
        <v>137.1330255474</v>
      </c>
      <c r="EM20" s="35">
        <v>139.1486756118</v>
      </c>
      <c r="EN20" s="35">
        <v>141.16432567620001</v>
      </c>
      <c r="EO20" s="35">
        <v>149.1330255474</v>
      </c>
      <c r="EP20" s="35">
        <v>151.1486756118</v>
      </c>
      <c r="EQ20" s="35">
        <v>153.16432567620001</v>
      </c>
      <c r="ER20" s="35">
        <v>155.17997574060001</v>
      </c>
      <c r="ES20" s="35">
        <v>163.1486756118</v>
      </c>
      <c r="ET20" s="35">
        <v>165.16432567620001</v>
      </c>
      <c r="EU20" s="35">
        <v>167.17997574060001</v>
      </c>
      <c r="EV20" s="35">
        <v>169.19562580499999</v>
      </c>
      <c r="EW20" s="35">
        <v>177.16432567620001</v>
      </c>
      <c r="EX20" s="35">
        <v>179.17997574060001</v>
      </c>
      <c r="EY20" s="35">
        <v>181.19562580499999</v>
      </c>
      <c r="EZ20" s="35">
        <v>183.2112758694</v>
      </c>
      <c r="FA20" s="35">
        <v>191.17997574060001</v>
      </c>
      <c r="FB20" s="35">
        <v>193.19562580499999</v>
      </c>
      <c r="FC20" s="35">
        <v>195.2112758694</v>
      </c>
      <c r="FD20" s="35">
        <v>197.2269259338</v>
      </c>
      <c r="FE20" s="35">
        <v>205.19562580499999</v>
      </c>
      <c r="FF20" s="35">
        <v>207.2112758694</v>
      </c>
      <c r="FG20" s="35">
        <v>209.2269259338</v>
      </c>
      <c r="FH20" s="35">
        <v>211.24257599820001</v>
      </c>
      <c r="FI20" s="35">
        <v>217.19562580499999</v>
      </c>
      <c r="FJ20" s="35">
        <v>219.2112758694</v>
      </c>
      <c r="FK20" s="35">
        <v>221.2269259338</v>
      </c>
      <c r="FL20" s="35">
        <v>223.24257599820001</v>
      </c>
      <c r="FM20" s="35">
        <v>225.25822606260002</v>
      </c>
      <c r="FN20" s="35">
        <v>231.2112758694</v>
      </c>
      <c r="FO20" s="35">
        <v>233.2269259338</v>
      </c>
      <c r="FP20" s="35">
        <v>235.24257599820001</v>
      </c>
      <c r="FQ20" s="35">
        <v>237.25822606260002</v>
      </c>
      <c r="FR20" s="35">
        <v>239.27387612699999</v>
      </c>
      <c r="FS20" s="35">
        <v>245.2269259338</v>
      </c>
      <c r="FT20" s="35">
        <v>247.24257599820001</v>
      </c>
      <c r="FU20" s="35">
        <v>249.25822606260002</v>
      </c>
      <c r="FV20" s="35">
        <v>251.27387612699999</v>
      </c>
      <c r="FW20" s="35">
        <v>253.2895261914</v>
      </c>
      <c r="FX20" s="35">
        <v>259.24257599819998</v>
      </c>
      <c r="FY20" s="35">
        <v>261.25822606259999</v>
      </c>
      <c r="FZ20" s="35">
        <v>263.27387612699999</v>
      </c>
      <c r="GA20" s="35">
        <v>265.2895261914</v>
      </c>
      <c r="GB20" s="35">
        <v>267.30517625580001</v>
      </c>
      <c r="GC20" s="35">
        <v>273.25822606259999</v>
      </c>
      <c r="GD20" s="35">
        <v>0</v>
      </c>
      <c r="GE20" s="35">
        <v>174.58432402343749</v>
      </c>
      <c r="GF20" s="35">
        <v>21.823040502929686</v>
      </c>
      <c r="GG20" s="35">
        <v>2.7278800628662108</v>
      </c>
      <c r="GH20" s="35">
        <v>1.3639400314331054</v>
      </c>
      <c r="GI20" s="36">
        <v>2.5165824000000017</v>
      </c>
      <c r="GJ20" s="36">
        <v>2</v>
      </c>
      <c r="GK20" s="35">
        <v>0</v>
      </c>
      <c r="GL20" s="35">
        <v>16.384000000000007</v>
      </c>
      <c r="GM20" s="35">
        <v>9.1022222222222258</v>
      </c>
      <c r="GN20" s="35">
        <v>6.3715555555555579</v>
      </c>
      <c r="GO20" s="35">
        <v>2.1238518518518528</v>
      </c>
      <c r="GP20" s="35">
        <v>26.244000000000007</v>
      </c>
      <c r="GQ20" s="35">
        <v>26.244000000000007</v>
      </c>
      <c r="GR20" s="35">
        <v>13.122000000000003</v>
      </c>
      <c r="GS20" s="35">
        <v>26.244000000000007</v>
      </c>
      <c r="GT20" s="35">
        <v>5.248800000000001</v>
      </c>
      <c r="GU20" s="35">
        <v>15</v>
      </c>
      <c r="GV20" s="35">
        <v>3.75</v>
      </c>
      <c r="GW20" s="35">
        <v>31.103999999999999</v>
      </c>
      <c r="GX20" s="35">
        <v>15.552</v>
      </c>
      <c r="GY20" s="35">
        <v>40.960000000000008</v>
      </c>
      <c r="GZ20" s="35">
        <v>22.75555555555556</v>
      </c>
      <c r="HA20" s="35">
        <v>15.92888888888889</v>
      </c>
      <c r="HB20" s="35">
        <v>5.3096296296296304</v>
      </c>
      <c r="HC20" s="35">
        <v>29.160000000000004</v>
      </c>
      <c r="HD20" s="35">
        <v>29.160000000000004</v>
      </c>
      <c r="HE20" s="35">
        <v>14.580000000000002</v>
      </c>
      <c r="HF20" s="35">
        <v>29.160000000000004</v>
      </c>
      <c r="HG20" s="35">
        <v>5.8320000000000007</v>
      </c>
      <c r="HH20" s="35">
        <v>15</v>
      </c>
      <c r="HI20" s="35">
        <v>3.75</v>
      </c>
      <c r="HJ20" s="35">
        <v>29.859839999999998</v>
      </c>
      <c r="HK20" s="35">
        <v>14.929919999999999</v>
      </c>
      <c r="HL20" s="35">
        <v>5</v>
      </c>
      <c r="HM20" s="35">
        <v>0</v>
      </c>
      <c r="HN20" s="35">
        <v>0</v>
      </c>
      <c r="HO20" s="35">
        <v>0.476837158203125</v>
      </c>
      <c r="HP20" s="35">
        <v>1.5708885696404189</v>
      </c>
      <c r="HQ20" s="35">
        <v>1.4551915228366852</v>
      </c>
      <c r="HR20" s="35">
        <v>1.9523640191169775</v>
      </c>
      <c r="HS20" s="35">
        <v>1.0862946510314941</v>
      </c>
      <c r="HT20" s="35">
        <v>3.6209821701049805</v>
      </c>
      <c r="HU20" s="35">
        <v>2.1848436788802914</v>
      </c>
      <c r="HV20" s="35">
        <v>2.7392292395234108</v>
      </c>
      <c r="HW20" s="35">
        <v>12.361758929757904</v>
      </c>
      <c r="HX20" s="35">
        <v>1.6436902594446974</v>
      </c>
      <c r="HY20" s="35">
        <v>6.103515625</v>
      </c>
      <c r="HZ20" s="35">
        <v>15.2587890625</v>
      </c>
      <c r="IA20" s="35">
        <v>0.73551647132453335</v>
      </c>
      <c r="IB20" s="35">
        <v>4.7741965521823628</v>
      </c>
      <c r="IC20" s="35">
        <v>12.361758929757904</v>
      </c>
      <c r="ID20" s="35">
        <v>0.83568502503413755</v>
      </c>
      <c r="IE20" s="35">
        <v>3.7011818562559</v>
      </c>
      <c r="IF20" s="35">
        <v>9.938358688094544</v>
      </c>
      <c r="IG20" s="35">
        <v>0.94455863108784721</v>
      </c>
      <c r="IH20" s="35">
        <v>2.6171307889631601</v>
      </c>
      <c r="II20" s="35">
        <v>2.8418916187052878</v>
      </c>
      <c r="IJ20" s="35">
        <v>7.9245054752358994</v>
      </c>
      <c r="IK20" s="35">
        <v>1.0625</v>
      </c>
      <c r="IL20" s="35">
        <v>2.0095208349837232</v>
      </c>
      <c r="IM20" s="35">
        <v>2.1596040642437933</v>
      </c>
      <c r="IN20" s="35">
        <v>6.2628517863070012</v>
      </c>
      <c r="IO20" s="35">
        <v>0.94455863108784721</v>
      </c>
      <c r="IP20" s="35">
        <v>1.5270706785048145</v>
      </c>
      <c r="IQ20" s="35">
        <v>1.6228290277881319</v>
      </c>
      <c r="IR20" s="35">
        <v>4.9022960214433144</v>
      </c>
      <c r="IS20" s="35">
        <v>0.83568502503413755</v>
      </c>
      <c r="IT20" s="35">
        <v>1.1475134102553601</v>
      </c>
      <c r="IU20" s="35">
        <v>1.2047277872548898</v>
      </c>
      <c r="IV20" s="35">
        <v>3.7975115033034568</v>
      </c>
      <c r="IW20" s="35">
        <v>0.73551647132453335</v>
      </c>
      <c r="IX20" s="35">
        <v>0.85187118785179694</v>
      </c>
      <c r="IY20" s="35">
        <v>0.8825774788777353</v>
      </c>
      <c r="IZ20" s="35">
        <v>2.908493964483446</v>
      </c>
      <c r="JA20" s="35">
        <v>0.64369025944469738</v>
      </c>
      <c r="JB20" s="35">
        <v>0.62407652023697346</v>
      </c>
      <c r="JC20" s="35">
        <v>2.0566158053263899</v>
      </c>
      <c r="JD20" s="35">
        <v>0.63727831174455729</v>
      </c>
      <c r="JE20" s="35">
        <v>2.2001275048323996</v>
      </c>
      <c r="JF20" s="35">
        <v>0.5598436788802913</v>
      </c>
      <c r="JG20" s="35">
        <v>0.45062381573769106</v>
      </c>
      <c r="JH20" s="35">
        <v>1.5557250781420282</v>
      </c>
      <c r="JI20" s="35">
        <v>0.45290179825370042</v>
      </c>
      <c r="JJ20" s="35">
        <v>1.6417690186696638</v>
      </c>
      <c r="JK20" s="35">
        <v>0.4836140191169776</v>
      </c>
      <c r="JL20" s="35">
        <v>0.32024993275677321</v>
      </c>
      <c r="JM20" s="35">
        <v>1.1609060062433028</v>
      </c>
      <c r="JN20" s="35">
        <v>0.31627821718848598</v>
      </c>
      <c r="JO20" s="35">
        <v>1.2068510919034332</v>
      </c>
      <c r="JP20" s="35">
        <v>0.4146385696404189</v>
      </c>
      <c r="JQ20" s="35">
        <v>0.22364247211557009</v>
      </c>
      <c r="JR20" s="35">
        <v>0.85337259096730689</v>
      </c>
      <c r="JS20" s="35">
        <v>0.21662152610917026</v>
      </c>
      <c r="JT20" s="35">
        <v>0.8725033690508246</v>
      </c>
      <c r="JU20" s="35">
        <v>0.35255461993627668</v>
      </c>
      <c r="JV20" s="35">
        <v>0.15317455006277303</v>
      </c>
      <c r="JW20" s="35">
        <v>0.1953125</v>
      </c>
      <c r="JX20" s="35">
        <v>1.3453686845698682</v>
      </c>
      <c r="JY20" s="35">
        <v>0.59604644775390625</v>
      </c>
      <c r="JZ20" s="35">
        <v>1.5495129722348657</v>
      </c>
      <c r="KA20" s="35">
        <v>0.4449462890625</v>
      </c>
      <c r="KB20" s="35">
        <v>1.483154296875</v>
      </c>
      <c r="KC20" s="35">
        <v>1.6782999544833865</v>
      </c>
      <c r="KD20" s="35">
        <v>1.1219882965087891</v>
      </c>
      <c r="KE20" s="35">
        <v>5.0633764576288378</v>
      </c>
      <c r="KF20" s="35">
        <v>1.4119617660446062</v>
      </c>
      <c r="KG20" s="35">
        <v>2.5</v>
      </c>
      <c r="KH20" s="35">
        <v>6.25</v>
      </c>
      <c r="KI20" s="35">
        <v>0.47073054164770134</v>
      </c>
      <c r="KJ20" s="35">
        <v>1.9555109077738959</v>
      </c>
      <c r="KK20" s="35">
        <v>5.0633764576288378</v>
      </c>
      <c r="KL20" s="35">
        <v>0.53483841602184801</v>
      </c>
      <c r="KM20" s="35">
        <v>1.5160040883224166</v>
      </c>
      <c r="KN20" s="35">
        <v>4.0707517186435256</v>
      </c>
      <c r="KO20" s="35">
        <v>0.60451752389622226</v>
      </c>
      <c r="KP20" s="35">
        <v>1.0719767711593104</v>
      </c>
      <c r="KQ20" s="35">
        <v>1.1640388070216858</v>
      </c>
      <c r="KR20" s="35">
        <v>3.2458774426566244</v>
      </c>
      <c r="KS20" s="35">
        <v>0.68</v>
      </c>
      <c r="KT20" s="35">
        <v>0.82309973400933301</v>
      </c>
      <c r="KU20" s="35">
        <v>0.88457382471425772</v>
      </c>
      <c r="KV20" s="35">
        <v>2.5652640916713478</v>
      </c>
      <c r="KW20" s="35">
        <v>0.60451752389622226</v>
      </c>
      <c r="KX20" s="35">
        <v>0.625488149915572</v>
      </c>
      <c r="KY20" s="35">
        <v>0.66471076978201882</v>
      </c>
      <c r="KZ20" s="35">
        <v>2.0079804503831817</v>
      </c>
      <c r="LA20" s="35">
        <v>0.53483841602184801</v>
      </c>
      <c r="LB20" s="35">
        <v>0.47002149284059552</v>
      </c>
      <c r="LC20" s="35">
        <v>0.49345650165960286</v>
      </c>
      <c r="LD20" s="35">
        <v>1.5554607117530959</v>
      </c>
      <c r="LE20" s="35">
        <v>0.47073054164770134</v>
      </c>
      <c r="LF20" s="35">
        <v>0.348926438544096</v>
      </c>
      <c r="LG20" s="35">
        <v>0.36150373534832037</v>
      </c>
      <c r="LH20" s="35">
        <v>1.1913191278524196</v>
      </c>
      <c r="LI20" s="35">
        <v>0.41196176604460633</v>
      </c>
      <c r="LJ20" s="35">
        <v>0.25562174268906435</v>
      </c>
      <c r="LK20" s="35">
        <v>0.84238983386168942</v>
      </c>
      <c r="LL20" s="35">
        <v>0.26102919649057066</v>
      </c>
      <c r="LM20" s="35">
        <v>0.90117222597935098</v>
      </c>
      <c r="LN20" s="35">
        <v>0.35829995448338642</v>
      </c>
      <c r="LO20" s="35">
        <v>0.18457551492615826</v>
      </c>
      <c r="LP20" s="35">
        <v>0.6372249920069748</v>
      </c>
      <c r="LQ20" s="35">
        <v>0.1855085765647157</v>
      </c>
      <c r="LR20" s="35">
        <v>0.67246859004709425</v>
      </c>
      <c r="LS20" s="35">
        <v>0.30951297223486568</v>
      </c>
      <c r="LT20" s="35">
        <v>0.13117437245717431</v>
      </c>
      <c r="LU20" s="35">
        <v>0.47550710015725678</v>
      </c>
      <c r="LV20" s="35">
        <v>0.12954755776040386</v>
      </c>
      <c r="LW20" s="35">
        <v>0.49432620724364623</v>
      </c>
      <c r="LX20" s="35">
        <v>0.26536868456986812</v>
      </c>
      <c r="LY20" s="35">
        <v>9.160395657853751E-2</v>
      </c>
      <c r="LZ20" s="35">
        <v>0.34954141326020888</v>
      </c>
      <c r="MA20" s="35">
        <v>8.8728177094316144E-2</v>
      </c>
      <c r="MB20" s="35">
        <v>0.35737737996321772</v>
      </c>
      <c r="MC20" s="35">
        <v>0.22563495675921708</v>
      </c>
      <c r="MD20" s="35">
        <v>6.2740295705711838E-2</v>
      </c>
    </row>
    <row r="21" spans="1:342" s="4" customFormat="1" ht="14.25" x14ac:dyDescent="0.2">
      <c r="A21" s="4">
        <v>15</v>
      </c>
      <c r="B21" s="16" t="s">
        <v>678</v>
      </c>
      <c r="C21" s="16" t="s">
        <v>178</v>
      </c>
      <c r="D21" s="16" t="s">
        <v>179</v>
      </c>
      <c r="E21" s="16" t="s">
        <v>178</v>
      </c>
      <c r="F21" s="31" t="s">
        <v>180</v>
      </c>
      <c r="G21" s="31" t="s">
        <v>181</v>
      </c>
      <c r="H21" s="32">
        <v>-1</v>
      </c>
      <c r="I21" s="33">
        <v>28.41</v>
      </c>
      <c r="J21" s="34">
        <v>18.657800000000002</v>
      </c>
      <c r="K21" s="32" t="s">
        <v>182</v>
      </c>
      <c r="L21" s="16">
        <v>0</v>
      </c>
      <c r="M21" s="16">
        <v>2</v>
      </c>
      <c r="N21" s="16" t="s">
        <v>178</v>
      </c>
      <c r="O21" s="16">
        <v>0</v>
      </c>
      <c r="P21" s="16">
        <v>0</v>
      </c>
      <c r="Q21" s="16">
        <v>4</v>
      </c>
      <c r="R21" s="16">
        <v>4</v>
      </c>
      <c r="S21" s="16">
        <v>0</v>
      </c>
      <c r="T21" s="16">
        <v>40</v>
      </c>
      <c r="U21" s="16">
        <v>0</v>
      </c>
      <c r="V21" s="16">
        <v>40</v>
      </c>
      <c r="W21" s="16">
        <v>0</v>
      </c>
      <c r="X21" s="16" t="s">
        <v>178</v>
      </c>
      <c r="Y21" s="35">
        <v>1048.6702395808002</v>
      </c>
      <c r="Z21" s="35">
        <v>1030.6596795808002</v>
      </c>
      <c r="AA21" s="35">
        <v>1048.6702395808002</v>
      </c>
      <c r="AB21" s="35">
        <v>1030.6596795808002</v>
      </c>
      <c r="AC21" s="35">
        <v>1610.3036645807999</v>
      </c>
      <c r="AD21" s="35">
        <v>1286.1980177408</v>
      </c>
      <c r="AE21" s="35">
        <v>1268.1874530568</v>
      </c>
      <c r="AF21" s="35">
        <v>1250.1768883728</v>
      </c>
      <c r="AG21" s="35">
        <v>1232.1663236888</v>
      </c>
      <c r="AH21" s="35">
        <v>1212.1612383084</v>
      </c>
      <c r="AI21" s="35">
        <v>1194.1506736244</v>
      </c>
      <c r="AJ21" s="35">
        <v>1102.1033295080001</v>
      </c>
      <c r="AK21" s="35">
        <v>735.65026542240003</v>
      </c>
      <c r="AL21" s="35">
        <v>717.63970073840005</v>
      </c>
      <c r="AM21" s="35">
        <v>699.62913605440008</v>
      </c>
      <c r="AN21" s="35">
        <v>681.6185713704001</v>
      </c>
      <c r="AO21" s="35">
        <v>661.61348599000007</v>
      </c>
      <c r="AP21" s="35">
        <v>643.6029213060001</v>
      </c>
      <c r="AQ21" s="35">
        <v>625.59235662200012</v>
      </c>
      <c r="AR21" s="35">
        <v>607.58179193800015</v>
      </c>
      <c r="AS21" s="35">
        <v>589.57122725400018</v>
      </c>
      <c r="AT21" s="35">
        <v>605.58727124160009</v>
      </c>
      <c r="AU21" s="35">
        <v>587.57670655760012</v>
      </c>
      <c r="AV21" s="35">
        <v>551.55557731840008</v>
      </c>
      <c r="AW21" s="35">
        <v>569.56614200240006</v>
      </c>
      <c r="AX21" s="35">
        <v>735.65026542240003</v>
      </c>
      <c r="AY21" s="35">
        <v>717.63970073840005</v>
      </c>
      <c r="AZ21" s="35">
        <v>699.62913605440008</v>
      </c>
      <c r="BA21" s="35">
        <v>681.6185713704001</v>
      </c>
      <c r="BB21" s="35">
        <v>661.61348599000007</v>
      </c>
      <c r="BC21" s="35">
        <v>643.6029213060001</v>
      </c>
      <c r="BD21" s="35">
        <v>625.59235662200012</v>
      </c>
      <c r="BE21" s="35">
        <v>607.58179193800015</v>
      </c>
      <c r="BF21" s="35">
        <v>589.57122725400018</v>
      </c>
      <c r="BG21" s="35">
        <v>605.58727124160009</v>
      </c>
      <c r="BH21" s="35">
        <v>587.57670655760012</v>
      </c>
      <c r="BI21" s="35">
        <v>549.53992731840003</v>
      </c>
      <c r="BJ21" s="35">
        <v>567.55049200240001</v>
      </c>
      <c r="BK21" s="35">
        <v>163.06064842000001</v>
      </c>
      <c r="BL21" s="35">
        <v>0</v>
      </c>
      <c r="BM21" s="35">
        <v>0</v>
      </c>
      <c r="BN21" s="35">
        <v>55.0547752254</v>
      </c>
      <c r="BO21" s="35">
        <v>57.070425289800006</v>
      </c>
      <c r="BP21" s="35">
        <v>69.070425289799999</v>
      </c>
      <c r="BQ21" s="35">
        <v>71.086075354200005</v>
      </c>
      <c r="BR21" s="35">
        <v>81.070425289799999</v>
      </c>
      <c r="BS21" s="35">
        <v>83.086075354200005</v>
      </c>
      <c r="BT21" s="35">
        <v>85.101725418599997</v>
      </c>
      <c r="BU21" s="35">
        <v>95.086075354200005</v>
      </c>
      <c r="BV21" s="35">
        <v>97.101725418599997</v>
      </c>
      <c r="BW21" s="35">
        <v>99.117375483000004</v>
      </c>
      <c r="BX21" s="35">
        <v>109.1017254186</v>
      </c>
      <c r="BY21" s="35">
        <v>111.117375483</v>
      </c>
      <c r="BZ21" s="35">
        <v>113.13302554740001</v>
      </c>
      <c r="CA21" s="35">
        <v>123.117375483</v>
      </c>
      <c r="CB21" s="35">
        <v>125.13302554740001</v>
      </c>
      <c r="CC21" s="35">
        <v>127.1486756118</v>
      </c>
      <c r="CD21" s="35">
        <v>137.1330255474</v>
      </c>
      <c r="CE21" s="35">
        <v>139.1486756118</v>
      </c>
      <c r="CF21" s="35">
        <v>141.16432567620001</v>
      </c>
      <c r="CG21" s="35">
        <v>149.1330255474</v>
      </c>
      <c r="CH21" s="35">
        <v>151.1486756118</v>
      </c>
      <c r="CI21" s="35">
        <v>153.16432567620001</v>
      </c>
      <c r="CJ21" s="35">
        <v>155.17997574060001</v>
      </c>
      <c r="CK21" s="35">
        <v>163.1486756118</v>
      </c>
      <c r="CL21" s="35">
        <v>165.16432567620001</v>
      </c>
      <c r="CM21" s="35">
        <v>167.17997574060001</v>
      </c>
      <c r="CN21" s="35">
        <v>169.19562580499999</v>
      </c>
      <c r="CO21" s="35">
        <v>177.16432567620001</v>
      </c>
      <c r="CP21" s="35">
        <v>179.17997574060001</v>
      </c>
      <c r="CQ21" s="35">
        <v>181.19562580499999</v>
      </c>
      <c r="CR21" s="35">
        <v>183.2112758694</v>
      </c>
      <c r="CS21" s="35">
        <v>191.17997574060001</v>
      </c>
      <c r="CT21" s="35">
        <v>193.19562580499999</v>
      </c>
      <c r="CU21" s="35">
        <v>195.2112758694</v>
      </c>
      <c r="CV21" s="35">
        <v>197.2269259338</v>
      </c>
      <c r="CW21" s="35">
        <v>205.19562580499999</v>
      </c>
      <c r="CX21" s="35">
        <v>207.2112758694</v>
      </c>
      <c r="CY21" s="35">
        <v>209.2269259338</v>
      </c>
      <c r="CZ21" s="35">
        <v>211.24257599820001</v>
      </c>
      <c r="DA21" s="35">
        <v>217.19562580499999</v>
      </c>
      <c r="DB21" s="35">
        <v>219.2112758694</v>
      </c>
      <c r="DC21" s="35">
        <v>221.2269259338</v>
      </c>
      <c r="DD21" s="35">
        <v>223.24257599820001</v>
      </c>
      <c r="DE21" s="35">
        <v>225.25822606260002</v>
      </c>
      <c r="DF21" s="35">
        <v>231.2112758694</v>
      </c>
      <c r="DG21" s="35">
        <v>233.2269259338</v>
      </c>
      <c r="DH21" s="35">
        <v>235.24257599820001</v>
      </c>
      <c r="DI21" s="35">
        <v>237.25822606260002</v>
      </c>
      <c r="DJ21" s="35">
        <v>239.27387612699999</v>
      </c>
      <c r="DK21" s="35">
        <v>245.2269259338</v>
      </c>
      <c r="DL21" s="35">
        <v>247.24257599820001</v>
      </c>
      <c r="DM21" s="35">
        <v>249.25822606260002</v>
      </c>
      <c r="DN21" s="35">
        <v>251.27387612699999</v>
      </c>
      <c r="DO21" s="35">
        <v>253.2895261914</v>
      </c>
      <c r="DP21" s="35">
        <v>259.24257599819998</v>
      </c>
      <c r="DQ21" s="35">
        <v>261.25822606259999</v>
      </c>
      <c r="DR21" s="35">
        <v>263.27387612699999</v>
      </c>
      <c r="DS21" s="35">
        <v>265.2895261914</v>
      </c>
      <c r="DT21" s="35">
        <v>267.30517625580001</v>
      </c>
      <c r="DU21" s="35">
        <v>273.25822606259999</v>
      </c>
      <c r="DV21" s="35">
        <v>55.0547752254</v>
      </c>
      <c r="DW21" s="35">
        <v>57.070425289800006</v>
      </c>
      <c r="DX21" s="35">
        <v>69.070425289799999</v>
      </c>
      <c r="DY21" s="35">
        <v>71.086075354200005</v>
      </c>
      <c r="DZ21" s="35">
        <v>81.070425289799999</v>
      </c>
      <c r="EA21" s="35">
        <v>83.086075354200005</v>
      </c>
      <c r="EB21" s="35">
        <v>85.101725418599997</v>
      </c>
      <c r="EC21" s="35">
        <v>95.086075354200005</v>
      </c>
      <c r="ED21" s="35">
        <v>97.101725418599997</v>
      </c>
      <c r="EE21" s="35">
        <v>99.117375483000004</v>
      </c>
      <c r="EF21" s="35">
        <v>109.1017254186</v>
      </c>
      <c r="EG21" s="35">
        <v>111.117375483</v>
      </c>
      <c r="EH21" s="35">
        <v>113.13302554740001</v>
      </c>
      <c r="EI21" s="35">
        <v>123.117375483</v>
      </c>
      <c r="EJ21" s="35">
        <v>125.13302554740001</v>
      </c>
      <c r="EK21" s="35">
        <v>127.1486756118</v>
      </c>
      <c r="EL21" s="35">
        <v>137.1330255474</v>
      </c>
      <c r="EM21" s="35">
        <v>139.1486756118</v>
      </c>
      <c r="EN21" s="35">
        <v>141.16432567620001</v>
      </c>
      <c r="EO21" s="35">
        <v>149.1330255474</v>
      </c>
      <c r="EP21" s="35">
        <v>151.1486756118</v>
      </c>
      <c r="EQ21" s="35">
        <v>153.16432567620001</v>
      </c>
      <c r="ER21" s="35">
        <v>155.17997574060001</v>
      </c>
      <c r="ES21" s="35">
        <v>163.1486756118</v>
      </c>
      <c r="ET21" s="35">
        <v>165.16432567620001</v>
      </c>
      <c r="EU21" s="35">
        <v>167.17997574060001</v>
      </c>
      <c r="EV21" s="35">
        <v>169.19562580499999</v>
      </c>
      <c r="EW21" s="35">
        <v>177.16432567620001</v>
      </c>
      <c r="EX21" s="35">
        <v>179.17997574060001</v>
      </c>
      <c r="EY21" s="35">
        <v>181.19562580499999</v>
      </c>
      <c r="EZ21" s="35">
        <v>183.2112758694</v>
      </c>
      <c r="FA21" s="35">
        <v>191.17997574060001</v>
      </c>
      <c r="FB21" s="35">
        <v>193.19562580499999</v>
      </c>
      <c r="FC21" s="35">
        <v>195.2112758694</v>
      </c>
      <c r="FD21" s="35">
        <v>197.2269259338</v>
      </c>
      <c r="FE21" s="35">
        <v>205.19562580499999</v>
      </c>
      <c r="FF21" s="35">
        <v>207.2112758694</v>
      </c>
      <c r="FG21" s="35">
        <v>209.2269259338</v>
      </c>
      <c r="FH21" s="35">
        <v>211.24257599820001</v>
      </c>
      <c r="FI21" s="35">
        <v>217.19562580499999</v>
      </c>
      <c r="FJ21" s="35">
        <v>219.2112758694</v>
      </c>
      <c r="FK21" s="35">
        <v>221.2269259338</v>
      </c>
      <c r="FL21" s="35">
        <v>223.24257599820001</v>
      </c>
      <c r="FM21" s="35">
        <v>225.25822606260002</v>
      </c>
      <c r="FN21" s="35">
        <v>231.2112758694</v>
      </c>
      <c r="FO21" s="35">
        <v>233.2269259338</v>
      </c>
      <c r="FP21" s="35">
        <v>235.24257599820001</v>
      </c>
      <c r="FQ21" s="35">
        <v>237.25822606260002</v>
      </c>
      <c r="FR21" s="35">
        <v>239.27387612699999</v>
      </c>
      <c r="FS21" s="35">
        <v>245.2269259338</v>
      </c>
      <c r="FT21" s="35">
        <v>247.24257599820001</v>
      </c>
      <c r="FU21" s="35">
        <v>249.25822606260002</v>
      </c>
      <c r="FV21" s="35">
        <v>251.27387612699999</v>
      </c>
      <c r="FW21" s="35">
        <v>253.2895261914</v>
      </c>
      <c r="FX21" s="35">
        <v>259.24257599819998</v>
      </c>
      <c r="FY21" s="35">
        <v>261.25822606259999</v>
      </c>
      <c r="FZ21" s="35">
        <v>263.27387612699999</v>
      </c>
      <c r="GA21" s="35">
        <v>265.2895261914</v>
      </c>
      <c r="GB21" s="35">
        <v>267.30517625580001</v>
      </c>
      <c r="GC21" s="35">
        <v>273.25822606259999</v>
      </c>
      <c r="GD21" s="35">
        <v>0</v>
      </c>
      <c r="GE21" s="35">
        <v>165.85510782226561</v>
      </c>
      <c r="GF21" s="35">
        <v>20.731888477783201</v>
      </c>
      <c r="GG21" s="35">
        <v>2.5914860597229001</v>
      </c>
      <c r="GH21" s="35">
        <v>1.2957430298614501</v>
      </c>
      <c r="GI21" s="36">
        <v>2.0132659200000016</v>
      </c>
      <c r="GJ21" s="36">
        <v>2</v>
      </c>
      <c r="GK21" s="35">
        <v>0</v>
      </c>
      <c r="GL21" s="35">
        <v>32.768000000000015</v>
      </c>
      <c r="GM21" s="35">
        <v>18.204444444444452</v>
      </c>
      <c r="GN21" s="35">
        <v>12.743111111111116</v>
      </c>
      <c r="GO21" s="35">
        <v>4.2477037037037055</v>
      </c>
      <c r="GP21" s="35">
        <v>26.244000000000007</v>
      </c>
      <c r="GQ21" s="35">
        <v>26.244000000000007</v>
      </c>
      <c r="GR21" s="35">
        <v>13.122000000000003</v>
      </c>
      <c r="GS21" s="35">
        <v>26.244000000000007</v>
      </c>
      <c r="GT21" s="35">
        <v>5.248800000000001</v>
      </c>
      <c r="GU21" s="35">
        <v>15</v>
      </c>
      <c r="GV21" s="35">
        <v>3.75</v>
      </c>
      <c r="GW21" s="35">
        <v>37.324799999999996</v>
      </c>
      <c r="GX21" s="35">
        <v>18.662399999999998</v>
      </c>
      <c r="GY21" s="35">
        <v>32.768000000000015</v>
      </c>
      <c r="GZ21" s="35">
        <v>18.204444444444452</v>
      </c>
      <c r="HA21" s="35">
        <v>12.743111111111116</v>
      </c>
      <c r="HB21" s="35">
        <v>4.2477037037037055</v>
      </c>
      <c r="HC21" s="35">
        <v>26.244000000000007</v>
      </c>
      <c r="HD21" s="35">
        <v>26.244000000000007</v>
      </c>
      <c r="HE21" s="35">
        <v>13.122000000000003</v>
      </c>
      <c r="HF21" s="35">
        <v>26.244000000000007</v>
      </c>
      <c r="HG21" s="35">
        <v>5.248800000000001</v>
      </c>
      <c r="HH21" s="35">
        <v>15</v>
      </c>
      <c r="HI21" s="35">
        <v>3.75</v>
      </c>
      <c r="HJ21" s="35">
        <v>37.324799999999996</v>
      </c>
      <c r="HK21" s="35">
        <v>18.662399999999998</v>
      </c>
      <c r="HL21" s="35">
        <v>5</v>
      </c>
      <c r="HM21" s="35">
        <v>0</v>
      </c>
      <c r="HN21" s="35">
        <v>0</v>
      </c>
      <c r="HO21" s="35">
        <v>0.1953125</v>
      </c>
      <c r="HP21" s="35">
        <v>1.3453686845698682</v>
      </c>
      <c r="HQ21" s="35">
        <v>0.59604644775390625</v>
      </c>
      <c r="HR21" s="35">
        <v>1.5495129722348657</v>
      </c>
      <c r="HS21" s="35">
        <v>0.4449462890625</v>
      </c>
      <c r="HT21" s="35">
        <v>1.483154296875</v>
      </c>
      <c r="HU21" s="35">
        <v>1.6782999544833865</v>
      </c>
      <c r="HV21" s="35">
        <v>1.1219882965087891</v>
      </c>
      <c r="HW21" s="35">
        <v>5.0633764576288378</v>
      </c>
      <c r="HX21" s="35">
        <v>1.4119617660446062</v>
      </c>
      <c r="HY21" s="35">
        <v>2.5</v>
      </c>
      <c r="HZ21" s="35">
        <v>6.25</v>
      </c>
      <c r="IA21" s="35">
        <v>0.47073054164770134</v>
      </c>
      <c r="IB21" s="35">
        <v>1.9555109077738959</v>
      </c>
      <c r="IC21" s="35">
        <v>5.0633764576288378</v>
      </c>
      <c r="ID21" s="35">
        <v>0.53483841602184801</v>
      </c>
      <c r="IE21" s="35">
        <v>1.5160040883224166</v>
      </c>
      <c r="IF21" s="35">
        <v>4.0707517186435256</v>
      </c>
      <c r="IG21" s="35">
        <v>0.60451752389622226</v>
      </c>
      <c r="IH21" s="35">
        <v>1.0719767711593104</v>
      </c>
      <c r="II21" s="35">
        <v>1.1640388070216858</v>
      </c>
      <c r="IJ21" s="35">
        <v>3.2458774426566244</v>
      </c>
      <c r="IK21" s="35">
        <v>0.68</v>
      </c>
      <c r="IL21" s="35">
        <v>0.82309973400933301</v>
      </c>
      <c r="IM21" s="35">
        <v>0.88457382471425772</v>
      </c>
      <c r="IN21" s="35">
        <v>2.5652640916713478</v>
      </c>
      <c r="IO21" s="35">
        <v>0.60451752389622226</v>
      </c>
      <c r="IP21" s="35">
        <v>0.625488149915572</v>
      </c>
      <c r="IQ21" s="35">
        <v>0.66471076978201882</v>
      </c>
      <c r="IR21" s="35">
        <v>2.0079804503831817</v>
      </c>
      <c r="IS21" s="35">
        <v>0.53483841602184801</v>
      </c>
      <c r="IT21" s="35">
        <v>0.47002149284059552</v>
      </c>
      <c r="IU21" s="35">
        <v>0.49345650165960286</v>
      </c>
      <c r="IV21" s="35">
        <v>1.5554607117530959</v>
      </c>
      <c r="IW21" s="35">
        <v>0.47073054164770134</v>
      </c>
      <c r="IX21" s="35">
        <v>0.348926438544096</v>
      </c>
      <c r="IY21" s="35">
        <v>0.36150373534832037</v>
      </c>
      <c r="IZ21" s="35">
        <v>1.1913191278524196</v>
      </c>
      <c r="JA21" s="35">
        <v>0.41196176604460633</v>
      </c>
      <c r="JB21" s="35">
        <v>0.25562174268906435</v>
      </c>
      <c r="JC21" s="35">
        <v>0.84238983386168942</v>
      </c>
      <c r="JD21" s="35">
        <v>0.26102919649057066</v>
      </c>
      <c r="JE21" s="35">
        <v>0.90117222597935098</v>
      </c>
      <c r="JF21" s="35">
        <v>0.35829995448338642</v>
      </c>
      <c r="JG21" s="35">
        <v>0.18457551492615826</v>
      </c>
      <c r="JH21" s="35">
        <v>0.6372249920069748</v>
      </c>
      <c r="JI21" s="35">
        <v>0.1855085765647157</v>
      </c>
      <c r="JJ21" s="35">
        <v>0.67246859004709425</v>
      </c>
      <c r="JK21" s="35">
        <v>0.30951297223486568</v>
      </c>
      <c r="JL21" s="35">
        <v>0.13117437245717431</v>
      </c>
      <c r="JM21" s="35">
        <v>0.47550710015725678</v>
      </c>
      <c r="JN21" s="35">
        <v>0.12954755776040386</v>
      </c>
      <c r="JO21" s="35">
        <v>0.49432620724364623</v>
      </c>
      <c r="JP21" s="35">
        <v>0.26536868456986812</v>
      </c>
      <c r="JQ21" s="35">
        <v>9.160395657853751E-2</v>
      </c>
      <c r="JR21" s="35">
        <v>0.34954141326020888</v>
      </c>
      <c r="JS21" s="35">
        <v>8.8728177094316144E-2</v>
      </c>
      <c r="JT21" s="35">
        <v>0.35737737996321772</v>
      </c>
      <c r="JU21" s="35">
        <v>0.22563495675921708</v>
      </c>
      <c r="JV21" s="35">
        <v>6.2740295705711838E-2</v>
      </c>
      <c r="JW21" s="35">
        <v>0.1953125</v>
      </c>
      <c r="JX21" s="35">
        <v>1.3453686845698682</v>
      </c>
      <c r="JY21" s="35">
        <v>0.59604644775390625</v>
      </c>
      <c r="JZ21" s="35">
        <v>1.5495129722348657</v>
      </c>
      <c r="KA21" s="35">
        <v>0.4449462890625</v>
      </c>
      <c r="KB21" s="35">
        <v>1.483154296875</v>
      </c>
      <c r="KC21" s="35">
        <v>1.6782999544833865</v>
      </c>
      <c r="KD21" s="35">
        <v>1.1219882965087891</v>
      </c>
      <c r="KE21" s="35">
        <v>5.0633764576288378</v>
      </c>
      <c r="KF21" s="35">
        <v>1.4119617660446062</v>
      </c>
      <c r="KG21" s="35">
        <v>2.5</v>
      </c>
      <c r="KH21" s="35">
        <v>6.25</v>
      </c>
      <c r="KI21" s="35">
        <v>0.47073054164770134</v>
      </c>
      <c r="KJ21" s="35">
        <v>1.9555109077738959</v>
      </c>
      <c r="KK21" s="35">
        <v>5.0633764576288378</v>
      </c>
      <c r="KL21" s="35">
        <v>0.53483841602184801</v>
      </c>
      <c r="KM21" s="35">
        <v>1.5160040883224166</v>
      </c>
      <c r="KN21" s="35">
        <v>4.0707517186435256</v>
      </c>
      <c r="KO21" s="35">
        <v>0.60451752389622226</v>
      </c>
      <c r="KP21" s="35">
        <v>1.0719767711593104</v>
      </c>
      <c r="KQ21" s="35">
        <v>1.1640388070216858</v>
      </c>
      <c r="KR21" s="35">
        <v>3.2458774426566244</v>
      </c>
      <c r="KS21" s="35">
        <v>0.68</v>
      </c>
      <c r="KT21" s="35">
        <v>0.82309973400933301</v>
      </c>
      <c r="KU21" s="35">
        <v>0.88457382471425772</v>
      </c>
      <c r="KV21" s="35">
        <v>2.5652640916713478</v>
      </c>
      <c r="KW21" s="35">
        <v>0.60451752389622226</v>
      </c>
      <c r="KX21" s="35">
        <v>0.625488149915572</v>
      </c>
      <c r="KY21" s="35">
        <v>0.66471076978201882</v>
      </c>
      <c r="KZ21" s="35">
        <v>2.0079804503831817</v>
      </c>
      <c r="LA21" s="35">
        <v>0.53483841602184801</v>
      </c>
      <c r="LB21" s="35">
        <v>0.47002149284059552</v>
      </c>
      <c r="LC21" s="35">
        <v>0.49345650165960286</v>
      </c>
      <c r="LD21" s="35">
        <v>1.5554607117530959</v>
      </c>
      <c r="LE21" s="35">
        <v>0.47073054164770134</v>
      </c>
      <c r="LF21" s="35">
        <v>0.348926438544096</v>
      </c>
      <c r="LG21" s="35">
        <v>0.36150373534832037</v>
      </c>
      <c r="LH21" s="35">
        <v>1.1913191278524196</v>
      </c>
      <c r="LI21" s="35">
        <v>0.41196176604460633</v>
      </c>
      <c r="LJ21" s="35">
        <v>0.25562174268906435</v>
      </c>
      <c r="LK21" s="35">
        <v>0.84238983386168942</v>
      </c>
      <c r="LL21" s="35">
        <v>0.26102919649057066</v>
      </c>
      <c r="LM21" s="35">
        <v>0.90117222597935098</v>
      </c>
      <c r="LN21" s="35">
        <v>0.35829995448338642</v>
      </c>
      <c r="LO21" s="35">
        <v>0.18457551492615826</v>
      </c>
      <c r="LP21" s="35">
        <v>0.6372249920069748</v>
      </c>
      <c r="LQ21" s="35">
        <v>0.1855085765647157</v>
      </c>
      <c r="LR21" s="35">
        <v>0.67246859004709425</v>
      </c>
      <c r="LS21" s="35">
        <v>0.30951297223486568</v>
      </c>
      <c r="LT21" s="35">
        <v>0.13117437245717431</v>
      </c>
      <c r="LU21" s="35">
        <v>0.47550710015725678</v>
      </c>
      <c r="LV21" s="35">
        <v>0.12954755776040386</v>
      </c>
      <c r="LW21" s="35">
        <v>0.49432620724364623</v>
      </c>
      <c r="LX21" s="35">
        <v>0.26536868456986812</v>
      </c>
      <c r="LY21" s="35">
        <v>9.160395657853751E-2</v>
      </c>
      <c r="LZ21" s="35">
        <v>0.34954141326020888</v>
      </c>
      <c r="MA21" s="35">
        <v>8.8728177094316144E-2</v>
      </c>
      <c r="MB21" s="35">
        <v>0.35737737996321772</v>
      </c>
      <c r="MC21" s="35">
        <v>0.22563495675921708</v>
      </c>
      <c r="MD21" s="35">
        <v>6.2740295705711838E-2</v>
      </c>
    </row>
    <row r="22" spans="1:342" s="4" customFormat="1" ht="14.25" x14ac:dyDescent="0.2">
      <c r="A22" s="4">
        <v>16</v>
      </c>
      <c r="B22" s="16" t="s">
        <v>675</v>
      </c>
      <c r="C22" s="16" t="s">
        <v>183</v>
      </c>
      <c r="D22" s="16" t="s">
        <v>159</v>
      </c>
      <c r="E22" s="16" t="s">
        <v>183</v>
      </c>
      <c r="F22" s="31" t="s">
        <v>184</v>
      </c>
      <c r="G22" s="31" t="s">
        <v>185</v>
      </c>
      <c r="H22" s="32">
        <v>-1</v>
      </c>
      <c r="I22" s="33">
        <v>27.28</v>
      </c>
      <c r="J22" s="34">
        <v>19.972200000000001</v>
      </c>
      <c r="K22" s="32" t="s">
        <v>186</v>
      </c>
      <c r="L22" s="16">
        <v>0</v>
      </c>
      <c r="M22" s="16">
        <v>2</v>
      </c>
      <c r="N22" s="16" t="s">
        <v>183</v>
      </c>
      <c r="O22" s="16">
        <v>0</v>
      </c>
      <c r="P22" s="16">
        <v>0</v>
      </c>
      <c r="Q22" s="16">
        <v>2</v>
      </c>
      <c r="R22" s="16">
        <v>3</v>
      </c>
      <c r="S22" s="16">
        <v>0</v>
      </c>
      <c r="T22" s="16">
        <v>40</v>
      </c>
      <c r="U22" s="16">
        <v>0</v>
      </c>
      <c r="V22" s="16">
        <v>40</v>
      </c>
      <c r="W22" s="16">
        <v>0</v>
      </c>
      <c r="X22" s="16" t="s">
        <v>183</v>
      </c>
      <c r="Y22" s="35">
        <v>1054.717189774</v>
      </c>
      <c r="Z22" s="35">
        <v>1036.706629774</v>
      </c>
      <c r="AA22" s="35">
        <v>1054.717189774</v>
      </c>
      <c r="AB22" s="35">
        <v>1036.706629774</v>
      </c>
      <c r="AC22" s="35">
        <v>1616.350614774</v>
      </c>
      <c r="AD22" s="35">
        <v>1292.244967934</v>
      </c>
      <c r="AE22" s="35">
        <v>1274.23440325</v>
      </c>
      <c r="AF22" s="35">
        <v>1256.223838566</v>
      </c>
      <c r="AG22" s="35">
        <v>1238.2132738820001</v>
      </c>
      <c r="AH22" s="35">
        <v>1218.2081885016</v>
      </c>
      <c r="AI22" s="35">
        <v>1200.1976238176001</v>
      </c>
      <c r="AJ22" s="35">
        <v>1108.1502797012001</v>
      </c>
      <c r="AK22" s="35">
        <v>737.66591548680003</v>
      </c>
      <c r="AL22" s="35">
        <v>719.65535080280006</v>
      </c>
      <c r="AM22" s="35">
        <v>701.64478611880008</v>
      </c>
      <c r="AN22" s="35">
        <v>683.63422143480011</v>
      </c>
      <c r="AO22" s="35">
        <v>663.62913605440008</v>
      </c>
      <c r="AP22" s="35">
        <v>645.6185713704001</v>
      </c>
      <c r="AQ22" s="35">
        <v>627.60800668640013</v>
      </c>
      <c r="AR22" s="35">
        <v>609.59744200240016</v>
      </c>
      <c r="AS22" s="35">
        <v>591.58687731840018</v>
      </c>
      <c r="AT22" s="35">
        <v>607.6029213060001</v>
      </c>
      <c r="AU22" s="35">
        <v>589.59235662200012</v>
      </c>
      <c r="AV22" s="35">
        <v>553.57122744720004</v>
      </c>
      <c r="AW22" s="35">
        <v>571.58179213120002</v>
      </c>
      <c r="AX22" s="35">
        <v>739.68156555120004</v>
      </c>
      <c r="AY22" s="35">
        <v>721.67100086720006</v>
      </c>
      <c r="AZ22" s="35">
        <v>703.66043618320009</v>
      </c>
      <c r="BA22" s="35">
        <v>685.64987149920012</v>
      </c>
      <c r="BB22" s="35">
        <v>665.64478611880008</v>
      </c>
      <c r="BC22" s="35">
        <v>647.63422143480011</v>
      </c>
      <c r="BD22" s="35">
        <v>629.62365675080014</v>
      </c>
      <c r="BE22" s="35">
        <v>611.61309206680016</v>
      </c>
      <c r="BF22" s="35">
        <v>593.60252738280019</v>
      </c>
      <c r="BG22" s="35">
        <v>609.6185713704001</v>
      </c>
      <c r="BH22" s="35">
        <v>591.60800668640013</v>
      </c>
      <c r="BI22" s="35">
        <v>551.55557738280004</v>
      </c>
      <c r="BJ22" s="35">
        <v>569.56614206680001</v>
      </c>
      <c r="BK22" s="35">
        <v>163.06064842000001</v>
      </c>
      <c r="BL22" s="35">
        <v>0</v>
      </c>
      <c r="BM22" s="35">
        <v>0</v>
      </c>
      <c r="BN22" s="35">
        <v>55.0547752254</v>
      </c>
      <c r="BO22" s="35">
        <v>57.070425289800006</v>
      </c>
      <c r="BP22" s="35">
        <v>69.070425289799999</v>
      </c>
      <c r="BQ22" s="35">
        <v>71.086075354200005</v>
      </c>
      <c r="BR22" s="35">
        <v>81.070425289799999</v>
      </c>
      <c r="BS22" s="35">
        <v>83.086075354200005</v>
      </c>
      <c r="BT22" s="35">
        <v>85.101725418599997</v>
      </c>
      <c r="BU22" s="35">
        <v>95.086075354200005</v>
      </c>
      <c r="BV22" s="35">
        <v>97.101725418599997</v>
      </c>
      <c r="BW22" s="35">
        <v>99.117375483000004</v>
      </c>
      <c r="BX22" s="35">
        <v>109.1017254186</v>
      </c>
      <c r="BY22" s="35">
        <v>111.117375483</v>
      </c>
      <c r="BZ22" s="35">
        <v>113.13302554740001</v>
      </c>
      <c r="CA22" s="35">
        <v>123.117375483</v>
      </c>
      <c r="CB22" s="35">
        <v>125.13302554740001</v>
      </c>
      <c r="CC22" s="35">
        <v>127.1486756118</v>
      </c>
      <c r="CD22" s="35">
        <v>137.1330255474</v>
      </c>
      <c r="CE22" s="35">
        <v>139.1486756118</v>
      </c>
      <c r="CF22" s="35">
        <v>141.16432567620001</v>
      </c>
      <c r="CG22" s="35">
        <v>149.1330255474</v>
      </c>
      <c r="CH22" s="35">
        <v>151.1486756118</v>
      </c>
      <c r="CI22" s="35">
        <v>153.16432567620001</v>
      </c>
      <c r="CJ22" s="35">
        <v>155.17997574060001</v>
      </c>
      <c r="CK22" s="35">
        <v>163.1486756118</v>
      </c>
      <c r="CL22" s="35">
        <v>165.16432567620001</v>
      </c>
      <c r="CM22" s="35">
        <v>167.17997574060001</v>
      </c>
      <c r="CN22" s="35">
        <v>169.19562580499999</v>
      </c>
      <c r="CO22" s="35">
        <v>177.16432567620001</v>
      </c>
      <c r="CP22" s="35">
        <v>179.17997574060001</v>
      </c>
      <c r="CQ22" s="35">
        <v>181.19562580499999</v>
      </c>
      <c r="CR22" s="35">
        <v>183.2112758694</v>
      </c>
      <c r="CS22" s="35">
        <v>191.17997574060001</v>
      </c>
      <c r="CT22" s="35">
        <v>193.19562580499999</v>
      </c>
      <c r="CU22" s="35">
        <v>195.2112758694</v>
      </c>
      <c r="CV22" s="35">
        <v>197.2269259338</v>
      </c>
      <c r="CW22" s="35">
        <v>205.19562580499999</v>
      </c>
      <c r="CX22" s="35">
        <v>207.2112758694</v>
      </c>
      <c r="CY22" s="35">
        <v>209.2269259338</v>
      </c>
      <c r="CZ22" s="35">
        <v>211.24257599820001</v>
      </c>
      <c r="DA22" s="35">
        <v>219.2112758694</v>
      </c>
      <c r="DB22" s="35">
        <v>221.2269259338</v>
      </c>
      <c r="DC22" s="35">
        <v>223.24257599820001</v>
      </c>
      <c r="DD22" s="35">
        <v>225.25822606260002</v>
      </c>
      <c r="DE22" s="35">
        <v>233.2269259338</v>
      </c>
      <c r="DF22" s="35">
        <v>235.24257599820001</v>
      </c>
      <c r="DG22" s="35">
        <v>237.25822606260002</v>
      </c>
      <c r="DH22" s="35">
        <v>239.27387612699999</v>
      </c>
      <c r="DI22" s="35">
        <v>247.24257599820001</v>
      </c>
      <c r="DJ22" s="35">
        <v>249.25822606260002</v>
      </c>
      <c r="DK22" s="35">
        <v>251.27387612699999</v>
      </c>
      <c r="DL22" s="35">
        <v>253.2895261914</v>
      </c>
      <c r="DM22" s="35">
        <v>261.25822606259999</v>
      </c>
      <c r="DN22" s="35">
        <v>263.27387612699999</v>
      </c>
      <c r="DO22" s="35">
        <v>265.2895261914</v>
      </c>
      <c r="DP22" s="35">
        <v>267.30517625580001</v>
      </c>
      <c r="DQ22" s="35">
        <v>275.27387612699999</v>
      </c>
      <c r="DR22" s="35">
        <v>277.2895261914</v>
      </c>
      <c r="DS22" s="35">
        <v>279.30517625580001</v>
      </c>
      <c r="DT22" s="35">
        <v>281.32082632020001</v>
      </c>
      <c r="DU22" s="35">
        <v>289.2895261914</v>
      </c>
      <c r="DV22" s="35">
        <v>55.0547752254</v>
      </c>
      <c r="DW22" s="35">
        <v>57.070425289800006</v>
      </c>
      <c r="DX22" s="35">
        <v>69.070425289799999</v>
      </c>
      <c r="DY22" s="35">
        <v>71.086075354200005</v>
      </c>
      <c r="DZ22" s="35">
        <v>81.070425289799999</v>
      </c>
      <c r="EA22" s="35">
        <v>83.086075354200005</v>
      </c>
      <c r="EB22" s="35">
        <v>85.101725418599997</v>
      </c>
      <c r="EC22" s="35">
        <v>95.086075354200005</v>
      </c>
      <c r="ED22" s="35">
        <v>97.101725418599997</v>
      </c>
      <c r="EE22" s="35">
        <v>99.117375483000004</v>
      </c>
      <c r="EF22" s="35">
        <v>109.1017254186</v>
      </c>
      <c r="EG22" s="35">
        <v>111.117375483</v>
      </c>
      <c r="EH22" s="35">
        <v>113.13302554740001</v>
      </c>
      <c r="EI22" s="35">
        <v>123.117375483</v>
      </c>
      <c r="EJ22" s="35">
        <v>125.13302554740001</v>
      </c>
      <c r="EK22" s="35">
        <v>127.1486756118</v>
      </c>
      <c r="EL22" s="35">
        <v>137.1330255474</v>
      </c>
      <c r="EM22" s="35">
        <v>139.1486756118</v>
      </c>
      <c r="EN22" s="35">
        <v>141.16432567620001</v>
      </c>
      <c r="EO22" s="35">
        <v>149.1330255474</v>
      </c>
      <c r="EP22" s="35">
        <v>151.1486756118</v>
      </c>
      <c r="EQ22" s="35">
        <v>153.16432567620001</v>
      </c>
      <c r="ER22" s="35">
        <v>155.17997574060001</v>
      </c>
      <c r="ES22" s="35">
        <v>163.1486756118</v>
      </c>
      <c r="ET22" s="35">
        <v>165.16432567620001</v>
      </c>
      <c r="EU22" s="35">
        <v>167.17997574060001</v>
      </c>
      <c r="EV22" s="35">
        <v>169.19562580499999</v>
      </c>
      <c r="EW22" s="35">
        <v>177.16432567620001</v>
      </c>
      <c r="EX22" s="35">
        <v>179.17997574060001</v>
      </c>
      <c r="EY22" s="35">
        <v>181.19562580499999</v>
      </c>
      <c r="EZ22" s="35">
        <v>183.2112758694</v>
      </c>
      <c r="FA22" s="35">
        <v>191.17997574060001</v>
      </c>
      <c r="FB22" s="35">
        <v>193.19562580499999</v>
      </c>
      <c r="FC22" s="35">
        <v>195.2112758694</v>
      </c>
      <c r="FD22" s="35">
        <v>197.2269259338</v>
      </c>
      <c r="FE22" s="35">
        <v>205.19562580499999</v>
      </c>
      <c r="FF22" s="35">
        <v>207.2112758694</v>
      </c>
      <c r="FG22" s="35">
        <v>209.2269259338</v>
      </c>
      <c r="FH22" s="35">
        <v>211.24257599820001</v>
      </c>
      <c r="FI22" s="35">
        <v>217.19562580499999</v>
      </c>
      <c r="FJ22" s="35">
        <v>219.2112758694</v>
      </c>
      <c r="FK22" s="35">
        <v>221.2269259338</v>
      </c>
      <c r="FL22" s="35">
        <v>223.24257599820001</v>
      </c>
      <c r="FM22" s="35">
        <v>225.25822606260002</v>
      </c>
      <c r="FN22" s="35">
        <v>231.2112758694</v>
      </c>
      <c r="FO22" s="35">
        <v>233.2269259338</v>
      </c>
      <c r="FP22" s="35">
        <v>235.24257599820001</v>
      </c>
      <c r="FQ22" s="35">
        <v>237.25822606260002</v>
      </c>
      <c r="FR22" s="35">
        <v>239.27387612699999</v>
      </c>
      <c r="FS22" s="35">
        <v>245.2269259338</v>
      </c>
      <c r="FT22" s="35">
        <v>247.24257599820001</v>
      </c>
      <c r="FU22" s="35">
        <v>249.25822606260002</v>
      </c>
      <c r="FV22" s="35">
        <v>251.27387612699999</v>
      </c>
      <c r="FW22" s="35">
        <v>253.2895261914</v>
      </c>
      <c r="FX22" s="35">
        <v>259.24257599819998</v>
      </c>
      <c r="FY22" s="35">
        <v>261.25822606259999</v>
      </c>
      <c r="FZ22" s="35">
        <v>263.27387612699999</v>
      </c>
      <c r="GA22" s="35">
        <v>265.2895261914</v>
      </c>
      <c r="GB22" s="35">
        <v>267.30517625580001</v>
      </c>
      <c r="GC22" s="35">
        <v>273.25822606259999</v>
      </c>
      <c r="GD22" s="35">
        <v>0</v>
      </c>
      <c r="GE22" s="35">
        <v>193.44523437499998</v>
      </c>
      <c r="GF22" s="35">
        <v>24.180654296874998</v>
      </c>
      <c r="GG22" s="35">
        <v>3.0225817871093748</v>
      </c>
      <c r="GH22" s="35">
        <v>1.5112908935546874</v>
      </c>
      <c r="GI22" s="36">
        <v>3.9321600000000023</v>
      </c>
      <c r="GJ22" s="36">
        <v>2</v>
      </c>
      <c r="GK22" s="35">
        <v>0</v>
      </c>
      <c r="GL22" s="35">
        <v>20.480000000000004</v>
      </c>
      <c r="GM22" s="35">
        <v>11.37777777777778</v>
      </c>
      <c r="GN22" s="35">
        <v>7.9644444444444451</v>
      </c>
      <c r="GO22" s="35">
        <v>2.6548148148148152</v>
      </c>
      <c r="GP22" s="35">
        <v>29.160000000000004</v>
      </c>
      <c r="GQ22" s="35">
        <v>29.160000000000004</v>
      </c>
      <c r="GR22" s="35">
        <v>14.580000000000002</v>
      </c>
      <c r="GS22" s="35">
        <v>29.160000000000004</v>
      </c>
      <c r="GT22" s="35">
        <v>5.8320000000000007</v>
      </c>
      <c r="GU22" s="35">
        <v>15</v>
      </c>
      <c r="GV22" s="35">
        <v>3.75</v>
      </c>
      <c r="GW22" s="35">
        <v>25.919999999999998</v>
      </c>
      <c r="GX22" s="35">
        <v>12.959999999999999</v>
      </c>
      <c r="GY22" s="35">
        <v>51.20000000000001</v>
      </c>
      <c r="GZ22" s="35">
        <v>28.44444444444445</v>
      </c>
      <c r="HA22" s="35">
        <v>19.911111111111115</v>
      </c>
      <c r="HB22" s="35">
        <v>6.6370370370370386</v>
      </c>
      <c r="HC22" s="35">
        <v>32.400000000000006</v>
      </c>
      <c r="HD22" s="35">
        <v>32.400000000000006</v>
      </c>
      <c r="HE22" s="35">
        <v>16.200000000000003</v>
      </c>
      <c r="HF22" s="35">
        <v>32.400000000000006</v>
      </c>
      <c r="HG22" s="35">
        <v>6.4800000000000013</v>
      </c>
      <c r="HH22" s="35">
        <v>15</v>
      </c>
      <c r="HI22" s="35">
        <v>3.75</v>
      </c>
      <c r="HJ22" s="35">
        <v>23.327999999999999</v>
      </c>
      <c r="HK22" s="35">
        <v>11.664</v>
      </c>
      <c r="HL22" s="35">
        <v>5</v>
      </c>
      <c r="HM22" s="35">
        <v>0</v>
      </c>
      <c r="HN22" s="35">
        <v>0</v>
      </c>
      <c r="HO22" s="35">
        <v>0.98876953125</v>
      </c>
      <c r="HP22" s="35">
        <v>2.1075056052866707</v>
      </c>
      <c r="HQ22" s="35">
        <v>3.0174851417541504</v>
      </c>
      <c r="HR22" s="35">
        <v>2.9708693673190716</v>
      </c>
      <c r="HS22" s="35">
        <v>2.2525405883789063</v>
      </c>
      <c r="HT22" s="35">
        <v>7.5084686279296875</v>
      </c>
      <c r="HU22" s="35">
        <v>3.4767591328242213</v>
      </c>
      <c r="HV22" s="35">
        <v>5.6800657510757446</v>
      </c>
      <c r="HW22" s="35">
        <v>25.633343316745989</v>
      </c>
      <c r="HX22" s="35">
        <v>2.1443382390127956</v>
      </c>
      <c r="HY22" s="35">
        <v>12.65625</v>
      </c>
      <c r="HZ22" s="35">
        <v>31.640625</v>
      </c>
      <c r="IA22" s="35">
        <v>1.3075848379102815</v>
      </c>
      <c r="IB22" s="35">
        <v>9.8997739706053487</v>
      </c>
      <c r="IC22" s="35">
        <v>25.633343316745989</v>
      </c>
      <c r="ID22" s="35">
        <v>1.4856622667273556</v>
      </c>
      <c r="IE22" s="35">
        <v>7.6747706971322343</v>
      </c>
      <c r="IF22" s="35">
        <v>20.608180575632847</v>
      </c>
      <c r="IG22" s="35">
        <v>1.6792153441561728</v>
      </c>
      <c r="IH22" s="35">
        <v>5.4268824039940089</v>
      </c>
      <c r="II22" s="35">
        <v>5.8929464605472841</v>
      </c>
      <c r="IJ22" s="35">
        <v>16.432254553449162</v>
      </c>
      <c r="IK22" s="35">
        <v>1.8888888888888888</v>
      </c>
      <c r="IL22" s="35">
        <v>4.1669424034222482</v>
      </c>
      <c r="IM22" s="35">
        <v>4.4781549876159294</v>
      </c>
      <c r="IN22" s="35">
        <v>12.986649464086197</v>
      </c>
      <c r="IO22" s="35">
        <v>1.6792153441561728</v>
      </c>
      <c r="IP22" s="35">
        <v>3.1665337589475833</v>
      </c>
      <c r="IQ22" s="35">
        <v>3.3650982720214704</v>
      </c>
      <c r="IR22" s="35">
        <v>10.165401030064857</v>
      </c>
      <c r="IS22" s="35">
        <v>1.4856622667273556</v>
      </c>
      <c r="IT22" s="35">
        <v>2.3794838075055149</v>
      </c>
      <c r="IU22" s="35">
        <v>2.4981235396517394</v>
      </c>
      <c r="IV22" s="35">
        <v>7.8745198532500478</v>
      </c>
      <c r="IW22" s="35">
        <v>1.3075848379102815</v>
      </c>
      <c r="IX22" s="35">
        <v>1.7664400951294859</v>
      </c>
      <c r="IY22" s="35">
        <v>1.8301126602008719</v>
      </c>
      <c r="IZ22" s="35">
        <v>6.031053084752874</v>
      </c>
      <c r="JA22" s="35">
        <v>1.1443382390127954</v>
      </c>
      <c r="JB22" s="35">
        <v>1.2940850723633883</v>
      </c>
      <c r="JC22" s="35">
        <v>1.321460307233514</v>
      </c>
      <c r="JD22" s="35">
        <v>4.5621843940204645</v>
      </c>
      <c r="JE22" s="35">
        <v>0.99527765134274004</v>
      </c>
      <c r="JF22" s="35">
        <v>0.93441354431367618</v>
      </c>
      <c r="JG22" s="35">
        <v>0.93913716885887322</v>
      </c>
      <c r="JH22" s="35">
        <v>3.4043722371134146</v>
      </c>
      <c r="JI22" s="35">
        <v>0.8597582562079602</v>
      </c>
      <c r="JJ22" s="35">
        <v>0.66407026056444496</v>
      </c>
      <c r="JK22" s="35">
        <v>0.6558345111620445</v>
      </c>
      <c r="JL22" s="35">
        <v>2.5025264241709593</v>
      </c>
      <c r="JM22" s="35">
        <v>0.73713523491630029</v>
      </c>
      <c r="JN22" s="35">
        <v>0.46374503017884611</v>
      </c>
      <c r="JO22" s="35">
        <v>0.4491863965399755</v>
      </c>
      <c r="JP22" s="35">
        <v>1.8092229860637898</v>
      </c>
      <c r="JQ22" s="35">
        <v>0.62676376877560303</v>
      </c>
      <c r="JR22" s="35">
        <v>0.31762274701016618</v>
      </c>
      <c r="JS22" s="35">
        <v>0.3010658590894742</v>
      </c>
      <c r="JT22" s="35">
        <v>1.283957340234521</v>
      </c>
      <c r="JU22" s="35">
        <v>0.52799903909371371</v>
      </c>
      <c r="JV22" s="35">
        <v>0.21288571054592076</v>
      </c>
      <c r="JW22" s="35">
        <v>0.476837158203125</v>
      </c>
      <c r="JX22" s="35">
        <v>1.5708885696404189</v>
      </c>
      <c r="JY22" s="35">
        <v>1.4551915228366852</v>
      </c>
      <c r="JZ22" s="35">
        <v>1.9523640191169775</v>
      </c>
      <c r="KA22" s="35">
        <v>1.0862946510314941</v>
      </c>
      <c r="KB22" s="35">
        <v>3.6209821701049805</v>
      </c>
      <c r="KC22" s="35">
        <v>2.1848436788802914</v>
      </c>
      <c r="KD22" s="35">
        <v>2.7392292395234108</v>
      </c>
      <c r="KE22" s="35">
        <v>12.361758929757904</v>
      </c>
      <c r="KF22" s="35">
        <v>1.6436902594446974</v>
      </c>
      <c r="KG22" s="35">
        <v>6.103515625</v>
      </c>
      <c r="KH22" s="35">
        <v>15.2587890625</v>
      </c>
      <c r="KI22" s="35">
        <v>0.73551647132453335</v>
      </c>
      <c r="KJ22" s="35">
        <v>4.7741965521823628</v>
      </c>
      <c r="KK22" s="35">
        <v>12.361758929757904</v>
      </c>
      <c r="KL22" s="35">
        <v>0.83568502503413755</v>
      </c>
      <c r="KM22" s="35">
        <v>3.7011818562559</v>
      </c>
      <c r="KN22" s="35">
        <v>9.938358688094544</v>
      </c>
      <c r="KO22" s="35">
        <v>0.94455863108784721</v>
      </c>
      <c r="KP22" s="35">
        <v>2.6171307889631601</v>
      </c>
      <c r="KQ22" s="35">
        <v>2.8418916187052878</v>
      </c>
      <c r="KR22" s="35">
        <v>7.9245054752358994</v>
      </c>
      <c r="KS22" s="35">
        <v>1.0625</v>
      </c>
      <c r="KT22" s="35">
        <v>2.0095208349837232</v>
      </c>
      <c r="KU22" s="35">
        <v>2.1596040642437933</v>
      </c>
      <c r="KV22" s="35">
        <v>6.2628517863070012</v>
      </c>
      <c r="KW22" s="35">
        <v>0.94455863108784721</v>
      </c>
      <c r="KX22" s="35">
        <v>1.5270706785048145</v>
      </c>
      <c r="KY22" s="35">
        <v>1.6228290277881319</v>
      </c>
      <c r="KZ22" s="35">
        <v>4.9022960214433144</v>
      </c>
      <c r="LA22" s="35">
        <v>0.83568502503413755</v>
      </c>
      <c r="LB22" s="35">
        <v>1.1475134102553601</v>
      </c>
      <c r="LC22" s="35">
        <v>1.2047277872548898</v>
      </c>
      <c r="LD22" s="35">
        <v>3.7975115033034568</v>
      </c>
      <c r="LE22" s="35">
        <v>0.73551647132453335</v>
      </c>
      <c r="LF22" s="35">
        <v>0.85187118785179694</v>
      </c>
      <c r="LG22" s="35">
        <v>0.8825774788777353</v>
      </c>
      <c r="LH22" s="35">
        <v>2.908493964483446</v>
      </c>
      <c r="LI22" s="35">
        <v>0.64369025944469738</v>
      </c>
      <c r="LJ22" s="35">
        <v>0.62407652023697346</v>
      </c>
      <c r="LK22" s="35">
        <v>2.0566158053263899</v>
      </c>
      <c r="LL22" s="35">
        <v>0.63727831174455729</v>
      </c>
      <c r="LM22" s="35">
        <v>2.2001275048323996</v>
      </c>
      <c r="LN22" s="35">
        <v>0.5598436788802913</v>
      </c>
      <c r="LO22" s="35">
        <v>0.45062381573769106</v>
      </c>
      <c r="LP22" s="35">
        <v>1.5557250781420282</v>
      </c>
      <c r="LQ22" s="35">
        <v>0.45290179825370042</v>
      </c>
      <c r="LR22" s="35">
        <v>1.6417690186696638</v>
      </c>
      <c r="LS22" s="35">
        <v>0.4836140191169776</v>
      </c>
      <c r="LT22" s="35">
        <v>0.32024993275677321</v>
      </c>
      <c r="LU22" s="35">
        <v>1.1609060062433028</v>
      </c>
      <c r="LV22" s="35">
        <v>0.31627821718848598</v>
      </c>
      <c r="LW22" s="35">
        <v>1.2068510919034332</v>
      </c>
      <c r="LX22" s="35">
        <v>0.4146385696404189</v>
      </c>
      <c r="LY22" s="35">
        <v>0.22364247211557009</v>
      </c>
      <c r="LZ22" s="35">
        <v>0.85337259096730689</v>
      </c>
      <c r="MA22" s="35">
        <v>0.21662152610917026</v>
      </c>
      <c r="MB22" s="35">
        <v>0.8725033690508246</v>
      </c>
      <c r="MC22" s="35">
        <v>0.35255461993627668</v>
      </c>
      <c r="MD22" s="35">
        <v>0.15317455006277303</v>
      </c>
    </row>
  </sheetData>
  <phoneticPr fontId="11" type="noConversion"/>
  <conditionalFormatting sqref="F5">
    <cfRule type="containsText" dxfId="1" priority="1" operator="containsText" text="T">
      <formula>NOT(ISERROR(SEARCH("T",F5)))</formula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.75" right="0.75" top="1" bottom="1" header="0.5" footer="0.5"/>
  <pageSetup orientation="portrait" r:id="rId1"/>
  <headerFooter alignWithMargins="0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E62B6-1A60-4576-95C3-7319DA75C134}">
  <sheetPr codeName="Sheet79"/>
  <dimension ref="A1:OA22"/>
  <sheetViews>
    <sheetView zoomScaleNormal="100" workbookViewId="0">
      <pane ySplit="6" topLeftCell="A7" activePane="bottomLeft" state="frozen"/>
      <selection pane="bottomLeft" activeCell="B7" sqref="B7:B22"/>
    </sheetView>
  </sheetViews>
  <sheetFormatPr defaultRowHeight="12.75" x14ac:dyDescent="0.2"/>
  <cols>
    <col min="1" max="1" width="8.140625" bestFit="1" customWidth="1"/>
    <col min="2" max="2" width="13.28515625" bestFit="1" customWidth="1"/>
    <col min="3" max="3" width="9" bestFit="1" customWidth="1"/>
    <col min="4" max="4" width="11.140625" bestFit="1" customWidth="1"/>
    <col min="5" max="5" width="8.42578125" bestFit="1" customWidth="1"/>
    <col min="6" max="6" width="8.140625" bestFit="1" customWidth="1"/>
    <col min="7" max="7" width="9.5703125" bestFit="1" customWidth="1"/>
    <col min="8" max="8" width="6.85546875" bestFit="1" customWidth="1"/>
    <col min="9" max="9" width="11.85546875" bestFit="1" customWidth="1"/>
    <col min="10" max="10" width="8.140625" bestFit="1" customWidth="1"/>
    <col min="11" max="11" width="11.140625" bestFit="1" customWidth="1"/>
    <col min="12" max="12" width="9.5703125" bestFit="1" customWidth="1"/>
    <col min="13" max="13" width="14.140625" bestFit="1" customWidth="1"/>
    <col min="14" max="14" width="9.85546875" bestFit="1" customWidth="1"/>
    <col min="15" max="16" width="7.5703125" bestFit="1" customWidth="1"/>
    <col min="17" max="18" width="11.140625" bestFit="1" customWidth="1"/>
    <col min="19" max="19" width="8.85546875" bestFit="1" customWidth="1"/>
    <col min="20" max="20" width="20.42578125" bestFit="1" customWidth="1"/>
    <col min="21" max="21" width="20.85546875" bestFit="1" customWidth="1"/>
    <col min="22" max="22" width="20.42578125" bestFit="1" customWidth="1"/>
    <col min="23" max="23" width="20.85546875" bestFit="1" customWidth="1"/>
    <col min="24" max="24" width="14.42578125" bestFit="1" customWidth="1"/>
    <col min="25" max="25" width="16" bestFit="1" customWidth="1"/>
    <col min="26" max="26" width="11.85546875" bestFit="1" customWidth="1"/>
    <col min="27" max="27" width="16" bestFit="1" customWidth="1"/>
    <col min="28" max="28" width="11.85546875" bestFit="1" customWidth="1"/>
    <col min="29" max="29" width="25.42578125" bestFit="1" customWidth="1"/>
    <col min="30" max="33" width="11.85546875" bestFit="1" customWidth="1"/>
    <col min="34" max="34" width="12.140625" bestFit="1" customWidth="1"/>
    <col min="35" max="35" width="11.85546875" bestFit="1" customWidth="1"/>
    <col min="36" max="36" width="12.140625" bestFit="1" customWidth="1"/>
    <col min="37" max="37" width="12.85546875" bestFit="1" customWidth="1"/>
    <col min="38" max="38" width="11.85546875" bestFit="1" customWidth="1"/>
    <col min="39" max="39" width="12.85546875" bestFit="1" customWidth="1"/>
    <col min="40" max="40" width="11.85546875" bestFit="1" customWidth="1"/>
    <col min="41" max="41" width="14.5703125" bestFit="1" customWidth="1"/>
    <col min="42" max="42" width="19" bestFit="1" customWidth="1"/>
    <col min="43" max="44" width="20.140625" bestFit="1" customWidth="1"/>
    <col min="45" max="45" width="27.140625" bestFit="1" customWidth="1"/>
    <col min="46" max="48" width="28.28515625" bestFit="1" customWidth="1"/>
    <col min="49" max="49" width="29.42578125" bestFit="1" customWidth="1"/>
    <col min="50" max="50" width="10.85546875" bestFit="1" customWidth="1"/>
    <col min="51" max="51" width="15.140625" bestFit="1" customWidth="1"/>
    <col min="52" max="53" width="16.28515625" bestFit="1" customWidth="1"/>
    <col min="54" max="54" width="23.42578125" bestFit="1" customWidth="1"/>
    <col min="55" max="57" width="24.42578125" bestFit="1" customWidth="1"/>
    <col min="58" max="58" width="25.5703125" bestFit="1" customWidth="1"/>
    <col min="59" max="59" width="25.85546875" style="2" bestFit="1" customWidth="1"/>
    <col min="60" max="60" width="26.85546875" bestFit="1" customWidth="1"/>
    <col min="61" max="61" width="10.5703125" bestFit="1" customWidth="1"/>
    <col min="62" max="62" width="15.140625" bestFit="1" customWidth="1"/>
    <col min="63" max="63" width="14.5703125" bestFit="1" customWidth="1"/>
    <col min="64" max="64" width="19" bestFit="1" customWidth="1"/>
    <col min="65" max="66" width="20.140625" bestFit="1" customWidth="1"/>
    <col min="67" max="67" width="27.140625" bestFit="1" customWidth="1"/>
    <col min="68" max="70" width="28.28515625" bestFit="1" customWidth="1"/>
    <col min="71" max="71" width="29.42578125" bestFit="1" customWidth="1"/>
    <col min="72" max="72" width="10.85546875" bestFit="1" customWidth="1"/>
    <col min="73" max="73" width="15.140625" bestFit="1" customWidth="1"/>
    <col min="74" max="75" width="16.28515625" bestFit="1" customWidth="1"/>
    <col min="76" max="76" width="23.42578125" bestFit="1" customWidth="1"/>
    <col min="77" max="79" width="24.42578125" bestFit="1" customWidth="1"/>
    <col min="80" max="80" width="25.5703125" bestFit="1" customWidth="1"/>
    <col min="81" max="81" width="25.85546875" bestFit="1" customWidth="1"/>
    <col min="82" max="82" width="26.85546875" bestFit="1" customWidth="1"/>
    <col min="83" max="83" width="10.5703125" bestFit="1" customWidth="1"/>
    <col min="84" max="84" width="15.140625" bestFit="1" customWidth="1"/>
    <col min="85" max="85" width="11.5703125" bestFit="1" customWidth="1"/>
    <col min="86" max="86" width="12.85546875" bestFit="1" customWidth="1"/>
    <col min="87" max="87" width="15.42578125" bestFit="1" customWidth="1"/>
    <col min="88" max="89" width="16.42578125" bestFit="1" customWidth="1"/>
    <col min="90" max="98" width="11.85546875" bestFit="1" customWidth="1"/>
    <col min="99" max="149" width="12.7109375" bestFit="1" customWidth="1"/>
    <col min="150" max="158" width="11.85546875" bestFit="1" customWidth="1"/>
    <col min="159" max="209" width="12.7109375" bestFit="1" customWidth="1"/>
    <col min="210" max="215" width="11" bestFit="1" customWidth="1"/>
    <col min="216" max="216" width="11.5703125" bestFit="1" customWidth="1"/>
    <col min="217" max="217" width="16.28515625" bestFit="1" customWidth="1"/>
    <col min="218" max="221" width="11" bestFit="1" customWidth="1"/>
    <col min="222" max="230" width="10.42578125" bestFit="1" customWidth="1"/>
    <col min="231" max="235" width="9.85546875" bestFit="1" customWidth="1"/>
    <col min="236" max="243" width="10.42578125" bestFit="1" customWidth="1"/>
    <col min="244" max="252" width="11.42578125" bestFit="1" customWidth="1"/>
    <col min="253" max="265" width="10.42578125" bestFit="1" customWidth="1"/>
    <col min="266" max="390" width="11.42578125" bestFit="1" customWidth="1"/>
  </cols>
  <sheetData>
    <row r="1" spans="1:391" s="4" customFormat="1" ht="14.25" x14ac:dyDescent="0.2">
      <c r="A1" s="4" t="s">
        <v>16</v>
      </c>
      <c r="B1" s="4">
        <f>(COUNTA(6:6)-28)/2</f>
        <v>181</v>
      </c>
      <c r="BG1" s="24"/>
    </row>
    <row r="2" spans="1:391" s="4" customFormat="1" ht="14.25" x14ac:dyDescent="0.2">
      <c r="A2" s="4" t="s">
        <v>472</v>
      </c>
      <c r="B2" s="4" t="s">
        <v>374</v>
      </c>
      <c r="C2" s="4" t="str">
        <f>IFERROR(IF(VLOOKUP(B2&amp;"-GDGT",Statistics!M:P,2,FALSE)=0,"",VLOOKUP(B2&amp;"-GDGT",Statistics!M:P,2,FALSE)),"")</f>
        <v>Zeng, Z., et al. (2018). "Calditol-linked membrane lipids are required for acid tolerance in &lt;i&gt;Sulfolobus acidocaldarius&lt;/i&gt;." Proceedings of the National Academy of Sciences 115(51): 12932-12937.</v>
      </c>
      <c r="D2" s="5"/>
      <c r="BG2" s="24"/>
    </row>
    <row r="3" spans="1:391" s="4" customFormat="1" ht="14.25" x14ac:dyDescent="0.2">
      <c r="A3" s="4" t="s">
        <v>473</v>
      </c>
      <c r="B3" s="4" t="s">
        <v>471</v>
      </c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25"/>
      <c r="CW3" s="25"/>
      <c r="CX3" s="25"/>
      <c r="CY3" s="25"/>
      <c r="CZ3" s="25"/>
      <c r="DA3" s="25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25"/>
      <c r="DM3" s="25"/>
      <c r="DN3" s="25"/>
      <c r="DO3" s="25"/>
      <c r="DP3" s="25"/>
      <c r="DQ3" s="25"/>
      <c r="DR3" s="25"/>
      <c r="DS3" s="25"/>
      <c r="DT3" s="25"/>
      <c r="DU3" s="25"/>
      <c r="DV3" s="25"/>
      <c r="DW3" s="25"/>
      <c r="DX3" s="25"/>
      <c r="DY3" s="25"/>
      <c r="DZ3" s="25"/>
      <c r="EA3" s="25"/>
      <c r="EB3" s="25"/>
      <c r="EC3" s="25"/>
      <c r="ED3" s="25"/>
      <c r="EE3" s="25"/>
      <c r="EF3" s="25"/>
      <c r="EG3" s="25"/>
      <c r="EH3" s="25"/>
      <c r="EI3" s="25"/>
      <c r="EJ3" s="25"/>
      <c r="EK3" s="25"/>
      <c r="EL3" s="25"/>
      <c r="EM3" s="25"/>
      <c r="EN3" s="25"/>
      <c r="EO3" s="25"/>
      <c r="EP3" s="25"/>
      <c r="EQ3" s="25"/>
      <c r="ER3" s="25"/>
      <c r="ES3" s="25"/>
      <c r="ET3" s="25"/>
      <c r="EU3" s="25"/>
      <c r="EV3" s="25"/>
      <c r="EW3" s="25"/>
      <c r="EX3" s="25"/>
      <c r="EY3" s="25"/>
      <c r="EZ3" s="25"/>
      <c r="FA3" s="25"/>
      <c r="FB3" s="25"/>
      <c r="FC3" s="25"/>
      <c r="FD3" s="25"/>
      <c r="FE3" s="25"/>
      <c r="FF3" s="25"/>
      <c r="FG3" s="25"/>
      <c r="FH3" s="25"/>
      <c r="FI3" s="25"/>
      <c r="FJ3" s="25"/>
      <c r="FK3" s="25"/>
      <c r="FL3" s="25"/>
      <c r="FM3" s="25"/>
      <c r="FN3" s="25"/>
      <c r="FO3" s="25"/>
      <c r="FP3" s="25"/>
      <c r="FQ3" s="25"/>
      <c r="FR3" s="25"/>
      <c r="FS3" s="25"/>
      <c r="FT3" s="25"/>
      <c r="FU3" s="25"/>
      <c r="FV3" s="25"/>
      <c r="FW3" s="25"/>
      <c r="FX3" s="25"/>
      <c r="FY3" s="25"/>
      <c r="FZ3" s="25"/>
      <c r="GA3" s="25"/>
      <c r="GB3" s="25"/>
      <c r="GC3" s="25"/>
      <c r="GD3" s="25"/>
      <c r="GE3" s="25"/>
      <c r="GF3" s="25"/>
      <c r="GG3" s="25"/>
      <c r="GH3" s="25"/>
      <c r="GI3" s="25"/>
      <c r="GJ3" s="25"/>
      <c r="GK3" s="25"/>
      <c r="GL3" s="25"/>
      <c r="GM3" s="25"/>
      <c r="GN3" s="25"/>
      <c r="GO3" s="25"/>
      <c r="GP3" s="25"/>
      <c r="GQ3" s="25"/>
      <c r="GR3" s="25"/>
      <c r="GS3" s="25"/>
      <c r="GT3" s="25"/>
      <c r="GU3" s="25"/>
      <c r="GV3" s="25"/>
      <c r="GW3" s="25"/>
      <c r="GX3" s="25"/>
      <c r="GY3" s="25"/>
      <c r="GZ3" s="25"/>
      <c r="HA3" s="25"/>
      <c r="HB3" s="25"/>
      <c r="HC3" s="25"/>
      <c r="HD3" s="25"/>
      <c r="HE3" s="25"/>
      <c r="HF3" s="25"/>
      <c r="HG3" s="25"/>
      <c r="HH3" s="25"/>
      <c r="HI3" s="25"/>
      <c r="HJ3" s="25"/>
      <c r="HK3" s="25"/>
      <c r="HL3" s="25"/>
    </row>
    <row r="4" spans="1:391" s="4" customFormat="1" ht="14.25" x14ac:dyDescent="0.2"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T4"/>
      <c r="BU4"/>
      <c r="BV4"/>
      <c r="BW4"/>
      <c r="BX4"/>
      <c r="BY4"/>
      <c r="BZ4"/>
      <c r="CA4"/>
      <c r="CB4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IB4" s="6"/>
      <c r="IC4" s="6"/>
      <c r="ID4" s="6"/>
      <c r="IE4" s="6"/>
      <c r="IF4" s="6"/>
      <c r="IG4" s="6"/>
      <c r="IH4" s="6"/>
      <c r="II4" s="6"/>
      <c r="IJ4" s="6"/>
      <c r="IK4" s="6"/>
      <c r="IL4" s="6"/>
      <c r="IM4" s="6"/>
      <c r="IN4" s="6"/>
      <c r="IO4" s="6"/>
      <c r="IP4" s="6"/>
      <c r="IQ4" s="6"/>
      <c r="IR4" s="6"/>
      <c r="IS4" s="6"/>
      <c r="IT4" s="6"/>
      <c r="IU4" s="6"/>
      <c r="IV4" s="6"/>
      <c r="IW4" s="6"/>
      <c r="IX4" s="6"/>
      <c r="IY4" s="6"/>
      <c r="IZ4" s="6"/>
      <c r="JA4" s="6"/>
      <c r="JB4" s="6"/>
      <c r="JC4" s="6"/>
      <c r="JD4" s="6"/>
      <c r="JE4" s="6"/>
      <c r="JF4" s="6"/>
      <c r="JG4" s="6"/>
      <c r="JH4" s="6"/>
      <c r="JI4" s="6"/>
      <c r="JJ4" s="6"/>
      <c r="JK4" s="6"/>
      <c r="JL4" s="6"/>
      <c r="JM4" s="6"/>
      <c r="JN4" s="6"/>
      <c r="JO4" s="6"/>
      <c r="JP4" s="6"/>
      <c r="JQ4" s="6"/>
      <c r="JR4" s="6"/>
      <c r="JS4" s="6"/>
      <c r="JT4" s="6"/>
      <c r="JU4" s="6"/>
      <c r="JV4" s="6"/>
      <c r="JW4" s="6"/>
      <c r="JX4" s="6"/>
      <c r="JY4" s="6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  <c r="KO4" s="6"/>
      <c r="KP4" s="6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6"/>
      <c r="ML4" s="6"/>
      <c r="MM4" s="6"/>
      <c r="MN4" s="6"/>
      <c r="MO4" s="6"/>
      <c r="MP4" s="6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6"/>
      <c r="NI4" s="6"/>
      <c r="NJ4" s="6"/>
      <c r="NK4" s="6"/>
      <c r="NL4" s="6"/>
      <c r="NM4" s="6"/>
      <c r="NN4" s="6"/>
      <c r="NO4" s="6"/>
      <c r="NP4" s="6"/>
      <c r="NQ4" s="6"/>
      <c r="NR4" s="6"/>
      <c r="NS4" s="6"/>
      <c r="NT4" s="6"/>
      <c r="NU4" s="6"/>
      <c r="NV4" s="6"/>
      <c r="NW4" s="6"/>
      <c r="NX4" s="6"/>
      <c r="NY4" s="6"/>
      <c r="NZ4" s="6"/>
      <c r="OA4" s="6"/>
    </row>
    <row r="5" spans="1:391" s="4" customFormat="1" ht="14.25" x14ac:dyDescent="0.2">
      <c r="E5" s="4" t="str">
        <f>VLOOKUP(B2&amp;"-GDGT",Statistics!M:P,4,FALSE)</f>
        <v>C12H22O11</v>
      </c>
      <c r="F5" s="5"/>
      <c r="G5" s="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T5"/>
      <c r="BU5"/>
      <c r="BV5"/>
      <c r="BW5"/>
      <c r="BX5"/>
      <c r="BY5"/>
      <c r="BZ5"/>
      <c r="CA5"/>
      <c r="CB5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/>
      <c r="HH5" s="6"/>
      <c r="HI5" s="6"/>
      <c r="HJ5" s="6"/>
      <c r="HK5" s="6"/>
      <c r="HL5" s="6"/>
      <c r="HM5" s="6"/>
      <c r="HN5" s="6"/>
      <c r="HO5" s="6"/>
      <c r="HP5" s="6"/>
      <c r="HQ5" s="6"/>
      <c r="HR5" s="6"/>
      <c r="HS5" s="6"/>
      <c r="HT5" s="6"/>
      <c r="HU5" s="6"/>
      <c r="HV5" s="6"/>
      <c r="HW5" s="6"/>
      <c r="HX5" s="6"/>
      <c r="HY5" s="6"/>
      <c r="HZ5" s="6"/>
      <c r="IA5" s="6"/>
      <c r="IB5" s="6"/>
      <c r="IC5" s="6"/>
      <c r="ID5" s="6"/>
      <c r="IE5" s="6"/>
      <c r="IF5" s="6"/>
      <c r="IG5" s="6"/>
      <c r="IH5" s="6"/>
      <c r="II5" s="6"/>
      <c r="IJ5" s="6"/>
      <c r="IK5" s="6"/>
      <c r="IL5" s="6"/>
      <c r="IM5" s="6"/>
      <c r="IN5" s="6"/>
      <c r="IO5" s="6"/>
      <c r="IP5" s="6"/>
      <c r="IQ5" s="6"/>
      <c r="IR5" s="6"/>
      <c r="IS5" s="6"/>
      <c r="IT5" s="6"/>
      <c r="IU5" s="6"/>
      <c r="IV5" s="6"/>
      <c r="IW5" s="6"/>
      <c r="IX5" s="6"/>
      <c r="IY5" s="6"/>
      <c r="IZ5" s="6"/>
      <c r="JA5" s="6"/>
      <c r="JB5" s="6"/>
      <c r="JC5" s="6"/>
      <c r="JD5" s="6"/>
      <c r="JE5" s="6"/>
      <c r="JF5" s="6"/>
      <c r="JG5" s="6"/>
      <c r="JH5" s="6"/>
      <c r="JI5" s="6"/>
      <c r="JJ5" s="6"/>
      <c r="JK5" s="6"/>
      <c r="JL5" s="6"/>
      <c r="JM5" s="6"/>
      <c r="JN5" s="6"/>
      <c r="JO5" s="6"/>
      <c r="JP5" s="6"/>
      <c r="JQ5" s="6"/>
      <c r="JR5" s="6"/>
      <c r="JS5" s="6"/>
      <c r="JT5" s="6"/>
      <c r="JU5" s="6"/>
      <c r="JV5" s="6"/>
      <c r="JW5" s="6"/>
      <c r="JX5" s="6"/>
      <c r="JY5" s="6"/>
      <c r="JZ5" s="6"/>
      <c r="KA5" s="6"/>
      <c r="KB5" s="6"/>
      <c r="KC5" s="6"/>
      <c r="KD5" s="6"/>
      <c r="KE5" s="6"/>
      <c r="KF5" s="6"/>
      <c r="KG5" s="6"/>
      <c r="KH5" s="6"/>
      <c r="KI5" s="6"/>
      <c r="KJ5" s="6"/>
      <c r="KK5" s="6"/>
      <c r="KL5" s="6"/>
      <c r="KM5" s="6"/>
      <c r="KN5" s="6"/>
      <c r="KO5" s="6"/>
      <c r="KP5" s="6"/>
      <c r="KQ5" s="6"/>
      <c r="KR5" s="6"/>
      <c r="KS5" s="6"/>
      <c r="KT5" s="6"/>
      <c r="KU5" s="6"/>
      <c r="KV5" s="6"/>
      <c r="KW5" s="6"/>
      <c r="KX5" s="6"/>
      <c r="KY5" s="6"/>
      <c r="KZ5" s="6"/>
      <c r="LA5" s="6"/>
      <c r="LB5" s="6"/>
      <c r="LC5" s="6"/>
      <c r="LD5" s="6"/>
      <c r="LE5" s="6"/>
      <c r="LF5" s="6"/>
      <c r="LG5" s="6"/>
      <c r="LH5" s="6"/>
      <c r="LI5" s="6"/>
      <c r="LJ5" s="6"/>
      <c r="LK5" s="6"/>
      <c r="LL5" s="6"/>
      <c r="LM5" s="6"/>
      <c r="LN5" s="6"/>
      <c r="LO5" s="6"/>
      <c r="LP5" s="6"/>
      <c r="LQ5" s="6"/>
      <c r="LR5" s="6"/>
      <c r="LS5" s="6"/>
      <c r="LT5" s="6"/>
      <c r="LU5" s="6"/>
      <c r="LV5" s="6"/>
      <c r="LW5" s="6"/>
      <c r="LX5" s="6"/>
      <c r="LY5" s="6"/>
      <c r="LZ5" s="6"/>
      <c r="MA5" s="6"/>
      <c r="MB5" s="6"/>
      <c r="MC5" s="6"/>
      <c r="MD5" s="6"/>
      <c r="ME5" s="6"/>
      <c r="MF5" s="6"/>
      <c r="MG5" s="6"/>
      <c r="MH5" s="6"/>
      <c r="MI5" s="6"/>
      <c r="MJ5" s="6"/>
      <c r="MK5" s="6"/>
      <c r="ML5" s="6"/>
      <c r="MM5" s="6"/>
      <c r="MN5" s="6"/>
      <c r="MO5" s="6"/>
      <c r="MP5" s="6"/>
      <c r="MQ5" s="6"/>
      <c r="MR5" s="6"/>
      <c r="MS5" s="6"/>
      <c r="MT5" s="6"/>
      <c r="MU5" s="6"/>
      <c r="MV5" s="6"/>
      <c r="MW5" s="6"/>
      <c r="MX5" s="6"/>
      <c r="MY5" s="6"/>
      <c r="MZ5" s="6"/>
      <c r="NA5" s="6"/>
      <c r="NB5" s="6"/>
      <c r="NC5" s="6"/>
      <c r="ND5" s="6"/>
      <c r="NE5" s="6"/>
      <c r="NF5" s="6"/>
      <c r="NG5" s="6"/>
      <c r="NH5" s="6"/>
      <c r="NI5" s="6"/>
      <c r="NJ5" s="6"/>
      <c r="NK5" s="6"/>
      <c r="NL5" s="6"/>
      <c r="NM5" s="6"/>
      <c r="NN5" s="6"/>
      <c r="NO5" s="6"/>
      <c r="NP5" s="6"/>
      <c r="NQ5" s="6"/>
      <c r="NR5" s="6"/>
      <c r="NS5" s="6"/>
      <c r="NT5" s="6"/>
      <c r="NU5" s="6"/>
      <c r="NV5" s="6"/>
      <c r="NW5" s="6"/>
      <c r="NX5" s="6"/>
      <c r="NY5" s="6"/>
      <c r="NZ5" s="6"/>
      <c r="OA5" s="6"/>
    </row>
    <row r="6" spans="1:391" s="26" customFormat="1" ht="15" x14ac:dyDescent="0.2">
      <c r="A6" s="26" t="s">
        <v>6</v>
      </c>
      <c r="B6" s="27" t="s">
        <v>7</v>
      </c>
      <c r="C6" s="26" t="s">
        <v>15</v>
      </c>
      <c r="D6" s="26" t="s">
        <v>8</v>
      </c>
      <c r="E6" s="26" t="s">
        <v>14</v>
      </c>
      <c r="F6" s="26" t="s">
        <v>461</v>
      </c>
      <c r="G6" s="26" t="s">
        <v>468</v>
      </c>
      <c r="H6" s="9" t="s">
        <v>463</v>
      </c>
      <c r="I6" s="9" t="s">
        <v>464</v>
      </c>
      <c r="J6" s="10" t="s">
        <v>21</v>
      </c>
      <c r="K6" s="9" t="s">
        <v>465</v>
      </c>
      <c r="L6" s="26" t="s">
        <v>23</v>
      </c>
      <c r="M6" s="26" t="s">
        <v>405</v>
      </c>
      <c r="N6" s="26" t="s">
        <v>22</v>
      </c>
      <c r="O6" s="26" t="s">
        <v>17</v>
      </c>
      <c r="P6" s="26" t="s">
        <v>18</v>
      </c>
      <c r="Q6" s="26" t="s">
        <v>19</v>
      </c>
      <c r="R6" s="26" t="s">
        <v>20</v>
      </c>
      <c r="S6" s="26" t="s">
        <v>9</v>
      </c>
      <c r="T6" s="26" t="s">
        <v>10</v>
      </c>
      <c r="U6" s="26" t="s">
        <v>12</v>
      </c>
      <c r="V6" s="26" t="s">
        <v>11</v>
      </c>
      <c r="W6" s="26" t="s">
        <v>13</v>
      </c>
      <c r="X6" s="26" t="s">
        <v>0</v>
      </c>
      <c r="Y6" s="28" t="s">
        <v>2</v>
      </c>
      <c r="Z6" s="28" t="s">
        <v>4</v>
      </c>
      <c r="AA6" s="28" t="s">
        <v>3</v>
      </c>
      <c r="AB6" s="28" t="s">
        <v>5</v>
      </c>
      <c r="AC6" s="29" t="s">
        <v>373</v>
      </c>
      <c r="AD6" s="30" t="s">
        <v>34</v>
      </c>
      <c r="AE6" s="30" t="s">
        <v>35</v>
      </c>
      <c r="AF6" s="30" t="s">
        <v>45</v>
      </c>
      <c r="AG6" s="30" t="s">
        <v>379</v>
      </c>
      <c r="AH6" s="29" t="s">
        <v>372</v>
      </c>
      <c r="AI6" s="30" t="s">
        <v>375</v>
      </c>
      <c r="AJ6" s="30" t="s">
        <v>377</v>
      </c>
      <c r="AK6" s="30" t="s">
        <v>378</v>
      </c>
      <c r="AL6" s="30" t="s">
        <v>46</v>
      </c>
      <c r="AM6" s="30" t="s">
        <v>376</v>
      </c>
      <c r="AN6" s="30" t="s">
        <v>72</v>
      </c>
      <c r="AO6" s="30" t="s">
        <v>380</v>
      </c>
      <c r="AP6" s="30" t="s">
        <v>381</v>
      </c>
      <c r="AQ6" s="30" t="s">
        <v>382</v>
      </c>
      <c r="AR6" s="30" t="s">
        <v>383</v>
      </c>
      <c r="AS6" s="30" t="s">
        <v>384</v>
      </c>
      <c r="AT6" s="30" t="s">
        <v>385</v>
      </c>
      <c r="AU6" s="30" t="s">
        <v>386</v>
      </c>
      <c r="AV6" s="30" t="s">
        <v>387</v>
      </c>
      <c r="AW6" s="30" t="s">
        <v>388</v>
      </c>
      <c r="AX6" s="30" t="s">
        <v>48</v>
      </c>
      <c r="AY6" s="30" t="s">
        <v>49</v>
      </c>
      <c r="AZ6" s="30" t="s">
        <v>51</v>
      </c>
      <c r="BA6" s="30" t="s">
        <v>50</v>
      </c>
      <c r="BB6" s="30" t="s">
        <v>52</v>
      </c>
      <c r="BC6" s="30" t="s">
        <v>53</v>
      </c>
      <c r="BD6" s="30" t="s">
        <v>54</v>
      </c>
      <c r="BE6" s="30" t="s">
        <v>55</v>
      </c>
      <c r="BF6" s="30" t="s">
        <v>245</v>
      </c>
      <c r="BG6" s="30" t="s">
        <v>57</v>
      </c>
      <c r="BH6" s="30" t="s">
        <v>58</v>
      </c>
      <c r="BI6" s="30" t="s">
        <v>56</v>
      </c>
      <c r="BJ6" s="30" t="s">
        <v>59</v>
      </c>
      <c r="BK6" s="30" t="s">
        <v>389</v>
      </c>
      <c r="BL6" s="30" t="s">
        <v>390</v>
      </c>
      <c r="BM6" s="30" t="s">
        <v>391</v>
      </c>
      <c r="BN6" s="30" t="s">
        <v>392</v>
      </c>
      <c r="BO6" s="30" t="s">
        <v>393</v>
      </c>
      <c r="BP6" s="30" t="s">
        <v>394</v>
      </c>
      <c r="BQ6" s="30" t="s">
        <v>395</v>
      </c>
      <c r="BR6" s="30" t="s">
        <v>396</v>
      </c>
      <c r="BS6" s="30" t="s">
        <v>397</v>
      </c>
      <c r="BT6" s="30" t="s">
        <v>60</v>
      </c>
      <c r="BU6" s="30" t="s">
        <v>61</v>
      </c>
      <c r="BV6" s="30" t="s">
        <v>62</v>
      </c>
      <c r="BW6" s="30" t="s">
        <v>63</v>
      </c>
      <c r="BX6" s="30" t="s">
        <v>64</v>
      </c>
      <c r="BY6" s="30" t="s">
        <v>65</v>
      </c>
      <c r="BZ6" s="30" t="s">
        <v>66</v>
      </c>
      <c r="CA6" s="30" t="s">
        <v>67</v>
      </c>
      <c r="CB6" s="30" t="s">
        <v>246</v>
      </c>
      <c r="CC6" s="30" t="s">
        <v>68</v>
      </c>
      <c r="CD6" s="30" t="s">
        <v>69</v>
      </c>
      <c r="CE6" s="30" t="s">
        <v>70</v>
      </c>
      <c r="CF6" s="30" t="s">
        <v>71</v>
      </c>
      <c r="CG6" s="30" t="s">
        <v>247</v>
      </c>
      <c r="CH6" s="30" t="s">
        <v>399</v>
      </c>
      <c r="CI6" s="30" t="s">
        <v>402</v>
      </c>
      <c r="CJ6" s="30" t="s">
        <v>403</v>
      </c>
      <c r="CK6" s="30" t="s">
        <v>404</v>
      </c>
      <c r="CL6" s="30" t="s">
        <v>251</v>
      </c>
      <c r="CM6" s="30" t="s">
        <v>253</v>
      </c>
      <c r="CN6" s="30" t="s">
        <v>254</v>
      </c>
      <c r="CO6" s="30" t="s">
        <v>255</v>
      </c>
      <c r="CP6" s="30" t="s">
        <v>256</v>
      </c>
      <c r="CQ6" s="30" t="s">
        <v>257</v>
      </c>
      <c r="CR6" s="30" t="s">
        <v>258</v>
      </c>
      <c r="CS6" s="30" t="s">
        <v>259</v>
      </c>
      <c r="CT6" s="30" t="s">
        <v>260</v>
      </c>
      <c r="CU6" s="30" t="s">
        <v>261</v>
      </c>
      <c r="CV6" s="30" t="s">
        <v>262</v>
      </c>
      <c r="CW6" s="30" t="s">
        <v>263</v>
      </c>
      <c r="CX6" s="30" t="s">
        <v>264</v>
      </c>
      <c r="CY6" s="30" t="s">
        <v>265</v>
      </c>
      <c r="CZ6" s="30" t="s">
        <v>266</v>
      </c>
      <c r="DA6" s="30" t="s">
        <v>267</v>
      </c>
      <c r="DB6" s="30" t="s">
        <v>268</v>
      </c>
      <c r="DC6" s="30" t="s">
        <v>269</v>
      </c>
      <c r="DD6" s="30" t="s">
        <v>270</v>
      </c>
      <c r="DE6" s="30" t="s">
        <v>271</v>
      </c>
      <c r="DF6" s="30" t="s">
        <v>272</v>
      </c>
      <c r="DG6" s="30" t="s">
        <v>273</v>
      </c>
      <c r="DH6" s="30" t="s">
        <v>274</v>
      </c>
      <c r="DI6" s="30" t="s">
        <v>275</v>
      </c>
      <c r="DJ6" s="30" t="s">
        <v>276</v>
      </c>
      <c r="DK6" s="30" t="s">
        <v>277</v>
      </c>
      <c r="DL6" s="30" t="s">
        <v>278</v>
      </c>
      <c r="DM6" s="30" t="s">
        <v>279</v>
      </c>
      <c r="DN6" s="30" t="s">
        <v>280</v>
      </c>
      <c r="DO6" s="30" t="s">
        <v>281</v>
      </c>
      <c r="DP6" s="30" t="s">
        <v>282</v>
      </c>
      <c r="DQ6" s="30" t="s">
        <v>283</v>
      </c>
      <c r="DR6" s="30" t="s">
        <v>284</v>
      </c>
      <c r="DS6" s="30" t="s">
        <v>285</v>
      </c>
      <c r="DT6" s="30" t="s">
        <v>286</v>
      </c>
      <c r="DU6" s="30" t="s">
        <v>287</v>
      </c>
      <c r="DV6" s="30" t="s">
        <v>288</v>
      </c>
      <c r="DW6" s="30" t="s">
        <v>289</v>
      </c>
      <c r="DX6" s="30" t="s">
        <v>290</v>
      </c>
      <c r="DY6" s="30" t="s">
        <v>291</v>
      </c>
      <c r="DZ6" s="30" t="s">
        <v>292</v>
      </c>
      <c r="EA6" s="30" t="s">
        <v>293</v>
      </c>
      <c r="EB6" s="30" t="s">
        <v>294</v>
      </c>
      <c r="EC6" s="30" t="s">
        <v>295</v>
      </c>
      <c r="ED6" s="30" t="s">
        <v>296</v>
      </c>
      <c r="EE6" s="30" t="s">
        <v>297</v>
      </c>
      <c r="EF6" s="30" t="s">
        <v>298</v>
      </c>
      <c r="EG6" s="30" t="s">
        <v>299</v>
      </c>
      <c r="EH6" s="30" t="s">
        <v>300</v>
      </c>
      <c r="EI6" s="30" t="s">
        <v>301</v>
      </c>
      <c r="EJ6" s="30" t="s">
        <v>302</v>
      </c>
      <c r="EK6" s="30" t="s">
        <v>354</v>
      </c>
      <c r="EL6" s="30" t="s">
        <v>355</v>
      </c>
      <c r="EM6" s="30" t="s">
        <v>356</v>
      </c>
      <c r="EN6" s="30" t="s">
        <v>357</v>
      </c>
      <c r="EO6" s="30" t="s">
        <v>358</v>
      </c>
      <c r="EP6" s="30" t="s">
        <v>359</v>
      </c>
      <c r="EQ6" s="30" t="s">
        <v>360</v>
      </c>
      <c r="ER6" s="30" t="s">
        <v>361</v>
      </c>
      <c r="ES6" s="30" t="s">
        <v>362</v>
      </c>
      <c r="ET6" s="30" t="s">
        <v>303</v>
      </c>
      <c r="EU6" s="30" t="s">
        <v>304</v>
      </c>
      <c r="EV6" s="30" t="s">
        <v>305</v>
      </c>
      <c r="EW6" s="30" t="s">
        <v>306</v>
      </c>
      <c r="EX6" s="30" t="s">
        <v>307</v>
      </c>
      <c r="EY6" s="30" t="s">
        <v>308</v>
      </c>
      <c r="EZ6" s="30" t="s">
        <v>309</v>
      </c>
      <c r="FA6" s="30" t="s">
        <v>310</v>
      </c>
      <c r="FB6" s="30" t="s">
        <v>311</v>
      </c>
      <c r="FC6" s="30" t="s">
        <v>312</v>
      </c>
      <c r="FD6" s="30" t="s">
        <v>313</v>
      </c>
      <c r="FE6" s="30" t="s">
        <v>314</v>
      </c>
      <c r="FF6" s="30" t="s">
        <v>315</v>
      </c>
      <c r="FG6" s="30" t="s">
        <v>316</v>
      </c>
      <c r="FH6" s="30" t="s">
        <v>317</v>
      </c>
      <c r="FI6" s="30" t="s">
        <v>318</v>
      </c>
      <c r="FJ6" s="30" t="s">
        <v>319</v>
      </c>
      <c r="FK6" s="30" t="s">
        <v>320</v>
      </c>
      <c r="FL6" s="30" t="s">
        <v>321</v>
      </c>
      <c r="FM6" s="30" t="s">
        <v>322</v>
      </c>
      <c r="FN6" s="30" t="s">
        <v>323</v>
      </c>
      <c r="FO6" s="30" t="s">
        <v>324</v>
      </c>
      <c r="FP6" s="30" t="s">
        <v>325</v>
      </c>
      <c r="FQ6" s="30" t="s">
        <v>326</v>
      </c>
      <c r="FR6" s="30" t="s">
        <v>327</v>
      </c>
      <c r="FS6" s="30" t="s">
        <v>328</v>
      </c>
      <c r="FT6" s="30" t="s">
        <v>329</v>
      </c>
      <c r="FU6" s="30" t="s">
        <v>330</v>
      </c>
      <c r="FV6" s="30" t="s">
        <v>331</v>
      </c>
      <c r="FW6" s="30" t="s">
        <v>332</v>
      </c>
      <c r="FX6" s="30" t="s">
        <v>333</v>
      </c>
      <c r="FY6" s="30" t="s">
        <v>334</v>
      </c>
      <c r="FZ6" s="30" t="s">
        <v>335</v>
      </c>
      <c r="GA6" s="30" t="s">
        <v>336</v>
      </c>
      <c r="GB6" s="30" t="s">
        <v>337</v>
      </c>
      <c r="GC6" s="30" t="s">
        <v>338</v>
      </c>
      <c r="GD6" s="30" t="s">
        <v>339</v>
      </c>
      <c r="GE6" s="30" t="s">
        <v>340</v>
      </c>
      <c r="GF6" s="30" t="s">
        <v>341</v>
      </c>
      <c r="GG6" s="30" t="s">
        <v>342</v>
      </c>
      <c r="GH6" s="30" t="s">
        <v>343</v>
      </c>
      <c r="GI6" s="30" t="s">
        <v>344</v>
      </c>
      <c r="GJ6" s="30" t="s">
        <v>345</v>
      </c>
      <c r="GK6" s="30" t="s">
        <v>346</v>
      </c>
      <c r="GL6" s="30" t="s">
        <v>347</v>
      </c>
      <c r="GM6" s="30" t="s">
        <v>348</v>
      </c>
      <c r="GN6" s="30" t="s">
        <v>349</v>
      </c>
      <c r="GO6" s="30" t="s">
        <v>350</v>
      </c>
      <c r="GP6" s="30" t="s">
        <v>351</v>
      </c>
      <c r="GQ6" s="30" t="s">
        <v>352</v>
      </c>
      <c r="GR6" s="30" t="s">
        <v>353</v>
      </c>
      <c r="GS6" s="30" t="s">
        <v>363</v>
      </c>
      <c r="GT6" s="30" t="s">
        <v>364</v>
      </c>
      <c r="GU6" s="30" t="s">
        <v>365</v>
      </c>
      <c r="GV6" s="30" t="s">
        <v>366</v>
      </c>
      <c r="GW6" s="30" t="s">
        <v>367</v>
      </c>
      <c r="GX6" s="30" t="s">
        <v>368</v>
      </c>
      <c r="GY6" s="30" t="s">
        <v>369</v>
      </c>
      <c r="GZ6" s="30" t="s">
        <v>370</v>
      </c>
      <c r="HA6" s="30" t="s">
        <v>371</v>
      </c>
      <c r="HB6" s="26" t="s">
        <v>474</v>
      </c>
      <c r="HC6" s="26" t="s">
        <v>475</v>
      </c>
      <c r="HD6" s="26" t="s">
        <v>476</v>
      </c>
      <c r="HE6" s="26" t="s">
        <v>477</v>
      </c>
      <c r="HF6" s="26" t="s">
        <v>478</v>
      </c>
      <c r="HG6" s="26" t="s">
        <v>479</v>
      </c>
      <c r="HH6" s="26" t="s">
        <v>480</v>
      </c>
      <c r="HI6" s="26" t="s">
        <v>481</v>
      </c>
      <c r="HJ6" s="26" t="s">
        <v>482</v>
      </c>
      <c r="HK6" s="26" t="s">
        <v>483</v>
      </c>
      <c r="HL6" s="26" t="s">
        <v>484</v>
      </c>
      <c r="HM6" s="26" t="s">
        <v>485</v>
      </c>
      <c r="HN6" s="26" t="s">
        <v>486</v>
      </c>
      <c r="HO6" s="26" t="s">
        <v>487</v>
      </c>
      <c r="HP6" s="26" t="s">
        <v>488</v>
      </c>
      <c r="HQ6" s="26" t="s">
        <v>489</v>
      </c>
      <c r="HR6" s="26" t="s">
        <v>490</v>
      </c>
      <c r="HS6" s="26" t="s">
        <v>491</v>
      </c>
      <c r="HT6" s="26" t="s">
        <v>492</v>
      </c>
      <c r="HU6" s="26" t="s">
        <v>493</v>
      </c>
      <c r="HV6" s="26" t="s">
        <v>494</v>
      </c>
      <c r="HW6" s="26" t="s">
        <v>495</v>
      </c>
      <c r="HX6" s="26" t="s">
        <v>496</v>
      </c>
      <c r="HY6" s="26" t="s">
        <v>497</v>
      </c>
      <c r="HZ6" s="26" t="s">
        <v>498</v>
      </c>
      <c r="IA6" s="26" t="s">
        <v>499</v>
      </c>
      <c r="IB6" s="26" t="s">
        <v>500</v>
      </c>
      <c r="IC6" s="26" t="s">
        <v>501</v>
      </c>
      <c r="ID6" s="26" t="s">
        <v>502</v>
      </c>
      <c r="IE6" s="26" t="s">
        <v>503</v>
      </c>
      <c r="IF6" s="26" t="s">
        <v>504</v>
      </c>
      <c r="IG6" s="26" t="s">
        <v>505</v>
      </c>
      <c r="IH6" s="26" t="s">
        <v>506</v>
      </c>
      <c r="II6" s="26" t="s">
        <v>507</v>
      </c>
      <c r="IJ6" s="26" t="s">
        <v>508</v>
      </c>
      <c r="IK6" s="26" t="s">
        <v>509</v>
      </c>
      <c r="IL6" s="26" t="s">
        <v>510</v>
      </c>
      <c r="IM6" s="26" t="s">
        <v>511</v>
      </c>
      <c r="IN6" s="26" t="s">
        <v>512</v>
      </c>
      <c r="IO6" s="26" t="s">
        <v>513</v>
      </c>
      <c r="IP6" s="26" t="s">
        <v>514</v>
      </c>
      <c r="IQ6" s="26" t="s">
        <v>515</v>
      </c>
      <c r="IR6" s="26" t="s">
        <v>516</v>
      </c>
      <c r="IS6" s="26" t="s">
        <v>517</v>
      </c>
      <c r="IT6" s="26" t="s">
        <v>518</v>
      </c>
      <c r="IU6" s="26" t="s">
        <v>519</v>
      </c>
      <c r="IV6" s="26" t="s">
        <v>520</v>
      </c>
      <c r="IW6" s="26" t="s">
        <v>521</v>
      </c>
      <c r="IX6" s="26" t="s">
        <v>522</v>
      </c>
      <c r="IY6" s="26" t="s">
        <v>523</v>
      </c>
      <c r="IZ6" s="26" t="s">
        <v>524</v>
      </c>
      <c r="JA6" s="26" t="s">
        <v>525</v>
      </c>
      <c r="JB6" s="26" t="s">
        <v>526</v>
      </c>
      <c r="JC6" s="26" t="s">
        <v>527</v>
      </c>
      <c r="JD6" s="26" t="s">
        <v>528</v>
      </c>
      <c r="JE6" s="26" t="s">
        <v>529</v>
      </c>
      <c r="JF6" s="26" t="s">
        <v>530</v>
      </c>
      <c r="JG6" s="26" t="s">
        <v>531</v>
      </c>
      <c r="JH6" s="26" t="s">
        <v>532</v>
      </c>
      <c r="JI6" s="26" t="s">
        <v>533</v>
      </c>
      <c r="JJ6" s="26" t="s">
        <v>534</v>
      </c>
      <c r="JK6" s="26" t="s">
        <v>653</v>
      </c>
      <c r="JL6" s="26" t="s">
        <v>654</v>
      </c>
      <c r="JM6" s="26" t="s">
        <v>535</v>
      </c>
      <c r="JN6" s="26" t="s">
        <v>536</v>
      </c>
      <c r="JO6" s="26" t="s">
        <v>537</v>
      </c>
      <c r="JP6" s="26" t="s">
        <v>538</v>
      </c>
      <c r="JQ6" s="26" t="s">
        <v>539</v>
      </c>
      <c r="JR6" s="26" t="s">
        <v>540</v>
      </c>
      <c r="JS6" s="26" t="s">
        <v>541</v>
      </c>
      <c r="JT6" s="26" t="s">
        <v>542</v>
      </c>
      <c r="JU6" s="26" t="s">
        <v>543</v>
      </c>
      <c r="JV6" s="26" t="s">
        <v>544</v>
      </c>
      <c r="JW6" s="26" t="s">
        <v>545</v>
      </c>
      <c r="JX6" s="26" t="s">
        <v>546</v>
      </c>
      <c r="JY6" s="26" t="s">
        <v>547</v>
      </c>
      <c r="JZ6" s="26" t="s">
        <v>548</v>
      </c>
      <c r="KA6" s="26" t="s">
        <v>549</v>
      </c>
      <c r="KB6" s="26" t="s">
        <v>550</v>
      </c>
      <c r="KC6" s="26" t="s">
        <v>551</v>
      </c>
      <c r="KD6" s="26" t="s">
        <v>552</v>
      </c>
      <c r="KE6" s="26" t="s">
        <v>553</v>
      </c>
      <c r="KF6" s="26" t="s">
        <v>554</v>
      </c>
      <c r="KG6" s="26" t="s">
        <v>555</v>
      </c>
      <c r="KH6" s="26" t="s">
        <v>556</v>
      </c>
      <c r="KI6" s="26" t="s">
        <v>557</v>
      </c>
      <c r="KJ6" s="26" t="s">
        <v>558</v>
      </c>
      <c r="KK6" s="26" t="s">
        <v>559</v>
      </c>
      <c r="KL6" s="26" t="s">
        <v>560</v>
      </c>
      <c r="KM6" s="26" t="s">
        <v>561</v>
      </c>
      <c r="KN6" s="26" t="s">
        <v>562</v>
      </c>
      <c r="KO6" s="26" t="s">
        <v>563</v>
      </c>
      <c r="KP6" s="26" t="s">
        <v>564</v>
      </c>
      <c r="KQ6" s="26" t="s">
        <v>565</v>
      </c>
      <c r="KR6" s="26" t="s">
        <v>566</v>
      </c>
      <c r="KS6" s="26" t="s">
        <v>567</v>
      </c>
      <c r="KT6" s="26" t="s">
        <v>568</v>
      </c>
      <c r="KU6" s="26" t="s">
        <v>569</v>
      </c>
      <c r="KV6" s="26" t="s">
        <v>570</v>
      </c>
      <c r="KW6" s="26" t="s">
        <v>571</v>
      </c>
      <c r="KX6" s="26" t="s">
        <v>572</v>
      </c>
      <c r="KY6" s="26" t="s">
        <v>573</v>
      </c>
      <c r="KZ6" s="26" t="s">
        <v>574</v>
      </c>
      <c r="LA6" s="26" t="s">
        <v>575</v>
      </c>
      <c r="LB6" s="26" t="s">
        <v>576</v>
      </c>
      <c r="LC6" s="26" t="s">
        <v>577</v>
      </c>
      <c r="LD6" s="26" t="s">
        <v>578</v>
      </c>
      <c r="LE6" s="26" t="s">
        <v>579</v>
      </c>
      <c r="LF6" s="26" t="s">
        <v>580</v>
      </c>
      <c r="LG6" s="26" t="s">
        <v>581</v>
      </c>
      <c r="LH6" s="26" t="s">
        <v>582</v>
      </c>
      <c r="LI6" s="26" t="s">
        <v>583</v>
      </c>
      <c r="LJ6" s="26" t="s">
        <v>584</v>
      </c>
      <c r="LK6" s="26" t="s">
        <v>585</v>
      </c>
      <c r="LL6" s="26" t="s">
        <v>586</v>
      </c>
      <c r="LM6" s="26" t="s">
        <v>587</v>
      </c>
      <c r="LN6" s="26" t="s">
        <v>588</v>
      </c>
      <c r="LO6" s="26" t="s">
        <v>589</v>
      </c>
      <c r="LP6" s="26" t="s">
        <v>590</v>
      </c>
      <c r="LQ6" s="26" t="s">
        <v>591</v>
      </c>
      <c r="LR6" s="26" t="s">
        <v>592</v>
      </c>
      <c r="LS6" s="26" t="s">
        <v>593</v>
      </c>
      <c r="LT6" s="26" t="s">
        <v>594</v>
      </c>
      <c r="LU6" s="26" t="s">
        <v>595</v>
      </c>
      <c r="LV6" s="26" t="s">
        <v>596</v>
      </c>
      <c r="LW6" s="26" t="s">
        <v>597</v>
      </c>
      <c r="LX6" s="26" t="s">
        <v>598</v>
      </c>
      <c r="LY6" s="26" t="s">
        <v>599</v>
      </c>
      <c r="LZ6" s="26" t="s">
        <v>600</v>
      </c>
      <c r="MA6" s="26" t="s">
        <v>601</v>
      </c>
      <c r="MB6" s="26" t="s">
        <v>602</v>
      </c>
      <c r="MC6" s="26" t="s">
        <v>603</v>
      </c>
      <c r="MD6" s="26" t="s">
        <v>604</v>
      </c>
      <c r="ME6" s="26" t="s">
        <v>605</v>
      </c>
      <c r="MF6" s="26" t="s">
        <v>606</v>
      </c>
      <c r="MG6" s="26" t="s">
        <v>607</v>
      </c>
      <c r="MH6" s="26" t="s">
        <v>608</v>
      </c>
      <c r="MI6" s="26" t="s">
        <v>609</v>
      </c>
      <c r="MJ6" s="26" t="s">
        <v>610</v>
      </c>
      <c r="MK6" s="26" t="s">
        <v>611</v>
      </c>
      <c r="ML6" s="26" t="s">
        <v>612</v>
      </c>
      <c r="MM6" s="26" t="s">
        <v>613</v>
      </c>
      <c r="MN6" s="26" t="s">
        <v>614</v>
      </c>
      <c r="MO6" s="26" t="s">
        <v>615</v>
      </c>
      <c r="MP6" s="26" t="s">
        <v>616</v>
      </c>
      <c r="MQ6" s="26" t="s">
        <v>617</v>
      </c>
      <c r="MR6" s="26" t="s">
        <v>618</v>
      </c>
      <c r="MS6" s="26" t="s">
        <v>619</v>
      </c>
      <c r="MT6" s="26" t="s">
        <v>620</v>
      </c>
      <c r="MU6" s="26" t="s">
        <v>621</v>
      </c>
      <c r="MV6" s="26" t="s">
        <v>622</v>
      </c>
      <c r="MW6" s="26" t="s">
        <v>623</v>
      </c>
      <c r="MX6" s="26" t="s">
        <v>624</v>
      </c>
      <c r="MY6" s="26" t="s">
        <v>625</v>
      </c>
      <c r="MZ6" s="26" t="s">
        <v>626</v>
      </c>
      <c r="NA6" s="26" t="s">
        <v>627</v>
      </c>
      <c r="NB6" s="26" t="s">
        <v>628</v>
      </c>
      <c r="NC6" s="26" t="s">
        <v>629</v>
      </c>
      <c r="ND6" s="26" t="s">
        <v>630</v>
      </c>
      <c r="NE6" s="26" t="s">
        <v>631</v>
      </c>
      <c r="NF6" s="26" t="s">
        <v>632</v>
      </c>
      <c r="NG6" s="26" t="s">
        <v>633</v>
      </c>
      <c r="NH6" s="26" t="s">
        <v>634</v>
      </c>
      <c r="NI6" s="26" t="s">
        <v>635</v>
      </c>
      <c r="NJ6" s="26" t="s">
        <v>636</v>
      </c>
      <c r="NK6" s="26" t="s">
        <v>637</v>
      </c>
      <c r="NL6" s="26" t="s">
        <v>638</v>
      </c>
      <c r="NM6" s="26" t="s">
        <v>639</v>
      </c>
      <c r="NN6" s="26" t="s">
        <v>640</v>
      </c>
      <c r="NO6" s="26" t="s">
        <v>641</v>
      </c>
      <c r="NP6" s="26" t="s">
        <v>642</v>
      </c>
      <c r="NQ6" s="26" t="s">
        <v>643</v>
      </c>
      <c r="NR6" s="26" t="s">
        <v>644</v>
      </c>
      <c r="NS6" s="26" t="s">
        <v>645</v>
      </c>
      <c r="NT6" s="26" t="s">
        <v>646</v>
      </c>
      <c r="NU6" s="26" t="s">
        <v>647</v>
      </c>
      <c r="NV6" s="26" t="s">
        <v>648</v>
      </c>
      <c r="NW6" s="26" t="s">
        <v>649</v>
      </c>
      <c r="NX6" s="26" t="s">
        <v>650</v>
      </c>
      <c r="NY6" s="26" t="s">
        <v>651</v>
      </c>
      <c r="NZ6" s="26" t="s">
        <v>652</v>
      </c>
    </row>
    <row r="7" spans="1:391" s="4" customFormat="1" ht="14.25" x14ac:dyDescent="0.2">
      <c r="A7" s="4">
        <v>1</v>
      </c>
      <c r="B7" s="35" t="s">
        <v>661</v>
      </c>
      <c r="C7" s="16" t="s">
        <v>187</v>
      </c>
      <c r="D7" s="16" t="s">
        <v>116</v>
      </c>
      <c r="E7" s="16" t="s">
        <v>187</v>
      </c>
      <c r="F7" s="31" t="s">
        <v>188</v>
      </c>
      <c r="G7" s="31" t="s">
        <v>189</v>
      </c>
      <c r="H7" s="32">
        <v>-1</v>
      </c>
      <c r="I7" s="33">
        <v>26.8</v>
      </c>
      <c r="J7" s="34">
        <v>23.3428</v>
      </c>
      <c r="K7" s="32" t="s">
        <v>190</v>
      </c>
      <c r="L7" s="16">
        <v>0</v>
      </c>
      <c r="M7" s="16">
        <v>2</v>
      </c>
      <c r="N7" s="16" t="s">
        <v>187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40</v>
      </c>
      <c r="U7" s="16">
        <v>0</v>
      </c>
      <c r="V7" s="16">
        <v>40</v>
      </c>
      <c r="W7" s="16">
        <v>0</v>
      </c>
      <c r="X7" s="16" t="s">
        <v>187</v>
      </c>
      <c r="Y7" s="35">
        <v>902.74261667600001</v>
      </c>
      <c r="Z7" s="35">
        <v>884.73205667599996</v>
      </c>
      <c r="AA7" s="35">
        <v>902.74261667600001</v>
      </c>
      <c r="AB7" s="35">
        <v>884.73205667599996</v>
      </c>
      <c r="AC7" s="35">
        <v>1464.3760416759999</v>
      </c>
      <c r="AD7" s="35">
        <v>1446.3654769919999</v>
      </c>
      <c r="AE7" s="35">
        <v>1428.3549123079999</v>
      </c>
      <c r="AF7" s="35">
        <v>1410.344347624</v>
      </c>
      <c r="AG7" s="35">
        <v>1392.33378294</v>
      </c>
      <c r="AH7" s="35">
        <v>1302.3232182559998</v>
      </c>
      <c r="AI7" s="35">
        <v>1284.3126535719998</v>
      </c>
      <c r="AJ7" s="35">
        <v>1266.3020888879998</v>
      </c>
      <c r="AK7" s="35">
        <v>1248.2915242039999</v>
      </c>
      <c r="AL7" s="35">
        <v>1228.2864388235998</v>
      </c>
      <c r="AM7" s="35">
        <v>1210.2758741395999</v>
      </c>
      <c r="AN7" s="35">
        <v>1118.2285300231999</v>
      </c>
      <c r="AO7" s="35">
        <v>905.76568909999992</v>
      </c>
      <c r="AP7" s="35">
        <v>887.75512441599994</v>
      </c>
      <c r="AQ7" s="35">
        <v>869.74455973199997</v>
      </c>
      <c r="AR7" s="35">
        <v>851.733995048</v>
      </c>
      <c r="AS7" s="35">
        <v>831.72890966759996</v>
      </c>
      <c r="AT7" s="35">
        <v>813.71834498359999</v>
      </c>
      <c r="AU7" s="35">
        <v>795.70778029960002</v>
      </c>
      <c r="AV7" s="35">
        <v>777.69721561560004</v>
      </c>
      <c r="AW7" s="35">
        <v>759.68665093160007</v>
      </c>
      <c r="AX7" s="35">
        <v>743.71286567999982</v>
      </c>
      <c r="AY7" s="35">
        <v>725.70230099599985</v>
      </c>
      <c r="AZ7" s="35">
        <v>707.69173631199988</v>
      </c>
      <c r="BA7" s="35">
        <v>689.6811716279999</v>
      </c>
      <c r="BB7" s="35">
        <v>669.67608624759987</v>
      </c>
      <c r="BC7" s="35">
        <v>651.6655215635999</v>
      </c>
      <c r="BD7" s="35">
        <v>633.65495687959992</v>
      </c>
      <c r="BE7" s="35">
        <v>615.64439219559995</v>
      </c>
      <c r="BF7" s="35">
        <v>597.63382751159997</v>
      </c>
      <c r="BG7" s="35">
        <v>613.64987149919989</v>
      </c>
      <c r="BH7" s="35">
        <v>595.63930681519992</v>
      </c>
      <c r="BI7" s="35">
        <v>557.60252757600006</v>
      </c>
      <c r="BJ7" s="35">
        <v>575.61309226000003</v>
      </c>
      <c r="BK7" s="35">
        <v>905.76568909999992</v>
      </c>
      <c r="BL7" s="35">
        <v>887.75512441599994</v>
      </c>
      <c r="BM7" s="35">
        <v>869.74455973199997</v>
      </c>
      <c r="BN7" s="35">
        <v>851.733995048</v>
      </c>
      <c r="BO7" s="35">
        <v>831.72890966759996</v>
      </c>
      <c r="BP7" s="35">
        <v>813.71834498359999</v>
      </c>
      <c r="BQ7" s="35">
        <v>795.70778029960002</v>
      </c>
      <c r="BR7" s="35">
        <v>777.69721561560004</v>
      </c>
      <c r="BS7" s="35">
        <v>759.68665093160007</v>
      </c>
      <c r="BT7" s="35">
        <v>743.71286567999982</v>
      </c>
      <c r="BU7" s="35">
        <v>725.70230099599985</v>
      </c>
      <c r="BV7" s="35">
        <v>707.69173631199988</v>
      </c>
      <c r="BW7" s="35">
        <v>689.6811716279999</v>
      </c>
      <c r="BX7" s="35">
        <v>669.67608624759987</v>
      </c>
      <c r="BY7" s="35">
        <v>651.6655215635999</v>
      </c>
      <c r="BZ7" s="35">
        <v>633.65495687959992</v>
      </c>
      <c r="CA7" s="35">
        <v>615.64439219559995</v>
      </c>
      <c r="CB7" s="35">
        <v>597.63382751159997</v>
      </c>
      <c r="CC7" s="35">
        <v>613.64987149919989</v>
      </c>
      <c r="CD7" s="35">
        <v>595.63930681519992</v>
      </c>
      <c r="CE7" s="35">
        <v>557.60252757600006</v>
      </c>
      <c r="CF7" s="35">
        <v>575.61309226000003</v>
      </c>
      <c r="CG7" s="35">
        <v>163.06064842000001</v>
      </c>
      <c r="CH7" s="35">
        <v>255.10799253639999</v>
      </c>
      <c r="CI7" s="35">
        <v>237.09742785239999</v>
      </c>
      <c r="CJ7" s="35">
        <v>219.08686316839999</v>
      </c>
      <c r="CK7" s="35">
        <v>201.07629848439998</v>
      </c>
      <c r="CL7" s="35">
        <v>55.0547752254</v>
      </c>
      <c r="CM7" s="35">
        <v>57.070425289800006</v>
      </c>
      <c r="CN7" s="35">
        <v>69.070425289799999</v>
      </c>
      <c r="CO7" s="35">
        <v>71.086075354200005</v>
      </c>
      <c r="CP7" s="35">
        <v>83.086075354200005</v>
      </c>
      <c r="CQ7" s="35">
        <v>85.101725418599997</v>
      </c>
      <c r="CR7" s="35">
        <v>97.101725418599997</v>
      </c>
      <c r="CS7" s="35">
        <v>99.117375483000004</v>
      </c>
      <c r="CT7" s="35">
        <v>111.117375483</v>
      </c>
      <c r="CU7" s="35">
        <v>113.13302554740001</v>
      </c>
      <c r="CV7" s="35">
        <v>125.13302554740001</v>
      </c>
      <c r="CW7" s="35">
        <v>127.1486756118</v>
      </c>
      <c r="CX7" s="35">
        <v>139.1486756118</v>
      </c>
      <c r="CY7" s="35">
        <v>141.16432567620001</v>
      </c>
      <c r="CZ7" s="35">
        <v>153.16432567620001</v>
      </c>
      <c r="DA7" s="35">
        <v>155.17997574060001</v>
      </c>
      <c r="DB7" s="35">
        <v>167.17997574060001</v>
      </c>
      <c r="DC7" s="35">
        <v>169.19562580499999</v>
      </c>
      <c r="DD7" s="35">
        <v>181.19562580499999</v>
      </c>
      <c r="DE7" s="35">
        <v>183.2112758694</v>
      </c>
      <c r="DF7" s="35">
        <v>195.2112758694</v>
      </c>
      <c r="DG7" s="35">
        <v>197.2269259338</v>
      </c>
      <c r="DH7" s="35">
        <v>209.2269259338</v>
      </c>
      <c r="DI7" s="35">
        <v>211.24257599820001</v>
      </c>
      <c r="DJ7" s="35">
        <v>223.24257599820001</v>
      </c>
      <c r="DK7" s="35">
        <v>225.25822606260002</v>
      </c>
      <c r="DL7" s="35">
        <v>237.25822606260002</v>
      </c>
      <c r="DM7" s="35">
        <v>239.27387612699999</v>
      </c>
      <c r="DN7" s="35">
        <v>251.27387612699999</v>
      </c>
      <c r="DO7" s="35">
        <v>253.2895261914</v>
      </c>
      <c r="DP7" s="35">
        <v>265.2895261914</v>
      </c>
      <c r="DQ7" s="35">
        <v>267.30517625580001</v>
      </c>
      <c r="DR7" s="35">
        <v>279.30517625580001</v>
      </c>
      <c r="DS7" s="35">
        <v>281.32082632020001</v>
      </c>
      <c r="DT7" s="35">
        <v>293.32082632020001</v>
      </c>
      <c r="DU7" s="35">
        <v>295.33647638460002</v>
      </c>
      <c r="DV7" s="35">
        <v>307.33647638460002</v>
      </c>
      <c r="DW7" s="35">
        <v>309.35212644900002</v>
      </c>
      <c r="DX7" s="35">
        <v>321.35212644900002</v>
      </c>
      <c r="DY7" s="35">
        <v>323.36777651340003</v>
      </c>
      <c r="DZ7" s="35">
        <v>335.36777651340003</v>
      </c>
      <c r="EA7" s="35">
        <v>337.38342657779998</v>
      </c>
      <c r="EB7" s="35">
        <v>349.38342657779998</v>
      </c>
      <c r="EC7" s="35">
        <v>351.39907664219999</v>
      </c>
      <c r="ED7" s="35">
        <v>363.39907664219999</v>
      </c>
      <c r="EE7" s="35">
        <v>365.41472670659999</v>
      </c>
      <c r="EF7" s="35">
        <v>377.41472670659999</v>
      </c>
      <c r="EG7" s="35">
        <v>379.430376771</v>
      </c>
      <c r="EH7" s="35">
        <v>391.430376771</v>
      </c>
      <c r="EI7" s="35">
        <v>393.4460268354</v>
      </c>
      <c r="EJ7" s="35">
        <v>405.4460268354</v>
      </c>
      <c r="EK7" s="35">
        <v>407.46167689980001</v>
      </c>
      <c r="EL7" s="35">
        <v>419.46167689980001</v>
      </c>
      <c r="EM7" s="35">
        <v>421.47732696420002</v>
      </c>
      <c r="EN7" s="35">
        <v>433.47732696420002</v>
      </c>
      <c r="EO7" s="35">
        <v>435.49297702860002</v>
      </c>
      <c r="EP7" s="35">
        <v>447.49297702860002</v>
      </c>
      <c r="EQ7" s="35">
        <v>449.50862709300003</v>
      </c>
      <c r="ER7" s="35">
        <v>461.50862709300003</v>
      </c>
      <c r="ES7" s="35">
        <v>463.52427715739998</v>
      </c>
      <c r="ET7" s="35">
        <v>55.0547752254</v>
      </c>
      <c r="EU7" s="35">
        <v>57.070425289800006</v>
      </c>
      <c r="EV7" s="35">
        <v>69.070425289799999</v>
      </c>
      <c r="EW7" s="35">
        <v>71.086075354200005</v>
      </c>
      <c r="EX7" s="35">
        <v>83.086075354200005</v>
      </c>
      <c r="EY7" s="35">
        <v>85.101725418599997</v>
      </c>
      <c r="EZ7" s="35">
        <v>97.101725418599997</v>
      </c>
      <c r="FA7" s="35">
        <v>99.117375483000004</v>
      </c>
      <c r="FB7" s="35">
        <v>111.117375483</v>
      </c>
      <c r="FC7" s="35">
        <v>113.13302554740001</v>
      </c>
      <c r="FD7" s="35">
        <v>125.13302554740001</v>
      </c>
      <c r="FE7" s="35">
        <v>127.1486756118</v>
      </c>
      <c r="FF7" s="35">
        <v>139.1486756118</v>
      </c>
      <c r="FG7" s="35">
        <v>141.16432567620001</v>
      </c>
      <c r="FH7" s="35">
        <v>153.16432567620001</v>
      </c>
      <c r="FI7" s="35">
        <v>155.17997574060001</v>
      </c>
      <c r="FJ7" s="35">
        <v>167.17997574060001</v>
      </c>
      <c r="FK7" s="35">
        <v>169.19562580499999</v>
      </c>
      <c r="FL7" s="35">
        <v>181.19562580499999</v>
      </c>
      <c r="FM7" s="35">
        <v>183.2112758694</v>
      </c>
      <c r="FN7" s="35">
        <v>195.2112758694</v>
      </c>
      <c r="FO7" s="35">
        <v>197.2269259338</v>
      </c>
      <c r="FP7" s="35">
        <v>209.2269259338</v>
      </c>
      <c r="FQ7" s="35">
        <v>211.24257599820001</v>
      </c>
      <c r="FR7" s="35">
        <v>223.24257599820001</v>
      </c>
      <c r="FS7" s="35">
        <v>225.25822606260002</v>
      </c>
      <c r="FT7" s="35">
        <v>237.25822606260002</v>
      </c>
      <c r="FU7" s="35">
        <v>239.27387612699999</v>
      </c>
      <c r="FV7" s="35">
        <v>251.27387612699999</v>
      </c>
      <c r="FW7" s="35">
        <v>253.2895261914</v>
      </c>
      <c r="FX7" s="35">
        <v>265.2895261914</v>
      </c>
      <c r="FY7" s="35">
        <v>267.30517625580001</v>
      </c>
      <c r="FZ7" s="35">
        <v>279.30517625580001</v>
      </c>
      <c r="GA7" s="35">
        <v>281.32082632020001</v>
      </c>
      <c r="GB7" s="35">
        <v>293.32082632020001</v>
      </c>
      <c r="GC7" s="35">
        <v>295.33647638460002</v>
      </c>
      <c r="GD7" s="35">
        <v>307.33647638460002</v>
      </c>
      <c r="GE7" s="35">
        <v>309.35212644900002</v>
      </c>
      <c r="GF7" s="35">
        <v>321.35212644900002</v>
      </c>
      <c r="GG7" s="35">
        <v>323.36777651340003</v>
      </c>
      <c r="GH7" s="35">
        <v>335.36777651340003</v>
      </c>
      <c r="GI7" s="35">
        <v>337.38342657779998</v>
      </c>
      <c r="GJ7" s="35">
        <v>349.38342657779998</v>
      </c>
      <c r="GK7" s="35">
        <v>351.39907664219999</v>
      </c>
      <c r="GL7" s="35">
        <v>363.39907664219999</v>
      </c>
      <c r="GM7" s="35">
        <v>365.41472670659999</v>
      </c>
      <c r="GN7" s="35">
        <v>377.41472670659999</v>
      </c>
      <c r="GO7" s="35">
        <v>379.430376771</v>
      </c>
      <c r="GP7" s="35">
        <v>391.430376771</v>
      </c>
      <c r="GQ7" s="35">
        <v>393.4460268354</v>
      </c>
      <c r="GR7" s="35">
        <v>405.4460268354</v>
      </c>
      <c r="GS7" s="35">
        <v>407.46167689980001</v>
      </c>
      <c r="GT7" s="35">
        <v>419.46167689980001</v>
      </c>
      <c r="GU7" s="35">
        <v>421.47732696420002</v>
      </c>
      <c r="GV7" s="35">
        <v>433.47732696420002</v>
      </c>
      <c r="GW7" s="35">
        <v>435.49297702860002</v>
      </c>
      <c r="GX7" s="35">
        <v>447.49297702860002</v>
      </c>
      <c r="GY7" s="35">
        <v>449.50862709300003</v>
      </c>
      <c r="GZ7" s="35">
        <v>461.50862709300003</v>
      </c>
      <c r="HA7" s="35">
        <v>463.52427715739998</v>
      </c>
      <c r="HB7" s="35">
        <v>160</v>
      </c>
      <c r="HC7" s="35">
        <v>16</v>
      </c>
      <c r="HD7" s="35">
        <v>16</v>
      </c>
      <c r="HE7" s="35">
        <v>24</v>
      </c>
      <c r="HF7" s="35">
        <v>36</v>
      </c>
      <c r="HG7" s="35">
        <v>80</v>
      </c>
      <c r="HH7" s="35">
        <v>10</v>
      </c>
      <c r="HI7" s="35">
        <v>1.25</v>
      </c>
      <c r="HJ7" s="35">
        <v>0.625</v>
      </c>
      <c r="HK7" s="36">
        <v>12</v>
      </c>
      <c r="HL7" s="36">
        <v>2</v>
      </c>
      <c r="HM7" s="35">
        <v>0</v>
      </c>
      <c r="HN7" s="35">
        <v>60</v>
      </c>
      <c r="HO7" s="35">
        <v>33.333333333333336</v>
      </c>
      <c r="HP7" s="35">
        <v>23.333333333333332</v>
      </c>
      <c r="HQ7" s="35">
        <v>7.7777777777777777</v>
      </c>
      <c r="HR7" s="35">
        <v>40</v>
      </c>
      <c r="HS7" s="35">
        <v>40</v>
      </c>
      <c r="HT7" s="35">
        <v>20</v>
      </c>
      <c r="HU7" s="35">
        <v>40</v>
      </c>
      <c r="HV7" s="35">
        <v>8</v>
      </c>
      <c r="HW7" s="35">
        <v>70</v>
      </c>
      <c r="HX7" s="35">
        <v>38.888888888888886</v>
      </c>
      <c r="HY7" s="35">
        <v>27.222222222222218</v>
      </c>
      <c r="HZ7" s="35">
        <v>9.0740740740740726</v>
      </c>
      <c r="IA7" s="35">
        <v>40</v>
      </c>
      <c r="IB7" s="35">
        <v>40</v>
      </c>
      <c r="IC7" s="35">
        <v>20</v>
      </c>
      <c r="ID7" s="35">
        <v>40</v>
      </c>
      <c r="IE7" s="35">
        <v>8</v>
      </c>
      <c r="IF7" s="35">
        <v>15</v>
      </c>
      <c r="IG7" s="35">
        <v>3.75</v>
      </c>
      <c r="IH7" s="35">
        <v>18</v>
      </c>
      <c r="II7" s="35">
        <v>9</v>
      </c>
      <c r="IJ7" s="35">
        <v>60</v>
      </c>
      <c r="IK7" s="35">
        <v>33.333333333333336</v>
      </c>
      <c r="IL7" s="35">
        <v>23.333333333333332</v>
      </c>
      <c r="IM7" s="35">
        <v>7.7777777777777777</v>
      </c>
      <c r="IN7" s="35">
        <v>40</v>
      </c>
      <c r="IO7" s="35">
        <v>40</v>
      </c>
      <c r="IP7" s="35">
        <v>20</v>
      </c>
      <c r="IQ7" s="35">
        <v>40</v>
      </c>
      <c r="IR7" s="35">
        <v>8</v>
      </c>
      <c r="IS7" s="35">
        <v>70</v>
      </c>
      <c r="IT7" s="35">
        <v>38.888888888888886</v>
      </c>
      <c r="IU7" s="35">
        <v>27.222222222222218</v>
      </c>
      <c r="IV7" s="35">
        <v>9.0740740740740726</v>
      </c>
      <c r="IW7" s="35">
        <v>40</v>
      </c>
      <c r="IX7" s="35">
        <v>40</v>
      </c>
      <c r="IY7" s="35">
        <v>20</v>
      </c>
      <c r="IZ7" s="35">
        <v>40</v>
      </c>
      <c r="JA7" s="35">
        <v>8</v>
      </c>
      <c r="JB7" s="35">
        <v>15</v>
      </c>
      <c r="JC7" s="35">
        <v>3.75</v>
      </c>
      <c r="JD7" s="35">
        <v>18</v>
      </c>
      <c r="JE7" s="35">
        <v>9</v>
      </c>
      <c r="JF7" s="35">
        <v>0</v>
      </c>
      <c r="JG7" s="35">
        <v>60</v>
      </c>
      <c r="JH7" s="35">
        <v>30</v>
      </c>
      <c r="JI7" s="35">
        <v>30</v>
      </c>
      <c r="JJ7" s="35">
        <v>40</v>
      </c>
      <c r="JK7" s="35">
        <v>3.125</v>
      </c>
      <c r="JL7" s="35">
        <v>17.634217114246702</v>
      </c>
      <c r="JM7" s="35">
        <v>9.5367431640625</v>
      </c>
      <c r="JN7" s="35">
        <v>38.737824305871641</v>
      </c>
      <c r="JO7" s="35">
        <v>23.73046875</v>
      </c>
      <c r="JP7" s="35">
        <v>49.957498862084663</v>
      </c>
      <c r="JQ7" s="35">
        <v>51.2908935546875</v>
      </c>
      <c r="JR7" s="35">
        <v>11.299044151115158</v>
      </c>
      <c r="JS7" s="35">
        <v>100</v>
      </c>
      <c r="JT7" s="35">
        <v>12.768263541192534</v>
      </c>
      <c r="JU7" s="35">
        <v>81.014023322061405</v>
      </c>
      <c r="JV7" s="35">
        <v>13.370960400546201</v>
      </c>
      <c r="JW7" s="35">
        <v>65.132027498296409</v>
      </c>
      <c r="JX7" s="35">
        <v>15.112938097405555</v>
      </c>
      <c r="JY7" s="35">
        <v>51.93403908250599</v>
      </c>
      <c r="JZ7" s="35">
        <v>17</v>
      </c>
      <c r="KA7" s="35">
        <v>41.044225466741565</v>
      </c>
      <c r="KB7" s="35">
        <v>15.112938097405555</v>
      </c>
      <c r="KC7" s="35">
        <v>32.127687206130908</v>
      </c>
      <c r="KD7" s="35">
        <v>13.370960400546201</v>
      </c>
      <c r="KE7" s="35">
        <v>24.887371388049534</v>
      </c>
      <c r="KF7" s="35">
        <v>11.768263541192534</v>
      </c>
      <c r="KG7" s="35">
        <v>19.061106045638713</v>
      </c>
      <c r="KH7" s="35">
        <v>10.299044151115158</v>
      </c>
      <c r="KI7" s="35">
        <v>14.418755615669616</v>
      </c>
      <c r="KJ7" s="35">
        <v>8.9574988620846607</v>
      </c>
      <c r="KK7" s="35">
        <v>10.759497440753508</v>
      </c>
      <c r="KL7" s="35">
        <v>7.7378243058716416</v>
      </c>
      <c r="KM7" s="35">
        <v>7.9092193158983397</v>
      </c>
      <c r="KN7" s="35">
        <v>6.6342171142467024</v>
      </c>
      <c r="KO7" s="35">
        <v>5.7180380794114836</v>
      </c>
      <c r="KP7" s="35">
        <v>5.6408739189804269</v>
      </c>
      <c r="KQ7" s="35">
        <v>4.0579392481486094</v>
      </c>
      <c r="KR7" s="35">
        <v>4.7519913518434231</v>
      </c>
      <c r="KS7" s="35">
        <v>2.8205376971088865</v>
      </c>
      <c r="KT7" s="35">
        <v>3.9617660446062817</v>
      </c>
      <c r="KU7" s="35">
        <v>1.9149593833762957</v>
      </c>
      <c r="KV7" s="35">
        <v>3.2643946290395984</v>
      </c>
      <c r="KW7" s="35">
        <v>1.2658441144072095</v>
      </c>
      <c r="KX7" s="35">
        <v>2.6540737369139733</v>
      </c>
      <c r="KY7" s="35">
        <v>0.81146936066415609</v>
      </c>
      <c r="KZ7" s="35">
        <v>2.125</v>
      </c>
      <c r="LA7" s="35">
        <v>0.50199511259579543</v>
      </c>
      <c r="LB7" s="35">
        <v>1.6713700500682751</v>
      </c>
      <c r="LC7" s="35">
        <v>0.29782978196310489</v>
      </c>
      <c r="LD7" s="35">
        <v>1.2873805188893952</v>
      </c>
      <c r="LE7" s="35">
        <v>0.16811714751177356</v>
      </c>
      <c r="LF7" s="35">
        <v>0.9672280382339552</v>
      </c>
      <c r="LG7" s="35">
        <v>8.9344344990804431E-2</v>
      </c>
      <c r="LH7" s="35">
        <v>0.70510923987255336</v>
      </c>
      <c r="LI7" s="35">
        <v>4.4070901517326351E-2</v>
      </c>
      <c r="LJ7" s="35">
        <v>0.49522075557578521</v>
      </c>
      <c r="LK7" s="35">
        <v>1.9778814287612648E-2</v>
      </c>
      <c r="LL7" s="35">
        <v>0.33175921711424688</v>
      </c>
      <c r="LM7" s="35">
        <v>7.8436736343093037E-3</v>
      </c>
      <c r="LN7" s="35">
        <v>0.20892125625853425</v>
      </c>
      <c r="LO7" s="35">
        <v>2.6268304298714619E-3</v>
      </c>
      <c r="LP7" s="35">
        <v>0.1209035047792444</v>
      </c>
      <c r="LQ7" s="35">
        <v>6.8860783620822423E-4</v>
      </c>
      <c r="LR7" s="35">
        <v>6.1902594446973151E-2</v>
      </c>
      <c r="LS7" s="35">
        <v>3.125</v>
      </c>
      <c r="LT7" s="35">
        <v>17.634217114246702</v>
      </c>
      <c r="LU7" s="35">
        <v>9.5367431640625</v>
      </c>
      <c r="LV7" s="35">
        <v>38.737824305871641</v>
      </c>
      <c r="LW7" s="35">
        <v>23.73046875</v>
      </c>
      <c r="LX7" s="35">
        <v>49.957498862084663</v>
      </c>
      <c r="LY7" s="35">
        <v>51.2908935546875</v>
      </c>
      <c r="LZ7" s="35">
        <v>11.299044151115158</v>
      </c>
      <c r="MA7" s="35">
        <v>100</v>
      </c>
      <c r="MB7" s="35">
        <v>12.768263541192534</v>
      </c>
      <c r="MC7" s="35">
        <v>81.014023322061405</v>
      </c>
      <c r="MD7" s="35">
        <v>13.370960400546201</v>
      </c>
      <c r="ME7" s="35">
        <v>65.132027498296409</v>
      </c>
      <c r="MF7" s="35">
        <v>15.112938097405555</v>
      </c>
      <c r="MG7" s="35">
        <v>51.93403908250599</v>
      </c>
      <c r="MH7" s="35">
        <v>17</v>
      </c>
      <c r="MI7" s="35">
        <v>41.044225466741565</v>
      </c>
      <c r="MJ7" s="35">
        <v>15.112938097405555</v>
      </c>
      <c r="MK7" s="35">
        <v>32.127687206130908</v>
      </c>
      <c r="ML7" s="35">
        <v>13.370960400546201</v>
      </c>
      <c r="MM7" s="35">
        <v>24.887371388049534</v>
      </c>
      <c r="MN7" s="35">
        <v>11.768263541192534</v>
      </c>
      <c r="MO7" s="35">
        <v>19.061106045638713</v>
      </c>
      <c r="MP7" s="35">
        <v>10.299044151115158</v>
      </c>
      <c r="MQ7" s="35">
        <v>14.418755615669616</v>
      </c>
      <c r="MR7" s="35">
        <v>8.9574988620846607</v>
      </c>
      <c r="MS7" s="35">
        <v>10.759497440753508</v>
      </c>
      <c r="MT7" s="35">
        <v>7.7378243058716416</v>
      </c>
      <c r="MU7" s="35">
        <v>7.9092193158983397</v>
      </c>
      <c r="MV7" s="35">
        <v>6.6342171142467024</v>
      </c>
      <c r="MW7" s="35">
        <v>5.7180380794114836</v>
      </c>
      <c r="MX7" s="35">
        <v>5.6408739189804269</v>
      </c>
      <c r="MY7" s="35">
        <v>4.0579392481486094</v>
      </c>
      <c r="MZ7" s="35">
        <v>4.7519913518434231</v>
      </c>
      <c r="NA7" s="35">
        <v>2.8205376971088865</v>
      </c>
      <c r="NB7" s="35">
        <v>3.9617660446062817</v>
      </c>
      <c r="NC7" s="35">
        <v>1.9149593833762957</v>
      </c>
      <c r="ND7" s="35">
        <v>3.2643946290395984</v>
      </c>
      <c r="NE7" s="35">
        <v>1.2658441144072095</v>
      </c>
      <c r="NF7" s="35">
        <v>2.6540737369139733</v>
      </c>
      <c r="NG7" s="35">
        <v>0.81146936066415609</v>
      </c>
      <c r="NH7" s="35">
        <v>2.125</v>
      </c>
      <c r="NI7" s="35">
        <v>0.50199511259579543</v>
      </c>
      <c r="NJ7" s="35">
        <v>1.6713700500682751</v>
      </c>
      <c r="NK7" s="35">
        <v>0.29782978196310489</v>
      </c>
      <c r="NL7" s="35">
        <v>1.2873805188893952</v>
      </c>
      <c r="NM7" s="35">
        <v>0.16811714751177356</v>
      </c>
      <c r="NN7" s="35">
        <v>0.9672280382339552</v>
      </c>
      <c r="NO7" s="35">
        <v>8.9344344990804431E-2</v>
      </c>
      <c r="NP7" s="35">
        <v>0.70510923987255336</v>
      </c>
      <c r="NQ7" s="35">
        <v>4.4070901517326351E-2</v>
      </c>
      <c r="NR7" s="35">
        <v>0.49522075557578521</v>
      </c>
      <c r="NS7" s="35">
        <v>1.9778814287612648E-2</v>
      </c>
      <c r="NT7" s="35">
        <v>0.33175921711424688</v>
      </c>
      <c r="NU7" s="35">
        <v>7.8436736343093037E-3</v>
      </c>
      <c r="NV7" s="35">
        <v>0.20892125625853425</v>
      </c>
      <c r="NW7" s="35">
        <v>2.6268304298714619E-3</v>
      </c>
      <c r="NX7" s="35">
        <v>0.1209035047792444</v>
      </c>
      <c r="NY7" s="35">
        <v>6.8860783620822423E-4</v>
      </c>
      <c r="NZ7" s="35">
        <v>6.1902594446973151E-2</v>
      </c>
    </row>
    <row r="8" spans="1:391" s="4" customFormat="1" ht="14.25" x14ac:dyDescent="0.2">
      <c r="A8" s="4">
        <v>2</v>
      </c>
      <c r="B8" s="16" t="s">
        <v>662</v>
      </c>
      <c r="C8" s="16" t="s">
        <v>191</v>
      </c>
      <c r="D8" s="16" t="s">
        <v>117</v>
      </c>
      <c r="E8" s="16" t="s">
        <v>191</v>
      </c>
      <c r="F8" s="31" t="s">
        <v>192</v>
      </c>
      <c r="G8" s="31" t="s">
        <v>193</v>
      </c>
      <c r="H8" s="32">
        <v>-1</v>
      </c>
      <c r="I8" s="33">
        <v>27.24</v>
      </c>
      <c r="J8" s="34">
        <v>22.9527</v>
      </c>
      <c r="K8" s="32" t="s">
        <v>194</v>
      </c>
      <c r="L8" s="16">
        <v>0</v>
      </c>
      <c r="M8" s="16">
        <v>2</v>
      </c>
      <c r="N8" s="16" t="s">
        <v>191</v>
      </c>
      <c r="O8" s="16">
        <v>0</v>
      </c>
      <c r="P8" s="16">
        <v>0</v>
      </c>
      <c r="Q8" s="16">
        <v>1</v>
      </c>
      <c r="R8" s="16">
        <v>0</v>
      </c>
      <c r="S8" s="16">
        <v>0</v>
      </c>
      <c r="T8" s="16">
        <v>40</v>
      </c>
      <c r="U8" s="16">
        <v>0</v>
      </c>
      <c r="V8" s="16">
        <v>40</v>
      </c>
      <c r="W8" s="16">
        <v>0</v>
      </c>
      <c r="X8" s="16" t="s">
        <v>191</v>
      </c>
      <c r="Y8" s="35">
        <v>900.72696661160001</v>
      </c>
      <c r="Z8" s="35">
        <v>882.71640661159995</v>
      </c>
      <c r="AA8" s="35">
        <v>900.72696661160001</v>
      </c>
      <c r="AB8" s="35">
        <v>882.71640661159995</v>
      </c>
      <c r="AC8" s="35">
        <v>1462.3603916115999</v>
      </c>
      <c r="AD8" s="35">
        <v>1444.3498269275999</v>
      </c>
      <c r="AE8" s="35">
        <v>1426.3392622435999</v>
      </c>
      <c r="AF8" s="35">
        <v>1408.3286975596</v>
      </c>
      <c r="AG8" s="35">
        <v>1390.3181328756</v>
      </c>
      <c r="AH8" s="35">
        <v>1300.3075681915998</v>
      </c>
      <c r="AI8" s="35">
        <v>1282.2970035075998</v>
      </c>
      <c r="AJ8" s="35">
        <v>1264.2864388235998</v>
      </c>
      <c r="AK8" s="35">
        <v>1246.2758741395999</v>
      </c>
      <c r="AL8" s="35">
        <v>1226.2707887591998</v>
      </c>
      <c r="AM8" s="35">
        <v>1208.2602240751999</v>
      </c>
      <c r="AN8" s="35">
        <v>1116.2128799587999</v>
      </c>
      <c r="AO8" s="35">
        <v>905.76568909999992</v>
      </c>
      <c r="AP8" s="35">
        <v>887.75512441599994</v>
      </c>
      <c r="AQ8" s="35">
        <v>869.74455973199997</v>
      </c>
      <c r="AR8" s="35">
        <v>851.733995048</v>
      </c>
      <c r="AS8" s="35">
        <v>831.72890966759996</v>
      </c>
      <c r="AT8" s="35">
        <v>813.71834498359999</v>
      </c>
      <c r="AU8" s="35">
        <v>795.70778029960002</v>
      </c>
      <c r="AV8" s="35">
        <v>777.69721561560004</v>
      </c>
      <c r="AW8" s="35">
        <v>759.68665093160007</v>
      </c>
      <c r="AX8" s="35">
        <v>743.71286567999982</v>
      </c>
      <c r="AY8" s="35">
        <v>725.70230099599985</v>
      </c>
      <c r="AZ8" s="35">
        <v>707.69173631199988</v>
      </c>
      <c r="BA8" s="35">
        <v>689.6811716279999</v>
      </c>
      <c r="BB8" s="35">
        <v>669.67608624759987</v>
      </c>
      <c r="BC8" s="35">
        <v>651.6655215635999</v>
      </c>
      <c r="BD8" s="35">
        <v>633.65495687959992</v>
      </c>
      <c r="BE8" s="35">
        <v>615.64439219559995</v>
      </c>
      <c r="BF8" s="35">
        <v>597.63382751159997</v>
      </c>
      <c r="BG8" s="35">
        <v>613.64987149919989</v>
      </c>
      <c r="BH8" s="35">
        <v>595.63930681519992</v>
      </c>
      <c r="BI8" s="35">
        <v>555.58687751160005</v>
      </c>
      <c r="BJ8" s="35">
        <v>573.59744219560002</v>
      </c>
      <c r="BK8" s="35">
        <v>903.75003903559991</v>
      </c>
      <c r="BL8" s="35">
        <v>885.73947435159994</v>
      </c>
      <c r="BM8" s="35">
        <v>867.72890966759996</v>
      </c>
      <c r="BN8" s="35">
        <v>849.71834498359999</v>
      </c>
      <c r="BO8" s="35">
        <v>829.71325960319996</v>
      </c>
      <c r="BP8" s="35">
        <v>811.70269491919998</v>
      </c>
      <c r="BQ8" s="35">
        <v>793.69213023520001</v>
      </c>
      <c r="BR8" s="35">
        <v>775.68156555120004</v>
      </c>
      <c r="BS8" s="35">
        <v>757.67100086720006</v>
      </c>
      <c r="BT8" s="35">
        <v>741.69721561559982</v>
      </c>
      <c r="BU8" s="35">
        <v>723.68665093159984</v>
      </c>
      <c r="BV8" s="35">
        <v>705.67608624759987</v>
      </c>
      <c r="BW8" s="35">
        <v>687.6655215635999</v>
      </c>
      <c r="BX8" s="35">
        <v>667.66043618319986</v>
      </c>
      <c r="BY8" s="35">
        <v>649.64987149919989</v>
      </c>
      <c r="BZ8" s="35">
        <v>631.63930681519992</v>
      </c>
      <c r="CA8" s="35">
        <v>613.62874213119994</v>
      </c>
      <c r="CB8" s="35">
        <v>595.61817744719997</v>
      </c>
      <c r="CC8" s="35">
        <v>611.63422143479988</v>
      </c>
      <c r="CD8" s="35">
        <v>593.62365675079991</v>
      </c>
      <c r="CE8" s="35">
        <v>557.60252757600006</v>
      </c>
      <c r="CF8" s="35">
        <v>575.61309226000003</v>
      </c>
      <c r="CG8" s="35">
        <v>163.06064842000001</v>
      </c>
      <c r="CH8" s="35">
        <v>255.10799253639999</v>
      </c>
      <c r="CI8" s="35">
        <v>237.09742785239999</v>
      </c>
      <c r="CJ8" s="35">
        <v>219.08686316839999</v>
      </c>
      <c r="CK8" s="35">
        <v>201.07629848439998</v>
      </c>
      <c r="CL8" s="35">
        <v>55.0547752254</v>
      </c>
      <c r="CM8" s="35">
        <v>57.070425289800006</v>
      </c>
      <c r="CN8" s="35">
        <v>69.070425289799999</v>
      </c>
      <c r="CO8" s="35">
        <v>71.086075354200005</v>
      </c>
      <c r="CP8" s="35">
        <v>81.070425289799999</v>
      </c>
      <c r="CQ8" s="35">
        <v>83.086075354200005</v>
      </c>
      <c r="CR8" s="35">
        <v>85.101725418599997</v>
      </c>
      <c r="CS8" s="35">
        <v>95.086075354200005</v>
      </c>
      <c r="CT8" s="35">
        <v>97.101725418599997</v>
      </c>
      <c r="CU8" s="35">
        <v>99.117375483000004</v>
      </c>
      <c r="CV8" s="35">
        <v>109.1017254186</v>
      </c>
      <c r="CW8" s="35">
        <v>111.117375483</v>
      </c>
      <c r="CX8" s="35">
        <v>113.13302554740001</v>
      </c>
      <c r="CY8" s="35">
        <v>123.117375483</v>
      </c>
      <c r="CZ8" s="35">
        <v>125.13302554740001</v>
      </c>
      <c r="DA8" s="35">
        <v>127.1486756118</v>
      </c>
      <c r="DB8" s="35">
        <v>137.1330255474</v>
      </c>
      <c r="DC8" s="35">
        <v>139.1486756118</v>
      </c>
      <c r="DD8" s="35">
        <v>141.16432567620001</v>
      </c>
      <c r="DE8" s="35">
        <v>151.1486756118</v>
      </c>
      <c r="DF8" s="35">
        <v>153.16432567620001</v>
      </c>
      <c r="DG8" s="35">
        <v>155.17997574060001</v>
      </c>
      <c r="DH8" s="35">
        <v>165.16432567620001</v>
      </c>
      <c r="DI8" s="35">
        <v>167.17997574060001</v>
      </c>
      <c r="DJ8" s="35">
        <v>169.19562580499999</v>
      </c>
      <c r="DK8" s="35">
        <v>179.17997574060001</v>
      </c>
      <c r="DL8" s="35">
        <v>181.19562580499999</v>
      </c>
      <c r="DM8" s="35">
        <v>183.2112758694</v>
      </c>
      <c r="DN8" s="35">
        <v>193.19562580499999</v>
      </c>
      <c r="DO8" s="35">
        <v>195.2112758694</v>
      </c>
      <c r="DP8" s="35">
        <v>197.2269259338</v>
      </c>
      <c r="DQ8" s="35">
        <v>207.2112758694</v>
      </c>
      <c r="DR8" s="35">
        <v>209.2269259338</v>
      </c>
      <c r="DS8" s="35">
        <v>211.24257599820001</v>
      </c>
      <c r="DT8" s="35">
        <v>221.2269259338</v>
      </c>
      <c r="DU8" s="35">
        <v>223.24257599820001</v>
      </c>
      <c r="DV8" s="35">
        <v>225.25822606260002</v>
      </c>
      <c r="DW8" s="35">
        <v>235.24257599820001</v>
      </c>
      <c r="DX8" s="35">
        <v>237.25822606260002</v>
      </c>
      <c r="DY8" s="35">
        <v>239.27387612699999</v>
      </c>
      <c r="DZ8" s="35">
        <v>249.25822606260002</v>
      </c>
      <c r="EA8" s="35">
        <v>251.27387612699999</v>
      </c>
      <c r="EB8" s="35">
        <v>253.2895261914</v>
      </c>
      <c r="EC8" s="35">
        <v>263.27387612699999</v>
      </c>
      <c r="ED8" s="35">
        <v>265.2895261914</v>
      </c>
      <c r="EE8" s="35">
        <v>267.30517625580001</v>
      </c>
      <c r="EF8" s="35">
        <v>277.2895261914</v>
      </c>
      <c r="EG8" s="35">
        <v>279.30517625580001</v>
      </c>
      <c r="EH8" s="35">
        <v>281.32082632020001</v>
      </c>
      <c r="EI8" s="35">
        <v>291.30517625580001</v>
      </c>
      <c r="EJ8" s="35">
        <v>293.32082632020001</v>
      </c>
      <c r="EK8" s="35">
        <v>295.33647638460002</v>
      </c>
      <c r="EL8" s="35">
        <v>305.32082632020001</v>
      </c>
      <c r="EM8" s="35">
        <v>307.33647638460002</v>
      </c>
      <c r="EN8" s="35">
        <v>309.35212644900002</v>
      </c>
      <c r="EO8" s="35">
        <v>319.33647638460002</v>
      </c>
      <c r="EP8" s="35">
        <v>321.35212644900002</v>
      </c>
      <c r="EQ8" s="35">
        <v>323.36777651340003</v>
      </c>
      <c r="ER8" s="35">
        <v>333.35212644900002</v>
      </c>
      <c r="ES8" s="35">
        <v>335.36777651340003</v>
      </c>
      <c r="ET8" s="35">
        <v>55.0547752254</v>
      </c>
      <c r="EU8" s="35">
        <v>57.070425289800006</v>
      </c>
      <c r="EV8" s="35">
        <v>69.070425289799999</v>
      </c>
      <c r="EW8" s="35">
        <v>71.086075354200005</v>
      </c>
      <c r="EX8" s="35">
        <v>83.086075354200005</v>
      </c>
      <c r="EY8" s="35">
        <v>85.101725418599997</v>
      </c>
      <c r="EZ8" s="35">
        <v>97.101725418599997</v>
      </c>
      <c r="FA8" s="35">
        <v>99.117375483000004</v>
      </c>
      <c r="FB8" s="35">
        <v>111.117375483</v>
      </c>
      <c r="FC8" s="35">
        <v>113.13302554740001</v>
      </c>
      <c r="FD8" s="35">
        <v>125.13302554740001</v>
      </c>
      <c r="FE8" s="35">
        <v>127.1486756118</v>
      </c>
      <c r="FF8" s="35">
        <v>139.1486756118</v>
      </c>
      <c r="FG8" s="35">
        <v>141.16432567620001</v>
      </c>
      <c r="FH8" s="35">
        <v>153.16432567620001</v>
      </c>
      <c r="FI8" s="35">
        <v>155.17997574060001</v>
      </c>
      <c r="FJ8" s="35">
        <v>167.17997574060001</v>
      </c>
      <c r="FK8" s="35">
        <v>169.19562580499999</v>
      </c>
      <c r="FL8" s="35">
        <v>181.19562580499999</v>
      </c>
      <c r="FM8" s="35">
        <v>183.2112758694</v>
      </c>
      <c r="FN8" s="35">
        <v>195.2112758694</v>
      </c>
      <c r="FO8" s="35">
        <v>197.2269259338</v>
      </c>
      <c r="FP8" s="35">
        <v>209.2269259338</v>
      </c>
      <c r="FQ8" s="35">
        <v>211.24257599820001</v>
      </c>
      <c r="FR8" s="35">
        <v>223.24257599820001</v>
      </c>
      <c r="FS8" s="35">
        <v>225.25822606260002</v>
      </c>
      <c r="FT8" s="35">
        <v>237.25822606260002</v>
      </c>
      <c r="FU8" s="35">
        <v>239.27387612699999</v>
      </c>
      <c r="FV8" s="35">
        <v>251.27387612699999</v>
      </c>
      <c r="FW8" s="35">
        <v>253.2895261914</v>
      </c>
      <c r="FX8" s="35">
        <v>265.2895261914</v>
      </c>
      <c r="FY8" s="35">
        <v>267.30517625580001</v>
      </c>
      <c r="FZ8" s="35">
        <v>279.30517625580001</v>
      </c>
      <c r="GA8" s="35">
        <v>281.32082632020001</v>
      </c>
      <c r="GB8" s="35">
        <v>293.32082632020001</v>
      </c>
      <c r="GC8" s="35">
        <v>295.33647638460002</v>
      </c>
      <c r="GD8" s="35">
        <v>307.33647638460002</v>
      </c>
      <c r="GE8" s="35">
        <v>309.35212644900002</v>
      </c>
      <c r="GF8" s="35">
        <v>321.35212644900002</v>
      </c>
      <c r="GG8" s="35">
        <v>323.36777651340003</v>
      </c>
      <c r="GH8" s="35">
        <v>335.36777651340003</v>
      </c>
      <c r="GI8" s="35">
        <v>337.38342657779998</v>
      </c>
      <c r="GJ8" s="35">
        <v>349.38342657779998</v>
      </c>
      <c r="GK8" s="35">
        <v>351.39907664219999</v>
      </c>
      <c r="GL8" s="35">
        <v>363.39907664219999</v>
      </c>
      <c r="GM8" s="35">
        <v>365.41472670659999</v>
      </c>
      <c r="GN8" s="35">
        <v>377.41472670659999</v>
      </c>
      <c r="GO8" s="35">
        <v>379.430376771</v>
      </c>
      <c r="GP8" s="35">
        <v>391.430376771</v>
      </c>
      <c r="GQ8" s="35">
        <v>393.4460268354</v>
      </c>
      <c r="GR8" s="35">
        <v>405.4460268354</v>
      </c>
      <c r="GS8" s="35">
        <v>407.46167689980001</v>
      </c>
      <c r="GT8" s="35">
        <v>419.46167689980001</v>
      </c>
      <c r="GU8" s="35">
        <v>421.47732696420002</v>
      </c>
      <c r="GV8" s="35">
        <v>433.47732696420002</v>
      </c>
      <c r="GW8" s="35">
        <v>435.49297702860002</v>
      </c>
      <c r="GX8" s="35">
        <v>447.49297702860002</v>
      </c>
      <c r="GY8" s="35">
        <v>449.50862709300003</v>
      </c>
      <c r="GZ8" s="35">
        <v>461.50862709300003</v>
      </c>
      <c r="HA8" s="35">
        <v>463.52427715739998</v>
      </c>
      <c r="HB8" s="35">
        <v>152</v>
      </c>
      <c r="HC8" s="35">
        <v>15.2</v>
      </c>
      <c r="HD8" s="35">
        <v>15.2</v>
      </c>
      <c r="HE8" s="35">
        <v>22.799999999999997</v>
      </c>
      <c r="HF8" s="35">
        <v>34.199999999999996</v>
      </c>
      <c r="HG8" s="35">
        <v>76</v>
      </c>
      <c r="HH8" s="35">
        <v>9.5</v>
      </c>
      <c r="HI8" s="35">
        <v>1.1875</v>
      </c>
      <c r="HJ8" s="35">
        <v>0.59375</v>
      </c>
      <c r="HK8" s="36">
        <v>9.6000000000000014</v>
      </c>
      <c r="HL8" s="36">
        <v>2</v>
      </c>
      <c r="HM8" s="35">
        <v>0</v>
      </c>
      <c r="HN8" s="35">
        <v>60</v>
      </c>
      <c r="HO8" s="35">
        <v>33.333333333333336</v>
      </c>
      <c r="HP8" s="35">
        <v>23.333333333333332</v>
      </c>
      <c r="HQ8" s="35">
        <v>7.7777777777777777</v>
      </c>
      <c r="HR8" s="35">
        <v>40</v>
      </c>
      <c r="HS8" s="35">
        <v>40</v>
      </c>
      <c r="HT8" s="35">
        <v>20</v>
      </c>
      <c r="HU8" s="35">
        <v>40</v>
      </c>
      <c r="HV8" s="35">
        <v>8</v>
      </c>
      <c r="HW8" s="35">
        <v>70</v>
      </c>
      <c r="HX8" s="35">
        <v>38.888888888888886</v>
      </c>
      <c r="HY8" s="35">
        <v>27.222222222222218</v>
      </c>
      <c r="HZ8" s="35">
        <v>9.0740740740740726</v>
      </c>
      <c r="IA8" s="35">
        <v>40</v>
      </c>
      <c r="IB8" s="35">
        <v>40</v>
      </c>
      <c r="IC8" s="35">
        <v>20</v>
      </c>
      <c r="ID8" s="35">
        <v>40</v>
      </c>
      <c r="IE8" s="35">
        <v>8</v>
      </c>
      <c r="IF8" s="35">
        <v>15</v>
      </c>
      <c r="IG8" s="35">
        <v>3.75</v>
      </c>
      <c r="IH8" s="35">
        <v>10.799999999999999</v>
      </c>
      <c r="II8" s="35">
        <v>5.3999999999999995</v>
      </c>
      <c r="IJ8" s="35">
        <v>24</v>
      </c>
      <c r="IK8" s="35">
        <v>13.333333333333332</v>
      </c>
      <c r="IL8" s="35">
        <v>9.3333333333333321</v>
      </c>
      <c r="IM8" s="35">
        <v>3.1111111111111107</v>
      </c>
      <c r="IN8" s="35">
        <v>36</v>
      </c>
      <c r="IO8" s="35">
        <v>36</v>
      </c>
      <c r="IP8" s="35">
        <v>18</v>
      </c>
      <c r="IQ8" s="35">
        <v>36</v>
      </c>
      <c r="IR8" s="35">
        <v>7.2</v>
      </c>
      <c r="IS8" s="35">
        <v>28</v>
      </c>
      <c r="IT8" s="35">
        <v>15.555555555555555</v>
      </c>
      <c r="IU8" s="35">
        <v>10.888888888888888</v>
      </c>
      <c r="IV8" s="35">
        <v>3.6296296296296293</v>
      </c>
      <c r="IW8" s="35">
        <v>36</v>
      </c>
      <c r="IX8" s="35">
        <v>36</v>
      </c>
      <c r="IY8" s="35">
        <v>18</v>
      </c>
      <c r="IZ8" s="35">
        <v>36</v>
      </c>
      <c r="JA8" s="35">
        <v>7.2</v>
      </c>
      <c r="JB8" s="35">
        <v>15</v>
      </c>
      <c r="JC8" s="35">
        <v>3.75</v>
      </c>
      <c r="JD8" s="35">
        <v>18</v>
      </c>
      <c r="JE8" s="35">
        <v>9</v>
      </c>
      <c r="JF8" s="35">
        <v>0</v>
      </c>
      <c r="JG8" s="35">
        <v>60</v>
      </c>
      <c r="JH8" s="35">
        <v>30</v>
      </c>
      <c r="JI8" s="35">
        <v>30</v>
      </c>
      <c r="JJ8" s="35">
        <v>40</v>
      </c>
      <c r="JK8" s="35">
        <v>1.831817626953125</v>
      </c>
      <c r="JL8" s="35">
        <v>3.9085542785616756</v>
      </c>
      <c r="JM8" s="35">
        <v>5.5902637541294098</v>
      </c>
      <c r="JN8" s="35">
        <v>6.6844560764679102</v>
      </c>
      <c r="JO8" s="35">
        <v>4.1731095314025879</v>
      </c>
      <c r="JP8" s="35">
        <v>13.910365104675293</v>
      </c>
      <c r="JQ8" s="35">
        <v>8.2393747155211656</v>
      </c>
      <c r="JR8" s="35">
        <v>10.523023046553135</v>
      </c>
      <c r="JS8" s="35">
        <v>47.488933104557965</v>
      </c>
      <c r="JT8" s="35">
        <v>3.5747610377787895</v>
      </c>
      <c r="JU8" s="35">
        <v>23.447265625</v>
      </c>
      <c r="JV8" s="35">
        <v>58.6181640625</v>
      </c>
      <c r="JW8" s="35">
        <v>2.9420658852981334</v>
      </c>
      <c r="JX8" s="35">
        <v>18.340553474863764</v>
      </c>
      <c r="JY8" s="35">
        <v>47.488933104557965</v>
      </c>
      <c r="JZ8" s="35">
        <v>3.3427401001365502</v>
      </c>
      <c r="KA8" s="35">
        <v>14.218460218992666</v>
      </c>
      <c r="KB8" s="35">
        <v>38.179198736184006</v>
      </c>
      <c r="KC8" s="35">
        <v>3.7782345243513888</v>
      </c>
      <c r="KD8" s="35">
        <v>10.917410842418233</v>
      </c>
      <c r="KE8" s="35">
        <v>30.44278023366623</v>
      </c>
      <c r="KF8" s="35">
        <v>4.25</v>
      </c>
      <c r="KG8" s="35">
        <v>8.296334973198956</v>
      </c>
      <c r="KH8" s="35">
        <v>24.059371422276975</v>
      </c>
      <c r="KI8" s="35">
        <v>3.7782345243513888</v>
      </c>
      <c r="KJ8" s="35">
        <v>6.2342599931508875</v>
      </c>
      <c r="KK8" s="35">
        <v>18.832660395976639</v>
      </c>
      <c r="KL8" s="35">
        <v>3.3427401001365502</v>
      </c>
      <c r="KM8" s="35">
        <v>4.6280822675183844</v>
      </c>
      <c r="KN8" s="35">
        <v>14.588520191090559</v>
      </c>
      <c r="KO8" s="35">
        <v>2.9420658852981334</v>
      </c>
      <c r="KP8" s="35">
        <v>3.3905096428567076</v>
      </c>
      <c r="KQ8" s="35">
        <v>11.173270413959607</v>
      </c>
      <c r="KR8" s="35">
        <v>2.5747610377787895</v>
      </c>
      <c r="KS8" s="35">
        <v>2.4481683623978912</v>
      </c>
      <c r="KT8" s="35">
        <v>8.4520098225641469</v>
      </c>
      <c r="KU8" s="35">
        <v>2.2393747155211652</v>
      </c>
      <c r="KV8" s="35">
        <v>1.7398675481714156</v>
      </c>
      <c r="KW8" s="35">
        <v>6.30701986212138</v>
      </c>
      <c r="KX8" s="35">
        <v>1.9344560764679104</v>
      </c>
      <c r="KY8" s="35">
        <v>1.2150143991512878</v>
      </c>
      <c r="KZ8" s="35">
        <v>4.6362391546562289</v>
      </c>
      <c r="LA8" s="35">
        <v>1.6585542785616756</v>
      </c>
      <c r="LB8" s="35">
        <v>0.83217325470098846</v>
      </c>
      <c r="LC8" s="35">
        <v>3.3518089425456479</v>
      </c>
      <c r="LD8" s="35">
        <v>1.4102184797451067</v>
      </c>
      <c r="LE8" s="35">
        <v>0.55776167258782994</v>
      </c>
      <c r="LF8" s="35">
        <v>2.3786894860363308</v>
      </c>
      <c r="LG8" s="35">
        <v>1.1879978379608558</v>
      </c>
      <c r="LH8" s="35">
        <v>0.36487667083827779</v>
      </c>
      <c r="LI8" s="35">
        <v>1.6533474147359464</v>
      </c>
      <c r="LJ8" s="35">
        <v>0.99044151115157042</v>
      </c>
      <c r="LK8" s="35">
        <v>0.23224428270574216</v>
      </c>
      <c r="LL8" s="35">
        <v>1.1225140330777554</v>
      </c>
      <c r="LM8" s="35">
        <v>0.81609865725989961</v>
      </c>
      <c r="LN8" s="35">
        <v>0.14328557402237305</v>
      </c>
      <c r="LO8" s="35">
        <v>0.74201457975871821</v>
      </c>
      <c r="LP8" s="35">
        <v>0.66351843422849333</v>
      </c>
      <c r="LQ8" s="35">
        <v>8.5292272206392447E-2</v>
      </c>
      <c r="LR8" s="35">
        <v>0.47566844115103485</v>
      </c>
      <c r="LS8" s="35">
        <v>3.125</v>
      </c>
      <c r="LT8" s="35">
        <v>17.634217114246702</v>
      </c>
      <c r="LU8" s="35">
        <v>9.5367431640625</v>
      </c>
      <c r="LV8" s="35">
        <v>38.737824305871641</v>
      </c>
      <c r="LW8" s="35">
        <v>23.73046875</v>
      </c>
      <c r="LX8" s="35">
        <v>49.957498862084663</v>
      </c>
      <c r="LY8" s="35">
        <v>51.2908935546875</v>
      </c>
      <c r="LZ8" s="35">
        <v>11.299044151115158</v>
      </c>
      <c r="MA8" s="35">
        <v>100</v>
      </c>
      <c r="MB8" s="35">
        <v>12.768263541192534</v>
      </c>
      <c r="MC8" s="35">
        <v>81.014023322061405</v>
      </c>
      <c r="MD8" s="35">
        <v>13.370960400546201</v>
      </c>
      <c r="ME8" s="35">
        <v>65.132027498296409</v>
      </c>
      <c r="MF8" s="35">
        <v>15.112938097405555</v>
      </c>
      <c r="MG8" s="35">
        <v>51.93403908250599</v>
      </c>
      <c r="MH8" s="35">
        <v>17</v>
      </c>
      <c r="MI8" s="35">
        <v>41.044225466741565</v>
      </c>
      <c r="MJ8" s="35">
        <v>15.112938097405555</v>
      </c>
      <c r="MK8" s="35">
        <v>32.127687206130908</v>
      </c>
      <c r="ML8" s="35">
        <v>13.370960400546201</v>
      </c>
      <c r="MM8" s="35">
        <v>24.887371388049534</v>
      </c>
      <c r="MN8" s="35">
        <v>11.768263541192534</v>
      </c>
      <c r="MO8" s="35">
        <v>19.061106045638713</v>
      </c>
      <c r="MP8" s="35">
        <v>10.299044151115158</v>
      </c>
      <c r="MQ8" s="35">
        <v>14.418755615669616</v>
      </c>
      <c r="MR8" s="35">
        <v>8.9574988620846607</v>
      </c>
      <c r="MS8" s="35">
        <v>10.759497440753508</v>
      </c>
      <c r="MT8" s="35">
        <v>7.7378243058716416</v>
      </c>
      <c r="MU8" s="35">
        <v>7.9092193158983397</v>
      </c>
      <c r="MV8" s="35">
        <v>6.6342171142467024</v>
      </c>
      <c r="MW8" s="35">
        <v>5.7180380794114836</v>
      </c>
      <c r="MX8" s="35">
        <v>5.6408739189804269</v>
      </c>
      <c r="MY8" s="35">
        <v>4.0579392481486094</v>
      </c>
      <c r="MZ8" s="35">
        <v>4.7519913518434231</v>
      </c>
      <c r="NA8" s="35">
        <v>2.8205376971088865</v>
      </c>
      <c r="NB8" s="35">
        <v>3.9617660446062817</v>
      </c>
      <c r="NC8" s="35">
        <v>1.9149593833762957</v>
      </c>
      <c r="ND8" s="35">
        <v>3.2643946290395984</v>
      </c>
      <c r="NE8" s="35">
        <v>1.2658441144072095</v>
      </c>
      <c r="NF8" s="35">
        <v>2.6540737369139733</v>
      </c>
      <c r="NG8" s="35">
        <v>0.81146936066415609</v>
      </c>
      <c r="NH8" s="35">
        <v>2.125</v>
      </c>
      <c r="NI8" s="35">
        <v>0.50199511259579543</v>
      </c>
      <c r="NJ8" s="35">
        <v>1.6713700500682751</v>
      </c>
      <c r="NK8" s="35">
        <v>0.29782978196310489</v>
      </c>
      <c r="NL8" s="35">
        <v>1.2873805188893952</v>
      </c>
      <c r="NM8" s="35">
        <v>0.16811714751177356</v>
      </c>
      <c r="NN8" s="35">
        <v>0.9672280382339552</v>
      </c>
      <c r="NO8" s="35">
        <v>8.9344344990804431E-2</v>
      </c>
      <c r="NP8" s="35">
        <v>0.70510923987255336</v>
      </c>
      <c r="NQ8" s="35">
        <v>4.4070901517326351E-2</v>
      </c>
      <c r="NR8" s="35">
        <v>0.49522075557578521</v>
      </c>
      <c r="NS8" s="35">
        <v>1.9778814287612648E-2</v>
      </c>
      <c r="NT8" s="35">
        <v>0.33175921711424688</v>
      </c>
      <c r="NU8" s="35">
        <v>7.8436736343093037E-3</v>
      </c>
      <c r="NV8" s="35">
        <v>0.20892125625853425</v>
      </c>
      <c r="NW8" s="35">
        <v>2.6268304298714619E-3</v>
      </c>
      <c r="NX8" s="35">
        <v>0.1209035047792444</v>
      </c>
      <c r="NY8" s="35">
        <v>6.8860783620822423E-4</v>
      </c>
      <c r="NZ8" s="35">
        <v>6.1902594446973151E-2</v>
      </c>
    </row>
    <row r="9" spans="1:391" s="4" customFormat="1" ht="14.25" x14ac:dyDescent="0.2">
      <c r="A9" s="4">
        <v>3</v>
      </c>
      <c r="B9" s="16" t="s">
        <v>663</v>
      </c>
      <c r="C9" s="16" t="s">
        <v>443</v>
      </c>
      <c r="D9" s="16" t="s">
        <v>118</v>
      </c>
      <c r="E9" s="16" t="s">
        <v>443</v>
      </c>
      <c r="F9" s="31" t="s">
        <v>195</v>
      </c>
      <c r="G9" s="31" t="s">
        <v>196</v>
      </c>
      <c r="H9" s="32">
        <v>-1</v>
      </c>
      <c r="I9" s="33">
        <v>27.62</v>
      </c>
      <c r="J9" s="34">
        <v>22.5626</v>
      </c>
      <c r="K9" s="32" t="s">
        <v>197</v>
      </c>
      <c r="L9" s="16">
        <v>0</v>
      </c>
      <c r="M9" s="16">
        <v>2</v>
      </c>
      <c r="N9" s="16" t="s">
        <v>443</v>
      </c>
      <c r="O9" s="16">
        <v>0</v>
      </c>
      <c r="P9" s="16">
        <v>0</v>
      </c>
      <c r="Q9" s="16">
        <v>1</v>
      </c>
      <c r="R9" s="16">
        <v>1</v>
      </c>
      <c r="S9" s="16">
        <v>0</v>
      </c>
      <c r="T9" s="16">
        <v>40</v>
      </c>
      <c r="U9" s="16">
        <v>0</v>
      </c>
      <c r="V9" s="16">
        <v>40</v>
      </c>
      <c r="W9" s="16">
        <v>0</v>
      </c>
      <c r="X9" s="16" t="s">
        <v>443</v>
      </c>
      <c r="Y9" s="35">
        <v>898.7113165472</v>
      </c>
      <c r="Z9" s="35">
        <v>880.70075654719994</v>
      </c>
      <c r="AA9" s="35">
        <v>898.7113165472</v>
      </c>
      <c r="AB9" s="35">
        <v>880.70075654719994</v>
      </c>
      <c r="AC9" s="35">
        <v>1460.3447415471999</v>
      </c>
      <c r="AD9" s="35">
        <v>1442.3341768631999</v>
      </c>
      <c r="AE9" s="35">
        <v>1424.3236121791999</v>
      </c>
      <c r="AF9" s="35">
        <v>1406.3130474952</v>
      </c>
      <c r="AG9" s="35">
        <v>1388.3024828112</v>
      </c>
      <c r="AH9" s="35">
        <v>1298.2919181271998</v>
      </c>
      <c r="AI9" s="35">
        <v>1280.2813534431998</v>
      </c>
      <c r="AJ9" s="35">
        <v>1262.2707887591998</v>
      </c>
      <c r="AK9" s="35">
        <v>1244.2602240751999</v>
      </c>
      <c r="AL9" s="35">
        <v>1224.2551386947998</v>
      </c>
      <c r="AM9" s="35">
        <v>1206.2445740107999</v>
      </c>
      <c r="AN9" s="35">
        <v>1114.1972298943999</v>
      </c>
      <c r="AO9" s="35">
        <v>903.75003903559991</v>
      </c>
      <c r="AP9" s="35">
        <v>885.73947435159994</v>
      </c>
      <c r="AQ9" s="35">
        <v>867.72890966759996</v>
      </c>
      <c r="AR9" s="35">
        <v>849.71834498359999</v>
      </c>
      <c r="AS9" s="35">
        <v>829.71325960319996</v>
      </c>
      <c r="AT9" s="35">
        <v>811.70269491919998</v>
      </c>
      <c r="AU9" s="35">
        <v>793.69213023520001</v>
      </c>
      <c r="AV9" s="35">
        <v>775.68156555120004</v>
      </c>
      <c r="AW9" s="35">
        <v>757.67100086720006</v>
      </c>
      <c r="AX9" s="35">
        <v>741.69721561559982</v>
      </c>
      <c r="AY9" s="35">
        <v>723.68665093159984</v>
      </c>
      <c r="AZ9" s="35">
        <v>705.67608624759987</v>
      </c>
      <c r="BA9" s="35">
        <v>687.6655215635999</v>
      </c>
      <c r="BB9" s="35">
        <v>667.66043618319986</v>
      </c>
      <c r="BC9" s="35">
        <v>649.64987149919989</v>
      </c>
      <c r="BD9" s="35">
        <v>631.63930681519992</v>
      </c>
      <c r="BE9" s="35">
        <v>613.62874213119994</v>
      </c>
      <c r="BF9" s="35">
        <v>595.61817744719997</v>
      </c>
      <c r="BG9" s="35">
        <v>611.63422143479988</v>
      </c>
      <c r="BH9" s="35">
        <v>593.62365675079991</v>
      </c>
      <c r="BI9" s="35">
        <v>557.6025275116001</v>
      </c>
      <c r="BJ9" s="35">
        <v>575.61309219560007</v>
      </c>
      <c r="BK9" s="35">
        <v>903.75003903559991</v>
      </c>
      <c r="BL9" s="35">
        <v>885.73947435159994</v>
      </c>
      <c r="BM9" s="35">
        <v>867.72890966759996</v>
      </c>
      <c r="BN9" s="35">
        <v>849.71834498359999</v>
      </c>
      <c r="BO9" s="35">
        <v>829.71325960319996</v>
      </c>
      <c r="BP9" s="35">
        <v>811.70269491919998</v>
      </c>
      <c r="BQ9" s="35">
        <v>793.69213023520001</v>
      </c>
      <c r="BR9" s="35">
        <v>775.68156555120004</v>
      </c>
      <c r="BS9" s="35">
        <v>757.67100086720006</v>
      </c>
      <c r="BT9" s="35">
        <v>741.69721561559982</v>
      </c>
      <c r="BU9" s="35">
        <v>723.68665093159984</v>
      </c>
      <c r="BV9" s="35">
        <v>705.67608624759987</v>
      </c>
      <c r="BW9" s="35">
        <v>687.6655215635999</v>
      </c>
      <c r="BX9" s="35">
        <v>667.66043618319986</v>
      </c>
      <c r="BY9" s="35">
        <v>649.64987149919989</v>
      </c>
      <c r="BZ9" s="35">
        <v>631.63930681519992</v>
      </c>
      <c r="CA9" s="35">
        <v>613.62874213119994</v>
      </c>
      <c r="CB9" s="35">
        <v>595.61817744719997</v>
      </c>
      <c r="CC9" s="35">
        <v>611.63422143479988</v>
      </c>
      <c r="CD9" s="35">
        <v>593.62365675079991</v>
      </c>
      <c r="CE9" s="35">
        <v>555.58687751160005</v>
      </c>
      <c r="CF9" s="35">
        <v>573.59744219560002</v>
      </c>
      <c r="CG9" s="35">
        <v>163.06064842000001</v>
      </c>
      <c r="CH9" s="35">
        <v>255.10799253639999</v>
      </c>
      <c r="CI9" s="35">
        <v>237.09742785239999</v>
      </c>
      <c r="CJ9" s="35">
        <v>219.08686316839999</v>
      </c>
      <c r="CK9" s="35">
        <v>201.07629848439998</v>
      </c>
      <c r="CL9" s="35">
        <v>55.0547752254</v>
      </c>
      <c r="CM9" s="35">
        <v>57.070425289800006</v>
      </c>
      <c r="CN9" s="35">
        <v>69.070425289799999</v>
      </c>
      <c r="CO9" s="35">
        <v>71.086075354200005</v>
      </c>
      <c r="CP9" s="35">
        <v>81.070425289799999</v>
      </c>
      <c r="CQ9" s="35">
        <v>83.086075354200005</v>
      </c>
      <c r="CR9" s="35">
        <v>85.101725418599997</v>
      </c>
      <c r="CS9" s="35">
        <v>95.086075354200005</v>
      </c>
      <c r="CT9" s="35">
        <v>97.101725418599997</v>
      </c>
      <c r="CU9" s="35">
        <v>99.117375483000004</v>
      </c>
      <c r="CV9" s="35">
        <v>109.1017254186</v>
      </c>
      <c r="CW9" s="35">
        <v>111.117375483</v>
      </c>
      <c r="CX9" s="35">
        <v>113.13302554740001</v>
      </c>
      <c r="CY9" s="35">
        <v>123.117375483</v>
      </c>
      <c r="CZ9" s="35">
        <v>125.13302554740001</v>
      </c>
      <c r="DA9" s="35">
        <v>127.1486756118</v>
      </c>
      <c r="DB9" s="35">
        <v>137.1330255474</v>
      </c>
      <c r="DC9" s="35">
        <v>139.1486756118</v>
      </c>
      <c r="DD9" s="35">
        <v>141.16432567620001</v>
      </c>
      <c r="DE9" s="35">
        <v>151.1486756118</v>
      </c>
      <c r="DF9" s="35">
        <v>153.16432567620001</v>
      </c>
      <c r="DG9" s="35">
        <v>155.17997574060001</v>
      </c>
      <c r="DH9" s="35">
        <v>165.16432567620001</v>
      </c>
      <c r="DI9" s="35">
        <v>167.17997574060001</v>
      </c>
      <c r="DJ9" s="35">
        <v>169.19562580499999</v>
      </c>
      <c r="DK9" s="35">
        <v>179.17997574060001</v>
      </c>
      <c r="DL9" s="35">
        <v>181.19562580499999</v>
      </c>
      <c r="DM9" s="35">
        <v>183.2112758694</v>
      </c>
      <c r="DN9" s="35">
        <v>193.19562580499999</v>
      </c>
      <c r="DO9" s="35">
        <v>195.2112758694</v>
      </c>
      <c r="DP9" s="35">
        <v>197.2269259338</v>
      </c>
      <c r="DQ9" s="35">
        <v>207.2112758694</v>
      </c>
      <c r="DR9" s="35">
        <v>209.2269259338</v>
      </c>
      <c r="DS9" s="35">
        <v>211.24257599820001</v>
      </c>
      <c r="DT9" s="35">
        <v>221.2269259338</v>
      </c>
      <c r="DU9" s="35">
        <v>223.24257599820001</v>
      </c>
      <c r="DV9" s="35">
        <v>225.25822606260002</v>
      </c>
      <c r="DW9" s="35">
        <v>235.24257599820001</v>
      </c>
      <c r="DX9" s="35">
        <v>237.25822606260002</v>
      </c>
      <c r="DY9" s="35">
        <v>239.27387612699999</v>
      </c>
      <c r="DZ9" s="35">
        <v>249.25822606260002</v>
      </c>
      <c r="EA9" s="35">
        <v>251.27387612699999</v>
      </c>
      <c r="EB9" s="35">
        <v>253.2895261914</v>
      </c>
      <c r="EC9" s="35">
        <v>263.27387612699999</v>
      </c>
      <c r="ED9" s="35">
        <v>265.2895261914</v>
      </c>
      <c r="EE9" s="35">
        <v>267.30517625580001</v>
      </c>
      <c r="EF9" s="35">
        <v>277.2895261914</v>
      </c>
      <c r="EG9" s="35">
        <v>279.30517625580001</v>
      </c>
      <c r="EH9" s="35">
        <v>281.32082632020001</v>
      </c>
      <c r="EI9" s="35">
        <v>291.30517625580001</v>
      </c>
      <c r="EJ9" s="35">
        <v>293.32082632020001</v>
      </c>
      <c r="EK9" s="35">
        <v>295.33647638460002</v>
      </c>
      <c r="EL9" s="35">
        <v>305.32082632020001</v>
      </c>
      <c r="EM9" s="35">
        <v>307.33647638460002</v>
      </c>
      <c r="EN9" s="35">
        <v>309.35212644900002</v>
      </c>
      <c r="EO9" s="35">
        <v>319.33647638460002</v>
      </c>
      <c r="EP9" s="35">
        <v>321.35212644900002</v>
      </c>
      <c r="EQ9" s="35">
        <v>323.36777651340003</v>
      </c>
      <c r="ER9" s="35">
        <v>333.35212644900002</v>
      </c>
      <c r="ES9" s="35">
        <v>335.36777651340003</v>
      </c>
      <c r="ET9" s="35">
        <v>55.0547752254</v>
      </c>
      <c r="EU9" s="35">
        <v>57.070425289800006</v>
      </c>
      <c r="EV9" s="35">
        <v>69.070425289799999</v>
      </c>
      <c r="EW9" s="35">
        <v>71.086075354200005</v>
      </c>
      <c r="EX9" s="35">
        <v>81.070425289799999</v>
      </c>
      <c r="EY9" s="35">
        <v>83.086075354200005</v>
      </c>
      <c r="EZ9" s="35">
        <v>85.101725418599997</v>
      </c>
      <c r="FA9" s="35">
        <v>95.086075354200005</v>
      </c>
      <c r="FB9" s="35">
        <v>97.101725418599997</v>
      </c>
      <c r="FC9" s="35">
        <v>99.117375483000004</v>
      </c>
      <c r="FD9" s="35">
        <v>109.1017254186</v>
      </c>
      <c r="FE9" s="35">
        <v>111.117375483</v>
      </c>
      <c r="FF9" s="35">
        <v>113.13302554740001</v>
      </c>
      <c r="FG9" s="35">
        <v>123.117375483</v>
      </c>
      <c r="FH9" s="35">
        <v>125.13302554740001</v>
      </c>
      <c r="FI9" s="35">
        <v>127.1486756118</v>
      </c>
      <c r="FJ9" s="35">
        <v>137.1330255474</v>
      </c>
      <c r="FK9" s="35">
        <v>139.1486756118</v>
      </c>
      <c r="FL9" s="35">
        <v>141.16432567620001</v>
      </c>
      <c r="FM9" s="35">
        <v>151.1486756118</v>
      </c>
      <c r="FN9" s="35">
        <v>153.16432567620001</v>
      </c>
      <c r="FO9" s="35">
        <v>155.17997574060001</v>
      </c>
      <c r="FP9" s="35">
        <v>165.16432567620001</v>
      </c>
      <c r="FQ9" s="35">
        <v>167.17997574060001</v>
      </c>
      <c r="FR9" s="35">
        <v>169.19562580499999</v>
      </c>
      <c r="FS9" s="35">
        <v>179.17997574060001</v>
      </c>
      <c r="FT9" s="35">
        <v>181.19562580499999</v>
      </c>
      <c r="FU9" s="35">
        <v>183.2112758694</v>
      </c>
      <c r="FV9" s="35">
        <v>193.19562580499999</v>
      </c>
      <c r="FW9" s="35">
        <v>195.2112758694</v>
      </c>
      <c r="FX9" s="35">
        <v>197.2269259338</v>
      </c>
      <c r="FY9" s="35">
        <v>207.2112758694</v>
      </c>
      <c r="FZ9" s="35">
        <v>209.2269259338</v>
      </c>
      <c r="GA9" s="35">
        <v>211.24257599820001</v>
      </c>
      <c r="GB9" s="35">
        <v>221.2269259338</v>
      </c>
      <c r="GC9" s="35">
        <v>223.24257599820001</v>
      </c>
      <c r="GD9" s="35">
        <v>225.25822606260002</v>
      </c>
      <c r="GE9" s="35">
        <v>235.24257599820001</v>
      </c>
      <c r="GF9" s="35">
        <v>237.25822606260002</v>
      </c>
      <c r="GG9" s="35">
        <v>239.27387612699999</v>
      </c>
      <c r="GH9" s="35">
        <v>249.25822606260002</v>
      </c>
      <c r="GI9" s="35">
        <v>251.27387612699999</v>
      </c>
      <c r="GJ9" s="35">
        <v>253.2895261914</v>
      </c>
      <c r="GK9" s="35">
        <v>263.27387612699999</v>
      </c>
      <c r="GL9" s="35">
        <v>265.2895261914</v>
      </c>
      <c r="GM9" s="35">
        <v>267.30517625580001</v>
      </c>
      <c r="GN9" s="35">
        <v>277.2895261914</v>
      </c>
      <c r="GO9" s="35">
        <v>279.30517625580001</v>
      </c>
      <c r="GP9" s="35">
        <v>281.32082632020001</v>
      </c>
      <c r="GQ9" s="35">
        <v>291.30517625580001</v>
      </c>
      <c r="GR9" s="35">
        <v>293.32082632020001</v>
      </c>
      <c r="GS9" s="35">
        <v>295.33647638460002</v>
      </c>
      <c r="GT9" s="35">
        <v>305.32082632020001</v>
      </c>
      <c r="GU9" s="35">
        <v>307.33647638460002</v>
      </c>
      <c r="GV9" s="35">
        <v>309.35212644900002</v>
      </c>
      <c r="GW9" s="35">
        <v>319.33647638460002</v>
      </c>
      <c r="GX9" s="35">
        <v>321.35212644900002</v>
      </c>
      <c r="GY9" s="35">
        <v>323.36777651340003</v>
      </c>
      <c r="GZ9" s="35">
        <v>333.35212644900002</v>
      </c>
      <c r="HA9" s="35">
        <v>335.36777651340003</v>
      </c>
      <c r="HB9" s="35">
        <v>144.4</v>
      </c>
      <c r="HC9" s="35">
        <v>14.440000000000001</v>
      </c>
      <c r="HD9" s="35">
        <v>14.440000000000001</v>
      </c>
      <c r="HE9" s="35">
        <v>21.660000000000004</v>
      </c>
      <c r="HF9" s="35">
        <v>32.490000000000009</v>
      </c>
      <c r="HG9" s="35">
        <v>72.2</v>
      </c>
      <c r="HH9" s="35">
        <v>9.0250000000000004</v>
      </c>
      <c r="HI9" s="35">
        <v>1.128125</v>
      </c>
      <c r="HJ9" s="35">
        <v>0.56406250000000002</v>
      </c>
      <c r="HK9" s="36">
        <v>7.6800000000000015</v>
      </c>
      <c r="HL9" s="36">
        <v>2</v>
      </c>
      <c r="HM9" s="35">
        <v>0</v>
      </c>
      <c r="HN9" s="35">
        <v>48</v>
      </c>
      <c r="HO9" s="35">
        <v>26.666666666666664</v>
      </c>
      <c r="HP9" s="35">
        <v>18.666666666666664</v>
      </c>
      <c r="HQ9" s="35">
        <v>6.2222222222222214</v>
      </c>
      <c r="HR9" s="35">
        <v>36</v>
      </c>
      <c r="HS9" s="35">
        <v>36</v>
      </c>
      <c r="HT9" s="35">
        <v>18</v>
      </c>
      <c r="HU9" s="35">
        <v>36</v>
      </c>
      <c r="HV9" s="35">
        <v>7.2</v>
      </c>
      <c r="HW9" s="35">
        <v>56</v>
      </c>
      <c r="HX9" s="35">
        <v>31.111111111111111</v>
      </c>
      <c r="HY9" s="35">
        <v>21.777777777777775</v>
      </c>
      <c r="HZ9" s="35">
        <v>7.2592592592592586</v>
      </c>
      <c r="IA9" s="35">
        <v>36</v>
      </c>
      <c r="IB9" s="35">
        <v>36</v>
      </c>
      <c r="IC9" s="35">
        <v>18</v>
      </c>
      <c r="ID9" s="35">
        <v>36</v>
      </c>
      <c r="IE9" s="35">
        <v>7.2</v>
      </c>
      <c r="IF9" s="35">
        <v>15</v>
      </c>
      <c r="IG9" s="35">
        <v>3.75</v>
      </c>
      <c r="IH9" s="35">
        <v>21.599999999999998</v>
      </c>
      <c r="II9" s="35">
        <v>10.799999999999999</v>
      </c>
      <c r="IJ9" s="35">
        <v>48</v>
      </c>
      <c r="IK9" s="35">
        <v>26.666666666666664</v>
      </c>
      <c r="IL9" s="35">
        <v>18.666666666666664</v>
      </c>
      <c r="IM9" s="35">
        <v>6.2222222222222214</v>
      </c>
      <c r="IN9" s="35">
        <v>36</v>
      </c>
      <c r="IO9" s="35">
        <v>36</v>
      </c>
      <c r="IP9" s="35">
        <v>18</v>
      </c>
      <c r="IQ9" s="35">
        <v>36</v>
      </c>
      <c r="IR9" s="35">
        <v>7.2</v>
      </c>
      <c r="IS9" s="35">
        <v>56</v>
      </c>
      <c r="IT9" s="35">
        <v>31.111111111111111</v>
      </c>
      <c r="IU9" s="35">
        <v>21.777777777777775</v>
      </c>
      <c r="IV9" s="35">
        <v>7.2592592592592586</v>
      </c>
      <c r="IW9" s="35">
        <v>36</v>
      </c>
      <c r="IX9" s="35">
        <v>36</v>
      </c>
      <c r="IY9" s="35">
        <v>18</v>
      </c>
      <c r="IZ9" s="35">
        <v>36</v>
      </c>
      <c r="JA9" s="35">
        <v>7.2</v>
      </c>
      <c r="JB9" s="35">
        <v>15</v>
      </c>
      <c r="JC9" s="35">
        <v>3.75</v>
      </c>
      <c r="JD9" s="35">
        <v>21.599999999999998</v>
      </c>
      <c r="JE9" s="35">
        <v>10.799999999999999</v>
      </c>
      <c r="JF9" s="35">
        <v>0</v>
      </c>
      <c r="JG9" s="35">
        <v>60</v>
      </c>
      <c r="JH9" s="35">
        <v>30</v>
      </c>
      <c r="JI9" s="35">
        <v>30</v>
      </c>
      <c r="JJ9" s="35">
        <v>40</v>
      </c>
      <c r="JK9" s="35">
        <v>1.831817626953125</v>
      </c>
      <c r="JL9" s="35">
        <v>3.9085542785616756</v>
      </c>
      <c r="JM9" s="35">
        <v>5.5902637541294098</v>
      </c>
      <c r="JN9" s="35">
        <v>6.6844560764679102</v>
      </c>
      <c r="JO9" s="35">
        <v>4.1731095314025879</v>
      </c>
      <c r="JP9" s="35">
        <v>13.910365104675293</v>
      </c>
      <c r="JQ9" s="35">
        <v>8.2393747155211656</v>
      </c>
      <c r="JR9" s="35">
        <v>10.523023046553135</v>
      </c>
      <c r="JS9" s="35">
        <v>47.488933104557965</v>
      </c>
      <c r="JT9" s="35">
        <v>3.5747610377787895</v>
      </c>
      <c r="JU9" s="35">
        <v>23.447265625</v>
      </c>
      <c r="JV9" s="35">
        <v>58.6181640625</v>
      </c>
      <c r="JW9" s="35">
        <v>2.9420658852981334</v>
      </c>
      <c r="JX9" s="35">
        <v>18.340553474863764</v>
      </c>
      <c r="JY9" s="35">
        <v>47.488933104557965</v>
      </c>
      <c r="JZ9" s="35">
        <v>3.3427401001365502</v>
      </c>
      <c r="KA9" s="35">
        <v>14.218460218992666</v>
      </c>
      <c r="KB9" s="35">
        <v>38.179198736184006</v>
      </c>
      <c r="KC9" s="35">
        <v>3.7782345243513888</v>
      </c>
      <c r="KD9" s="35">
        <v>10.917410842418233</v>
      </c>
      <c r="KE9" s="35">
        <v>30.44278023366623</v>
      </c>
      <c r="KF9" s="35">
        <v>4.25</v>
      </c>
      <c r="KG9" s="35">
        <v>8.296334973198956</v>
      </c>
      <c r="KH9" s="35">
        <v>24.059371422276975</v>
      </c>
      <c r="KI9" s="35">
        <v>3.7782345243513888</v>
      </c>
      <c r="KJ9" s="35">
        <v>6.2342599931508875</v>
      </c>
      <c r="KK9" s="35">
        <v>18.832660395976639</v>
      </c>
      <c r="KL9" s="35">
        <v>3.3427401001365502</v>
      </c>
      <c r="KM9" s="35">
        <v>4.6280822675183844</v>
      </c>
      <c r="KN9" s="35">
        <v>14.588520191090559</v>
      </c>
      <c r="KO9" s="35">
        <v>2.9420658852981334</v>
      </c>
      <c r="KP9" s="35">
        <v>3.3905096428567076</v>
      </c>
      <c r="KQ9" s="35">
        <v>11.173270413959607</v>
      </c>
      <c r="KR9" s="35">
        <v>2.5747610377787895</v>
      </c>
      <c r="KS9" s="35">
        <v>2.4481683623978912</v>
      </c>
      <c r="KT9" s="35">
        <v>8.4520098225641469</v>
      </c>
      <c r="KU9" s="35">
        <v>2.2393747155211652</v>
      </c>
      <c r="KV9" s="35">
        <v>1.7398675481714156</v>
      </c>
      <c r="KW9" s="35">
        <v>6.30701986212138</v>
      </c>
      <c r="KX9" s="35">
        <v>1.9344560764679104</v>
      </c>
      <c r="KY9" s="35">
        <v>1.2150143991512878</v>
      </c>
      <c r="KZ9" s="35">
        <v>4.6362391546562289</v>
      </c>
      <c r="LA9" s="35">
        <v>1.6585542785616756</v>
      </c>
      <c r="LB9" s="35">
        <v>0.83217325470098846</v>
      </c>
      <c r="LC9" s="35">
        <v>3.3518089425456479</v>
      </c>
      <c r="LD9" s="35">
        <v>1.4102184797451067</v>
      </c>
      <c r="LE9" s="35">
        <v>0.55776167258782994</v>
      </c>
      <c r="LF9" s="35">
        <v>2.3786894860363308</v>
      </c>
      <c r="LG9" s="35">
        <v>1.1879978379608558</v>
      </c>
      <c r="LH9" s="35">
        <v>0.36487667083827779</v>
      </c>
      <c r="LI9" s="35">
        <v>1.6533474147359464</v>
      </c>
      <c r="LJ9" s="35">
        <v>0.99044151115157042</v>
      </c>
      <c r="LK9" s="35">
        <v>0.23224428270574216</v>
      </c>
      <c r="LL9" s="35">
        <v>1.1225140330777554</v>
      </c>
      <c r="LM9" s="35">
        <v>0.81609865725989961</v>
      </c>
      <c r="LN9" s="35">
        <v>0.14328557402237305</v>
      </c>
      <c r="LO9" s="35">
        <v>0.74201457975871821</v>
      </c>
      <c r="LP9" s="35">
        <v>0.66351843422849333</v>
      </c>
      <c r="LQ9" s="35">
        <v>8.5292272206392447E-2</v>
      </c>
      <c r="LR9" s="35">
        <v>0.47566844115103485</v>
      </c>
      <c r="LS9" s="35">
        <v>1.831817626953125</v>
      </c>
      <c r="LT9" s="35">
        <v>3.9085542785616756</v>
      </c>
      <c r="LU9" s="35">
        <v>5.5902637541294098</v>
      </c>
      <c r="LV9" s="35">
        <v>6.6844560764679102</v>
      </c>
      <c r="LW9" s="35">
        <v>4.1731095314025879</v>
      </c>
      <c r="LX9" s="35">
        <v>13.910365104675293</v>
      </c>
      <c r="LY9" s="35">
        <v>8.2393747155211656</v>
      </c>
      <c r="LZ9" s="35">
        <v>10.523023046553135</v>
      </c>
      <c r="MA9" s="35">
        <v>47.488933104557965</v>
      </c>
      <c r="MB9" s="35">
        <v>3.5747610377787895</v>
      </c>
      <c r="MC9" s="35">
        <v>23.447265625</v>
      </c>
      <c r="MD9" s="35">
        <v>58.6181640625</v>
      </c>
      <c r="ME9" s="35">
        <v>2.9420658852981334</v>
      </c>
      <c r="MF9" s="35">
        <v>18.340553474863764</v>
      </c>
      <c r="MG9" s="35">
        <v>47.488933104557965</v>
      </c>
      <c r="MH9" s="35">
        <v>3.3427401001365502</v>
      </c>
      <c r="MI9" s="35">
        <v>14.218460218992666</v>
      </c>
      <c r="MJ9" s="35">
        <v>38.179198736184006</v>
      </c>
      <c r="MK9" s="35">
        <v>3.7782345243513888</v>
      </c>
      <c r="ML9" s="35">
        <v>10.917410842418233</v>
      </c>
      <c r="MM9" s="35">
        <v>30.44278023366623</v>
      </c>
      <c r="MN9" s="35">
        <v>4.25</v>
      </c>
      <c r="MO9" s="35">
        <v>8.296334973198956</v>
      </c>
      <c r="MP9" s="35">
        <v>24.059371422276975</v>
      </c>
      <c r="MQ9" s="35">
        <v>3.7782345243513888</v>
      </c>
      <c r="MR9" s="35">
        <v>6.2342599931508875</v>
      </c>
      <c r="MS9" s="35">
        <v>18.832660395976639</v>
      </c>
      <c r="MT9" s="35">
        <v>3.3427401001365502</v>
      </c>
      <c r="MU9" s="35">
        <v>4.6280822675183844</v>
      </c>
      <c r="MV9" s="35">
        <v>14.588520191090559</v>
      </c>
      <c r="MW9" s="35">
        <v>2.9420658852981334</v>
      </c>
      <c r="MX9" s="35">
        <v>3.3905096428567076</v>
      </c>
      <c r="MY9" s="35">
        <v>11.173270413959607</v>
      </c>
      <c r="MZ9" s="35">
        <v>2.5747610377787895</v>
      </c>
      <c r="NA9" s="35">
        <v>2.4481683623978912</v>
      </c>
      <c r="NB9" s="35">
        <v>8.4520098225641469</v>
      </c>
      <c r="NC9" s="35">
        <v>2.2393747155211652</v>
      </c>
      <c r="ND9" s="35">
        <v>1.7398675481714156</v>
      </c>
      <c r="NE9" s="35">
        <v>6.30701986212138</v>
      </c>
      <c r="NF9" s="35">
        <v>1.9344560764679104</v>
      </c>
      <c r="NG9" s="35">
        <v>1.2150143991512878</v>
      </c>
      <c r="NH9" s="35">
        <v>4.6362391546562289</v>
      </c>
      <c r="NI9" s="35">
        <v>1.6585542785616756</v>
      </c>
      <c r="NJ9" s="35">
        <v>0.83217325470098846</v>
      </c>
      <c r="NK9" s="35">
        <v>3.3518089425456479</v>
      </c>
      <c r="NL9" s="35">
        <v>1.4102184797451067</v>
      </c>
      <c r="NM9" s="35">
        <v>0.55776167258782994</v>
      </c>
      <c r="NN9" s="35">
        <v>2.3786894860363308</v>
      </c>
      <c r="NO9" s="35">
        <v>1.1879978379608558</v>
      </c>
      <c r="NP9" s="35">
        <v>0.36487667083827779</v>
      </c>
      <c r="NQ9" s="35">
        <v>1.6533474147359464</v>
      </c>
      <c r="NR9" s="35">
        <v>0.99044151115157042</v>
      </c>
      <c r="NS9" s="35">
        <v>0.23224428270574216</v>
      </c>
      <c r="NT9" s="35">
        <v>1.1225140330777554</v>
      </c>
      <c r="NU9" s="35">
        <v>0.81609865725989961</v>
      </c>
      <c r="NV9" s="35">
        <v>0.14328557402237305</v>
      </c>
      <c r="NW9" s="35">
        <v>0.74201457975871821</v>
      </c>
      <c r="NX9" s="35">
        <v>0.66351843422849333</v>
      </c>
      <c r="NY9" s="35">
        <v>8.5292272206392447E-2</v>
      </c>
      <c r="NZ9" s="35">
        <v>0.47566844115103485</v>
      </c>
    </row>
    <row r="10" spans="1:391" s="4" customFormat="1" ht="14.25" x14ac:dyDescent="0.2">
      <c r="A10" s="4">
        <v>4</v>
      </c>
      <c r="B10" s="16" t="s">
        <v>663</v>
      </c>
      <c r="C10" s="16" t="s">
        <v>444</v>
      </c>
      <c r="D10" s="16" t="s">
        <v>118</v>
      </c>
      <c r="E10" s="16" t="s">
        <v>444</v>
      </c>
      <c r="F10" s="31" t="s">
        <v>198</v>
      </c>
      <c r="G10" s="31" t="s">
        <v>199</v>
      </c>
      <c r="H10" s="32">
        <v>-1</v>
      </c>
      <c r="I10" s="33">
        <v>27.54</v>
      </c>
      <c r="J10" s="34">
        <v>22.5626</v>
      </c>
      <c r="K10" s="32" t="s">
        <v>200</v>
      </c>
      <c r="L10" s="16">
        <v>0</v>
      </c>
      <c r="M10" s="16">
        <v>2</v>
      </c>
      <c r="N10" s="16" t="s">
        <v>444</v>
      </c>
      <c r="O10" s="16">
        <v>0</v>
      </c>
      <c r="P10" s="16">
        <v>0</v>
      </c>
      <c r="Q10" s="16">
        <v>2</v>
      </c>
      <c r="R10" s="16">
        <v>0</v>
      </c>
      <c r="S10" s="16">
        <v>0</v>
      </c>
      <c r="T10" s="16">
        <v>40</v>
      </c>
      <c r="U10" s="16">
        <v>0</v>
      </c>
      <c r="V10" s="16">
        <v>40</v>
      </c>
      <c r="W10" s="16">
        <v>0</v>
      </c>
      <c r="X10" s="16" t="s">
        <v>444</v>
      </c>
      <c r="Y10" s="35">
        <v>898.7113165472</v>
      </c>
      <c r="Z10" s="35">
        <v>880.70075654719994</v>
      </c>
      <c r="AA10" s="35">
        <v>898.7113165472</v>
      </c>
      <c r="AB10" s="35">
        <v>880.70075654719994</v>
      </c>
      <c r="AC10" s="35">
        <v>1460.3447415471999</v>
      </c>
      <c r="AD10" s="35">
        <v>1442.3341768631999</v>
      </c>
      <c r="AE10" s="35">
        <v>1424.3236121791999</v>
      </c>
      <c r="AF10" s="35">
        <v>1406.3130474952</v>
      </c>
      <c r="AG10" s="35">
        <v>1388.3024828112</v>
      </c>
      <c r="AH10" s="35">
        <v>1298.2919181271998</v>
      </c>
      <c r="AI10" s="35">
        <v>1280.2813534431998</v>
      </c>
      <c r="AJ10" s="35">
        <v>1262.2707887591998</v>
      </c>
      <c r="AK10" s="35">
        <v>1244.2602240751999</v>
      </c>
      <c r="AL10" s="35">
        <v>1224.2551386947998</v>
      </c>
      <c r="AM10" s="35">
        <v>1206.2445740107999</v>
      </c>
      <c r="AN10" s="35">
        <v>1114.1972298943999</v>
      </c>
      <c r="AO10" s="35">
        <v>905.76568909999992</v>
      </c>
      <c r="AP10" s="35">
        <v>887.75512441599994</v>
      </c>
      <c r="AQ10" s="35">
        <v>869.74455973199997</v>
      </c>
      <c r="AR10" s="35">
        <v>851.733995048</v>
      </c>
      <c r="AS10" s="35">
        <v>831.72890966759996</v>
      </c>
      <c r="AT10" s="35">
        <v>813.71834498359999</v>
      </c>
      <c r="AU10" s="35">
        <v>795.70778029960002</v>
      </c>
      <c r="AV10" s="35">
        <v>777.69721561560004</v>
      </c>
      <c r="AW10" s="35">
        <v>759.68665093160007</v>
      </c>
      <c r="AX10" s="35">
        <v>743.71286567999982</v>
      </c>
      <c r="AY10" s="35">
        <v>725.70230099599985</v>
      </c>
      <c r="AZ10" s="35">
        <v>707.69173631199988</v>
      </c>
      <c r="BA10" s="35">
        <v>689.6811716279999</v>
      </c>
      <c r="BB10" s="35">
        <v>669.67608624759987</v>
      </c>
      <c r="BC10" s="35">
        <v>651.6655215635999</v>
      </c>
      <c r="BD10" s="35">
        <v>633.65495687959992</v>
      </c>
      <c r="BE10" s="35">
        <v>615.64439219559995</v>
      </c>
      <c r="BF10" s="35">
        <v>597.63382751159997</v>
      </c>
      <c r="BG10" s="35">
        <v>613.64987149919989</v>
      </c>
      <c r="BH10" s="35">
        <v>595.63930681519992</v>
      </c>
      <c r="BI10" s="35">
        <v>553.57122744720004</v>
      </c>
      <c r="BJ10" s="35">
        <v>571.58179213120002</v>
      </c>
      <c r="BK10" s="35">
        <v>901.73438897119991</v>
      </c>
      <c r="BL10" s="35">
        <v>883.72382428719993</v>
      </c>
      <c r="BM10" s="35">
        <v>865.71325960319996</v>
      </c>
      <c r="BN10" s="35">
        <v>847.70269491919998</v>
      </c>
      <c r="BO10" s="35">
        <v>827.69760953879995</v>
      </c>
      <c r="BP10" s="35">
        <v>809.68704485479998</v>
      </c>
      <c r="BQ10" s="35">
        <v>791.6764801708</v>
      </c>
      <c r="BR10" s="35">
        <v>773.66591548680003</v>
      </c>
      <c r="BS10" s="35">
        <v>755.65535080280006</v>
      </c>
      <c r="BT10" s="35">
        <v>739.68156555119981</v>
      </c>
      <c r="BU10" s="35">
        <v>721.67100086719984</v>
      </c>
      <c r="BV10" s="35">
        <v>703.66043618319986</v>
      </c>
      <c r="BW10" s="35">
        <v>685.64987149919989</v>
      </c>
      <c r="BX10" s="35">
        <v>665.64478611879986</v>
      </c>
      <c r="BY10" s="35">
        <v>647.63422143479988</v>
      </c>
      <c r="BZ10" s="35">
        <v>629.62365675079991</v>
      </c>
      <c r="CA10" s="35">
        <v>611.61309206679994</v>
      </c>
      <c r="CB10" s="35">
        <v>593.60252738279996</v>
      </c>
      <c r="CC10" s="35">
        <v>609.61857137039988</v>
      </c>
      <c r="CD10" s="35">
        <v>591.6080066863999</v>
      </c>
      <c r="CE10" s="35">
        <v>557.60252757600006</v>
      </c>
      <c r="CF10" s="35">
        <v>575.61309226000003</v>
      </c>
      <c r="CG10" s="35">
        <v>163.06064842000001</v>
      </c>
      <c r="CH10" s="35">
        <v>255.10799253639999</v>
      </c>
      <c r="CI10" s="35">
        <v>237.09742785239999</v>
      </c>
      <c r="CJ10" s="35">
        <v>219.08686316839999</v>
      </c>
      <c r="CK10" s="35">
        <v>201.07629848439998</v>
      </c>
      <c r="CL10" s="35">
        <v>55.0547752254</v>
      </c>
      <c r="CM10" s="35">
        <v>57.070425289800006</v>
      </c>
      <c r="CN10" s="35">
        <v>69.070425289799999</v>
      </c>
      <c r="CO10" s="35">
        <v>71.086075354200005</v>
      </c>
      <c r="CP10" s="35">
        <v>81.070425289799999</v>
      </c>
      <c r="CQ10" s="35">
        <v>83.086075354200005</v>
      </c>
      <c r="CR10" s="35">
        <v>85.101725418599997</v>
      </c>
      <c r="CS10" s="35">
        <v>95.086075354200005</v>
      </c>
      <c r="CT10" s="35">
        <v>97.101725418599997</v>
      </c>
      <c r="CU10" s="35">
        <v>99.117375483000004</v>
      </c>
      <c r="CV10" s="35">
        <v>109.1017254186</v>
      </c>
      <c r="CW10" s="35">
        <v>111.117375483</v>
      </c>
      <c r="CX10" s="35">
        <v>113.13302554740001</v>
      </c>
      <c r="CY10" s="35">
        <v>123.117375483</v>
      </c>
      <c r="CZ10" s="35">
        <v>125.13302554740001</v>
      </c>
      <c r="DA10" s="35">
        <v>127.1486756118</v>
      </c>
      <c r="DB10" s="35">
        <v>137.1330255474</v>
      </c>
      <c r="DC10" s="35">
        <v>139.1486756118</v>
      </c>
      <c r="DD10" s="35">
        <v>141.16432567620001</v>
      </c>
      <c r="DE10" s="35">
        <v>149.1330255474</v>
      </c>
      <c r="DF10" s="35">
        <v>151.1486756118</v>
      </c>
      <c r="DG10" s="35">
        <v>153.16432567620001</v>
      </c>
      <c r="DH10" s="35">
        <v>155.17997574060001</v>
      </c>
      <c r="DI10" s="35">
        <v>163.1486756118</v>
      </c>
      <c r="DJ10" s="35">
        <v>165.16432567620001</v>
      </c>
      <c r="DK10" s="35">
        <v>167.17997574060001</v>
      </c>
      <c r="DL10" s="35">
        <v>169.19562580499999</v>
      </c>
      <c r="DM10" s="35">
        <v>177.16432567620001</v>
      </c>
      <c r="DN10" s="35">
        <v>179.17997574060001</v>
      </c>
      <c r="DO10" s="35">
        <v>181.19562580499999</v>
      </c>
      <c r="DP10" s="35">
        <v>183.2112758694</v>
      </c>
      <c r="DQ10" s="35">
        <v>191.17997574060001</v>
      </c>
      <c r="DR10" s="35">
        <v>193.19562580499999</v>
      </c>
      <c r="DS10" s="35">
        <v>195.2112758694</v>
      </c>
      <c r="DT10" s="35">
        <v>197.2269259338</v>
      </c>
      <c r="DU10" s="35">
        <v>205.19562580499999</v>
      </c>
      <c r="DV10" s="35">
        <v>207.2112758694</v>
      </c>
      <c r="DW10" s="35">
        <v>209.2269259338</v>
      </c>
      <c r="DX10" s="35">
        <v>211.24257599820001</v>
      </c>
      <c r="DY10" s="35">
        <v>219.2112758694</v>
      </c>
      <c r="DZ10" s="35">
        <v>221.2269259338</v>
      </c>
      <c r="EA10" s="35">
        <v>223.24257599820001</v>
      </c>
      <c r="EB10" s="35">
        <v>225.25822606260002</v>
      </c>
      <c r="EC10" s="35">
        <v>233.2269259338</v>
      </c>
      <c r="ED10" s="35">
        <v>235.24257599820001</v>
      </c>
      <c r="EE10" s="35">
        <v>237.25822606260002</v>
      </c>
      <c r="EF10" s="35">
        <v>239.27387612699999</v>
      </c>
      <c r="EG10" s="35">
        <v>247.24257599820001</v>
      </c>
      <c r="EH10" s="35">
        <v>249.25822606260002</v>
      </c>
      <c r="EI10" s="35">
        <v>251.27387612699999</v>
      </c>
      <c r="EJ10" s="35">
        <v>253.2895261914</v>
      </c>
      <c r="EK10" s="35">
        <v>261.25822606259999</v>
      </c>
      <c r="EL10" s="35">
        <v>263.27387612699999</v>
      </c>
      <c r="EM10" s="35">
        <v>265.2895261914</v>
      </c>
      <c r="EN10" s="35">
        <v>267.30517625580001</v>
      </c>
      <c r="EO10" s="35">
        <v>275.27387612699999</v>
      </c>
      <c r="EP10" s="35">
        <v>277.2895261914</v>
      </c>
      <c r="EQ10" s="35">
        <v>279.30517625580001</v>
      </c>
      <c r="ER10" s="35">
        <v>281.32082632020001</v>
      </c>
      <c r="ES10" s="35">
        <v>289.2895261914</v>
      </c>
      <c r="ET10" s="35">
        <v>55.0547752254</v>
      </c>
      <c r="EU10" s="35">
        <v>57.070425289800006</v>
      </c>
      <c r="EV10" s="35">
        <v>69.070425289799999</v>
      </c>
      <c r="EW10" s="35">
        <v>71.086075354200005</v>
      </c>
      <c r="EX10" s="35">
        <v>83.086075354200005</v>
      </c>
      <c r="EY10" s="35">
        <v>85.101725418599997</v>
      </c>
      <c r="EZ10" s="35">
        <v>97.101725418599997</v>
      </c>
      <c r="FA10" s="35">
        <v>99.117375483000004</v>
      </c>
      <c r="FB10" s="35">
        <v>111.117375483</v>
      </c>
      <c r="FC10" s="35">
        <v>113.13302554740001</v>
      </c>
      <c r="FD10" s="35">
        <v>125.13302554740001</v>
      </c>
      <c r="FE10" s="35">
        <v>127.1486756118</v>
      </c>
      <c r="FF10" s="35">
        <v>139.1486756118</v>
      </c>
      <c r="FG10" s="35">
        <v>141.16432567620001</v>
      </c>
      <c r="FH10" s="35">
        <v>153.16432567620001</v>
      </c>
      <c r="FI10" s="35">
        <v>155.17997574060001</v>
      </c>
      <c r="FJ10" s="35">
        <v>167.17997574060001</v>
      </c>
      <c r="FK10" s="35">
        <v>169.19562580499999</v>
      </c>
      <c r="FL10" s="35">
        <v>181.19562580499999</v>
      </c>
      <c r="FM10" s="35">
        <v>183.2112758694</v>
      </c>
      <c r="FN10" s="35">
        <v>195.2112758694</v>
      </c>
      <c r="FO10" s="35">
        <v>197.2269259338</v>
      </c>
      <c r="FP10" s="35">
        <v>209.2269259338</v>
      </c>
      <c r="FQ10" s="35">
        <v>211.24257599820001</v>
      </c>
      <c r="FR10" s="35">
        <v>223.24257599820001</v>
      </c>
      <c r="FS10" s="35">
        <v>225.25822606260002</v>
      </c>
      <c r="FT10" s="35">
        <v>237.25822606260002</v>
      </c>
      <c r="FU10" s="35">
        <v>239.27387612699999</v>
      </c>
      <c r="FV10" s="35">
        <v>251.27387612699999</v>
      </c>
      <c r="FW10" s="35">
        <v>253.2895261914</v>
      </c>
      <c r="FX10" s="35">
        <v>265.2895261914</v>
      </c>
      <c r="FY10" s="35">
        <v>267.30517625580001</v>
      </c>
      <c r="FZ10" s="35">
        <v>279.30517625580001</v>
      </c>
      <c r="GA10" s="35">
        <v>281.32082632020001</v>
      </c>
      <c r="GB10" s="35">
        <v>293.32082632020001</v>
      </c>
      <c r="GC10" s="35">
        <v>295.33647638460002</v>
      </c>
      <c r="GD10" s="35">
        <v>307.33647638460002</v>
      </c>
      <c r="GE10" s="35">
        <v>309.35212644900002</v>
      </c>
      <c r="GF10" s="35">
        <v>321.35212644900002</v>
      </c>
      <c r="GG10" s="35">
        <v>323.36777651340003</v>
      </c>
      <c r="GH10" s="35">
        <v>335.36777651340003</v>
      </c>
      <c r="GI10" s="35">
        <v>337.38342657779998</v>
      </c>
      <c r="GJ10" s="35">
        <v>349.38342657779998</v>
      </c>
      <c r="GK10" s="35">
        <v>351.39907664219999</v>
      </c>
      <c r="GL10" s="35">
        <v>363.39907664219999</v>
      </c>
      <c r="GM10" s="35">
        <v>365.41472670659999</v>
      </c>
      <c r="GN10" s="35">
        <v>377.41472670659999</v>
      </c>
      <c r="GO10" s="35">
        <v>379.430376771</v>
      </c>
      <c r="GP10" s="35">
        <v>391.430376771</v>
      </c>
      <c r="GQ10" s="35">
        <v>393.4460268354</v>
      </c>
      <c r="GR10" s="35">
        <v>405.4460268354</v>
      </c>
      <c r="GS10" s="35">
        <v>407.46167689980001</v>
      </c>
      <c r="GT10" s="35">
        <v>419.46167689980001</v>
      </c>
      <c r="GU10" s="35">
        <v>421.47732696420002</v>
      </c>
      <c r="GV10" s="35">
        <v>433.47732696420002</v>
      </c>
      <c r="GW10" s="35">
        <v>435.49297702860002</v>
      </c>
      <c r="GX10" s="35">
        <v>447.49297702860002</v>
      </c>
      <c r="GY10" s="35">
        <v>449.50862709300003</v>
      </c>
      <c r="GZ10" s="35">
        <v>461.50862709300003</v>
      </c>
      <c r="HA10" s="35">
        <v>463.52427715739998</v>
      </c>
      <c r="HB10" s="35">
        <v>144.4</v>
      </c>
      <c r="HC10" s="35">
        <v>14.440000000000001</v>
      </c>
      <c r="HD10" s="35">
        <v>14.440000000000001</v>
      </c>
      <c r="HE10" s="35">
        <v>21.660000000000004</v>
      </c>
      <c r="HF10" s="35">
        <v>32.490000000000009</v>
      </c>
      <c r="HG10" s="35">
        <v>72.2</v>
      </c>
      <c r="HH10" s="35">
        <v>9.0250000000000004</v>
      </c>
      <c r="HI10" s="35">
        <v>1.128125</v>
      </c>
      <c r="HJ10" s="35">
        <v>0.56406250000000002</v>
      </c>
      <c r="HK10" s="36">
        <v>7.6800000000000015</v>
      </c>
      <c r="HL10" s="36">
        <v>2</v>
      </c>
      <c r="HM10" s="35">
        <v>0</v>
      </c>
      <c r="HN10" s="35">
        <v>60</v>
      </c>
      <c r="HO10" s="35">
        <v>33.333333333333336</v>
      </c>
      <c r="HP10" s="35">
        <v>23.333333333333332</v>
      </c>
      <c r="HQ10" s="35">
        <v>7.7777777777777777</v>
      </c>
      <c r="HR10" s="35">
        <v>40</v>
      </c>
      <c r="HS10" s="35">
        <v>40</v>
      </c>
      <c r="HT10" s="35">
        <v>20</v>
      </c>
      <c r="HU10" s="35">
        <v>40</v>
      </c>
      <c r="HV10" s="35">
        <v>8</v>
      </c>
      <c r="HW10" s="35">
        <v>70</v>
      </c>
      <c r="HX10" s="35">
        <v>38.888888888888886</v>
      </c>
      <c r="HY10" s="35">
        <v>27.222222222222218</v>
      </c>
      <c r="HZ10" s="35">
        <v>9.0740740740740726</v>
      </c>
      <c r="IA10" s="35">
        <v>40</v>
      </c>
      <c r="IB10" s="35">
        <v>40</v>
      </c>
      <c r="IC10" s="35">
        <v>20</v>
      </c>
      <c r="ID10" s="35">
        <v>40</v>
      </c>
      <c r="IE10" s="35">
        <v>8</v>
      </c>
      <c r="IF10" s="35">
        <v>15</v>
      </c>
      <c r="IG10" s="35">
        <v>3.75</v>
      </c>
      <c r="IH10" s="35">
        <v>8.64</v>
      </c>
      <c r="II10" s="35">
        <v>4.32</v>
      </c>
      <c r="IJ10" s="35">
        <v>19.200000000000003</v>
      </c>
      <c r="IK10" s="35">
        <v>10.666666666666668</v>
      </c>
      <c r="IL10" s="35">
        <v>7.4666666666666668</v>
      </c>
      <c r="IM10" s="35">
        <v>2.4888888888888889</v>
      </c>
      <c r="IN10" s="35">
        <v>32.400000000000006</v>
      </c>
      <c r="IO10" s="35">
        <v>32.400000000000006</v>
      </c>
      <c r="IP10" s="35">
        <v>16.200000000000003</v>
      </c>
      <c r="IQ10" s="35">
        <v>32.400000000000006</v>
      </c>
      <c r="IR10" s="35">
        <v>6.4800000000000013</v>
      </c>
      <c r="IS10" s="35">
        <v>22.400000000000006</v>
      </c>
      <c r="IT10" s="35">
        <v>12.444444444444446</v>
      </c>
      <c r="IU10" s="35">
        <v>8.7111111111111121</v>
      </c>
      <c r="IV10" s="35">
        <v>2.9037037037037039</v>
      </c>
      <c r="IW10" s="35">
        <v>32.400000000000006</v>
      </c>
      <c r="IX10" s="35">
        <v>32.400000000000006</v>
      </c>
      <c r="IY10" s="35">
        <v>16.200000000000003</v>
      </c>
      <c r="IZ10" s="35">
        <v>32.400000000000006</v>
      </c>
      <c r="JA10" s="35">
        <v>6.4800000000000013</v>
      </c>
      <c r="JB10" s="35">
        <v>15</v>
      </c>
      <c r="JC10" s="35">
        <v>3.75</v>
      </c>
      <c r="JD10" s="35">
        <v>18</v>
      </c>
      <c r="JE10" s="35">
        <v>9</v>
      </c>
      <c r="JF10" s="35">
        <v>0</v>
      </c>
      <c r="JG10" s="35">
        <v>60</v>
      </c>
      <c r="JH10" s="35">
        <v>30</v>
      </c>
      <c r="JI10" s="35">
        <v>30</v>
      </c>
      <c r="JJ10" s="35">
        <v>40</v>
      </c>
      <c r="JK10" s="35">
        <v>0.98876953125</v>
      </c>
      <c r="JL10" s="35">
        <v>2.1075056052866707</v>
      </c>
      <c r="JM10" s="35">
        <v>3.0174851417541504</v>
      </c>
      <c r="JN10" s="35">
        <v>2.9708693673190716</v>
      </c>
      <c r="JO10" s="35">
        <v>2.2525405883789063</v>
      </c>
      <c r="JP10" s="35">
        <v>7.5084686279296875</v>
      </c>
      <c r="JQ10" s="35">
        <v>3.4767591328242213</v>
      </c>
      <c r="JR10" s="35">
        <v>5.6800657510757446</v>
      </c>
      <c r="JS10" s="35">
        <v>25.633343316745989</v>
      </c>
      <c r="JT10" s="35">
        <v>2.1443382390127956</v>
      </c>
      <c r="JU10" s="35">
        <v>12.65625</v>
      </c>
      <c r="JV10" s="35">
        <v>31.640625</v>
      </c>
      <c r="JW10" s="35">
        <v>1.3075848379102815</v>
      </c>
      <c r="JX10" s="35">
        <v>9.8997739706053487</v>
      </c>
      <c r="JY10" s="35">
        <v>25.633343316745989</v>
      </c>
      <c r="JZ10" s="35">
        <v>1.4856622667273556</v>
      </c>
      <c r="KA10" s="35">
        <v>7.6747706971322343</v>
      </c>
      <c r="KB10" s="35">
        <v>20.608180575632847</v>
      </c>
      <c r="KC10" s="35">
        <v>1.6792153441561728</v>
      </c>
      <c r="KD10" s="35">
        <v>5.4268824039940089</v>
      </c>
      <c r="KE10" s="35">
        <v>5.8929464605472841</v>
      </c>
      <c r="KF10" s="35">
        <v>16.432254553449162</v>
      </c>
      <c r="KG10" s="35">
        <v>1.8888888888888888</v>
      </c>
      <c r="KH10" s="35">
        <v>4.1669424034222482</v>
      </c>
      <c r="KI10" s="35">
        <v>4.4781549876159294</v>
      </c>
      <c r="KJ10" s="35">
        <v>12.986649464086197</v>
      </c>
      <c r="KK10" s="35">
        <v>1.6792153441561728</v>
      </c>
      <c r="KL10" s="35">
        <v>3.1665337589475833</v>
      </c>
      <c r="KM10" s="35">
        <v>3.3650982720214704</v>
      </c>
      <c r="KN10" s="35">
        <v>10.165401030064857</v>
      </c>
      <c r="KO10" s="35">
        <v>1.4856622667273556</v>
      </c>
      <c r="KP10" s="35">
        <v>2.3794838075055149</v>
      </c>
      <c r="KQ10" s="35">
        <v>2.4981235396517394</v>
      </c>
      <c r="KR10" s="35">
        <v>7.8745198532500478</v>
      </c>
      <c r="KS10" s="35">
        <v>1.3075848379102815</v>
      </c>
      <c r="KT10" s="35">
        <v>1.7664400951294859</v>
      </c>
      <c r="KU10" s="35">
        <v>1.8301126602008719</v>
      </c>
      <c r="KV10" s="35">
        <v>6.031053084752874</v>
      </c>
      <c r="KW10" s="35">
        <v>1.1443382390127954</v>
      </c>
      <c r="KX10" s="35">
        <v>1.2940850723633883</v>
      </c>
      <c r="KY10" s="35">
        <v>1.321460307233514</v>
      </c>
      <c r="KZ10" s="35">
        <v>4.5621843940204645</v>
      </c>
      <c r="LA10" s="35">
        <v>0.99527765134274004</v>
      </c>
      <c r="LB10" s="35">
        <v>0.93441354431367618</v>
      </c>
      <c r="LC10" s="35">
        <v>0.93913716885887322</v>
      </c>
      <c r="LD10" s="35">
        <v>3.4043722371134146</v>
      </c>
      <c r="LE10" s="35">
        <v>0.8597582562079602</v>
      </c>
      <c r="LF10" s="35">
        <v>0.66407026056444496</v>
      </c>
      <c r="LG10" s="35">
        <v>0.6558345111620445</v>
      </c>
      <c r="LH10" s="35">
        <v>2.5025264241709593</v>
      </c>
      <c r="LI10" s="35">
        <v>0.73713523491630029</v>
      </c>
      <c r="LJ10" s="35">
        <v>0.46374503017884611</v>
      </c>
      <c r="LK10" s="35">
        <v>0.4491863965399755</v>
      </c>
      <c r="LL10" s="35">
        <v>1.8092229860637898</v>
      </c>
      <c r="LM10" s="35">
        <v>0.62676376877560303</v>
      </c>
      <c r="LN10" s="35">
        <v>0.31762274701016618</v>
      </c>
      <c r="LO10" s="35">
        <v>0.3010658590894742</v>
      </c>
      <c r="LP10" s="35">
        <v>1.283957340234521</v>
      </c>
      <c r="LQ10" s="35">
        <v>0.52799903909371371</v>
      </c>
      <c r="LR10" s="35">
        <v>0.21288571054592076</v>
      </c>
      <c r="LS10" s="35">
        <v>3.125</v>
      </c>
      <c r="LT10" s="35">
        <v>17.634217114246702</v>
      </c>
      <c r="LU10" s="35">
        <v>9.5367431640625</v>
      </c>
      <c r="LV10" s="35">
        <v>38.737824305871641</v>
      </c>
      <c r="LW10" s="35">
        <v>23.73046875</v>
      </c>
      <c r="LX10" s="35">
        <v>49.957498862084663</v>
      </c>
      <c r="LY10" s="35">
        <v>51.2908935546875</v>
      </c>
      <c r="LZ10" s="35">
        <v>11.299044151115158</v>
      </c>
      <c r="MA10" s="35">
        <v>100</v>
      </c>
      <c r="MB10" s="35">
        <v>12.768263541192534</v>
      </c>
      <c r="MC10" s="35">
        <v>81.014023322061405</v>
      </c>
      <c r="MD10" s="35">
        <v>13.370960400546201</v>
      </c>
      <c r="ME10" s="35">
        <v>65.132027498296409</v>
      </c>
      <c r="MF10" s="35">
        <v>15.112938097405555</v>
      </c>
      <c r="MG10" s="35">
        <v>51.93403908250599</v>
      </c>
      <c r="MH10" s="35">
        <v>17</v>
      </c>
      <c r="MI10" s="35">
        <v>41.044225466741565</v>
      </c>
      <c r="MJ10" s="35">
        <v>15.112938097405555</v>
      </c>
      <c r="MK10" s="35">
        <v>32.127687206130908</v>
      </c>
      <c r="ML10" s="35">
        <v>13.370960400546201</v>
      </c>
      <c r="MM10" s="35">
        <v>24.887371388049534</v>
      </c>
      <c r="MN10" s="35">
        <v>11.768263541192534</v>
      </c>
      <c r="MO10" s="35">
        <v>19.061106045638713</v>
      </c>
      <c r="MP10" s="35">
        <v>10.299044151115158</v>
      </c>
      <c r="MQ10" s="35">
        <v>14.418755615669616</v>
      </c>
      <c r="MR10" s="35">
        <v>8.9574988620846607</v>
      </c>
      <c r="MS10" s="35">
        <v>10.759497440753508</v>
      </c>
      <c r="MT10" s="35">
        <v>7.7378243058716416</v>
      </c>
      <c r="MU10" s="35">
        <v>7.9092193158983397</v>
      </c>
      <c r="MV10" s="35">
        <v>6.6342171142467024</v>
      </c>
      <c r="MW10" s="35">
        <v>5.7180380794114836</v>
      </c>
      <c r="MX10" s="35">
        <v>5.6408739189804269</v>
      </c>
      <c r="MY10" s="35">
        <v>4.0579392481486094</v>
      </c>
      <c r="MZ10" s="35">
        <v>4.7519913518434231</v>
      </c>
      <c r="NA10" s="35">
        <v>2.8205376971088865</v>
      </c>
      <c r="NB10" s="35">
        <v>3.9617660446062817</v>
      </c>
      <c r="NC10" s="35">
        <v>1.9149593833762957</v>
      </c>
      <c r="ND10" s="35">
        <v>3.2643946290395984</v>
      </c>
      <c r="NE10" s="35">
        <v>1.2658441144072095</v>
      </c>
      <c r="NF10" s="35">
        <v>2.6540737369139733</v>
      </c>
      <c r="NG10" s="35">
        <v>0.81146936066415609</v>
      </c>
      <c r="NH10" s="35">
        <v>2.125</v>
      </c>
      <c r="NI10" s="35">
        <v>0.50199511259579543</v>
      </c>
      <c r="NJ10" s="35">
        <v>1.6713700500682751</v>
      </c>
      <c r="NK10" s="35">
        <v>0.29782978196310489</v>
      </c>
      <c r="NL10" s="35">
        <v>1.2873805188893952</v>
      </c>
      <c r="NM10" s="35">
        <v>0.16811714751177356</v>
      </c>
      <c r="NN10" s="35">
        <v>0.9672280382339552</v>
      </c>
      <c r="NO10" s="35">
        <v>8.9344344990804431E-2</v>
      </c>
      <c r="NP10" s="35">
        <v>0.70510923987255336</v>
      </c>
      <c r="NQ10" s="35">
        <v>4.4070901517326351E-2</v>
      </c>
      <c r="NR10" s="35">
        <v>0.49522075557578521</v>
      </c>
      <c r="NS10" s="35">
        <v>1.9778814287612648E-2</v>
      </c>
      <c r="NT10" s="35">
        <v>0.33175921711424688</v>
      </c>
      <c r="NU10" s="35">
        <v>7.8436736343093037E-3</v>
      </c>
      <c r="NV10" s="35">
        <v>0.20892125625853425</v>
      </c>
      <c r="NW10" s="35">
        <v>2.6268304298714619E-3</v>
      </c>
      <c r="NX10" s="35">
        <v>0.1209035047792444</v>
      </c>
      <c r="NY10" s="35">
        <v>6.8860783620822423E-4</v>
      </c>
      <c r="NZ10" s="35">
        <v>6.1902594446973151E-2</v>
      </c>
    </row>
    <row r="11" spans="1:391" s="4" customFormat="1" ht="14.25" x14ac:dyDescent="0.2">
      <c r="A11" s="4">
        <v>5</v>
      </c>
      <c r="B11" s="16" t="s">
        <v>664</v>
      </c>
      <c r="C11" s="16" t="s">
        <v>445</v>
      </c>
      <c r="D11" s="16" t="s">
        <v>119</v>
      </c>
      <c r="E11" s="16" t="s">
        <v>445</v>
      </c>
      <c r="F11" s="31" t="s">
        <v>201</v>
      </c>
      <c r="G11" s="31" t="s">
        <v>202</v>
      </c>
      <c r="H11" s="32">
        <v>-1</v>
      </c>
      <c r="I11" s="33">
        <v>27.91</v>
      </c>
      <c r="J11" s="34">
        <v>22.172499999999999</v>
      </c>
      <c r="K11" s="32" t="s">
        <v>203</v>
      </c>
      <c r="L11" s="16">
        <v>0</v>
      </c>
      <c r="M11" s="16">
        <v>2</v>
      </c>
      <c r="N11" s="16" t="s">
        <v>445</v>
      </c>
      <c r="O11" s="16">
        <v>0</v>
      </c>
      <c r="P11" s="16">
        <v>0</v>
      </c>
      <c r="Q11" s="16">
        <v>1</v>
      </c>
      <c r="R11" s="16">
        <v>2</v>
      </c>
      <c r="S11" s="16">
        <v>0</v>
      </c>
      <c r="T11" s="16">
        <v>40</v>
      </c>
      <c r="U11" s="16">
        <v>0</v>
      </c>
      <c r="V11" s="16">
        <v>40</v>
      </c>
      <c r="W11" s="16">
        <v>0</v>
      </c>
      <c r="X11" s="16" t="s">
        <v>445</v>
      </c>
      <c r="Y11" s="35">
        <v>896.69566648279999</v>
      </c>
      <c r="Z11" s="35">
        <v>878.68510648279994</v>
      </c>
      <c r="AA11" s="35">
        <v>896.69566648279999</v>
      </c>
      <c r="AB11" s="35">
        <v>878.68510648279994</v>
      </c>
      <c r="AC11" s="35">
        <v>1458.3290914827999</v>
      </c>
      <c r="AD11" s="35">
        <v>1440.3185267987999</v>
      </c>
      <c r="AE11" s="35">
        <v>1422.3079621147999</v>
      </c>
      <c r="AF11" s="35">
        <v>1404.2973974307999</v>
      </c>
      <c r="AG11" s="35">
        <v>1386.2868327468</v>
      </c>
      <c r="AH11" s="35">
        <v>1296.2762680627998</v>
      </c>
      <c r="AI11" s="35">
        <v>1278.2657033787998</v>
      </c>
      <c r="AJ11" s="35">
        <v>1260.2551386947998</v>
      </c>
      <c r="AK11" s="35">
        <v>1242.2445740107999</v>
      </c>
      <c r="AL11" s="35">
        <v>1222.2394886303998</v>
      </c>
      <c r="AM11" s="35">
        <v>1204.2289239463998</v>
      </c>
      <c r="AN11" s="35">
        <v>1112.1815798299999</v>
      </c>
      <c r="AO11" s="35">
        <v>901.73438897119991</v>
      </c>
      <c r="AP11" s="35">
        <v>883.72382428719993</v>
      </c>
      <c r="AQ11" s="35">
        <v>865.71325960319996</v>
      </c>
      <c r="AR11" s="35">
        <v>847.70269491919998</v>
      </c>
      <c r="AS11" s="35">
        <v>827.69760953879995</v>
      </c>
      <c r="AT11" s="35">
        <v>809.68704485479998</v>
      </c>
      <c r="AU11" s="35">
        <v>791.6764801708</v>
      </c>
      <c r="AV11" s="35">
        <v>773.66591548680003</v>
      </c>
      <c r="AW11" s="35">
        <v>755.65535080280006</v>
      </c>
      <c r="AX11" s="35">
        <v>739.68156555119981</v>
      </c>
      <c r="AY11" s="35">
        <v>721.67100086719984</v>
      </c>
      <c r="AZ11" s="35">
        <v>703.66043618319986</v>
      </c>
      <c r="BA11" s="35">
        <v>685.64987149919989</v>
      </c>
      <c r="BB11" s="35">
        <v>665.64478611879986</v>
      </c>
      <c r="BC11" s="35">
        <v>647.63422143479988</v>
      </c>
      <c r="BD11" s="35">
        <v>629.62365675079991</v>
      </c>
      <c r="BE11" s="35">
        <v>611.61309206679994</v>
      </c>
      <c r="BF11" s="35">
        <v>593.60252738279996</v>
      </c>
      <c r="BG11" s="35">
        <v>609.61857137039988</v>
      </c>
      <c r="BH11" s="35">
        <v>591.6080066863999</v>
      </c>
      <c r="BI11" s="35">
        <v>555.58687751160005</v>
      </c>
      <c r="BJ11" s="35">
        <v>573.59744219560002</v>
      </c>
      <c r="BK11" s="35">
        <v>903.75003903559991</v>
      </c>
      <c r="BL11" s="35">
        <v>885.73947435159994</v>
      </c>
      <c r="BM11" s="35">
        <v>867.72890966759996</v>
      </c>
      <c r="BN11" s="35">
        <v>849.71834498359999</v>
      </c>
      <c r="BO11" s="35">
        <v>829.71325960319996</v>
      </c>
      <c r="BP11" s="35">
        <v>811.70269491919998</v>
      </c>
      <c r="BQ11" s="35">
        <v>793.69213023520001</v>
      </c>
      <c r="BR11" s="35">
        <v>775.68156555120004</v>
      </c>
      <c r="BS11" s="35">
        <v>757.67100086720006</v>
      </c>
      <c r="BT11" s="35">
        <v>741.69721561559982</v>
      </c>
      <c r="BU11" s="35">
        <v>723.68665093159984</v>
      </c>
      <c r="BV11" s="35">
        <v>705.67608624759987</v>
      </c>
      <c r="BW11" s="35">
        <v>687.6655215635999</v>
      </c>
      <c r="BX11" s="35">
        <v>667.66043618319986</v>
      </c>
      <c r="BY11" s="35">
        <v>649.64987149919989</v>
      </c>
      <c r="BZ11" s="35">
        <v>631.63930681519992</v>
      </c>
      <c r="CA11" s="35">
        <v>613.62874213119994</v>
      </c>
      <c r="CB11" s="35">
        <v>595.61817744719997</v>
      </c>
      <c r="CC11" s="35">
        <v>611.63422143479988</v>
      </c>
      <c r="CD11" s="35">
        <v>593.62365675079991</v>
      </c>
      <c r="CE11" s="35">
        <v>553.57122744720004</v>
      </c>
      <c r="CF11" s="35">
        <v>571.58179213120002</v>
      </c>
      <c r="CG11" s="35">
        <v>163.06064842000001</v>
      </c>
      <c r="CH11" s="35">
        <v>255.10799253639999</v>
      </c>
      <c r="CI11" s="35">
        <v>237.09742785239999</v>
      </c>
      <c r="CJ11" s="35">
        <v>219.08686316839999</v>
      </c>
      <c r="CK11" s="35">
        <v>201.07629848439998</v>
      </c>
      <c r="CL11" s="35">
        <v>55.0547752254</v>
      </c>
      <c r="CM11" s="35">
        <v>57.070425289800006</v>
      </c>
      <c r="CN11" s="35">
        <v>69.070425289799999</v>
      </c>
      <c r="CO11" s="35">
        <v>71.086075354200005</v>
      </c>
      <c r="CP11" s="35">
        <v>81.070425289799999</v>
      </c>
      <c r="CQ11" s="35">
        <v>83.086075354200005</v>
      </c>
      <c r="CR11" s="35">
        <v>85.101725418599997</v>
      </c>
      <c r="CS11" s="35">
        <v>95.086075354200005</v>
      </c>
      <c r="CT11" s="35">
        <v>97.101725418599997</v>
      </c>
      <c r="CU11" s="35">
        <v>99.117375483000004</v>
      </c>
      <c r="CV11" s="35">
        <v>109.1017254186</v>
      </c>
      <c r="CW11" s="35">
        <v>111.117375483</v>
      </c>
      <c r="CX11" s="35">
        <v>113.13302554740001</v>
      </c>
      <c r="CY11" s="35">
        <v>123.117375483</v>
      </c>
      <c r="CZ11" s="35">
        <v>125.13302554740001</v>
      </c>
      <c r="DA11" s="35">
        <v>127.1486756118</v>
      </c>
      <c r="DB11" s="35">
        <v>137.1330255474</v>
      </c>
      <c r="DC11" s="35">
        <v>139.1486756118</v>
      </c>
      <c r="DD11" s="35">
        <v>141.16432567620001</v>
      </c>
      <c r="DE11" s="35">
        <v>151.1486756118</v>
      </c>
      <c r="DF11" s="35">
        <v>153.16432567620001</v>
      </c>
      <c r="DG11" s="35">
        <v>155.17997574060001</v>
      </c>
      <c r="DH11" s="35">
        <v>165.16432567620001</v>
      </c>
      <c r="DI11" s="35">
        <v>167.17997574060001</v>
      </c>
      <c r="DJ11" s="35">
        <v>169.19562580499999</v>
      </c>
      <c r="DK11" s="35">
        <v>179.17997574060001</v>
      </c>
      <c r="DL11" s="35">
        <v>181.19562580499999</v>
      </c>
      <c r="DM11" s="35">
        <v>183.2112758694</v>
      </c>
      <c r="DN11" s="35">
        <v>193.19562580499999</v>
      </c>
      <c r="DO11" s="35">
        <v>195.2112758694</v>
      </c>
      <c r="DP11" s="35">
        <v>197.2269259338</v>
      </c>
      <c r="DQ11" s="35">
        <v>207.2112758694</v>
      </c>
      <c r="DR11" s="35">
        <v>209.2269259338</v>
      </c>
      <c r="DS11" s="35">
        <v>211.24257599820001</v>
      </c>
      <c r="DT11" s="35">
        <v>221.2269259338</v>
      </c>
      <c r="DU11" s="35">
        <v>223.24257599820001</v>
      </c>
      <c r="DV11" s="35">
        <v>225.25822606260002</v>
      </c>
      <c r="DW11" s="35">
        <v>235.24257599820001</v>
      </c>
      <c r="DX11" s="35">
        <v>237.25822606260002</v>
      </c>
      <c r="DY11" s="35">
        <v>239.27387612699999</v>
      </c>
      <c r="DZ11" s="35">
        <v>249.25822606260002</v>
      </c>
      <c r="EA11" s="35">
        <v>251.27387612699999</v>
      </c>
      <c r="EB11" s="35">
        <v>253.2895261914</v>
      </c>
      <c r="EC11" s="35">
        <v>263.27387612699999</v>
      </c>
      <c r="ED11" s="35">
        <v>265.2895261914</v>
      </c>
      <c r="EE11" s="35">
        <v>267.30517625580001</v>
      </c>
      <c r="EF11" s="35">
        <v>277.2895261914</v>
      </c>
      <c r="EG11" s="35">
        <v>279.30517625580001</v>
      </c>
      <c r="EH11" s="35">
        <v>281.32082632020001</v>
      </c>
      <c r="EI11" s="35">
        <v>291.30517625580001</v>
      </c>
      <c r="EJ11" s="35">
        <v>293.32082632020001</v>
      </c>
      <c r="EK11" s="35">
        <v>295.33647638460002</v>
      </c>
      <c r="EL11" s="35">
        <v>305.32082632020001</v>
      </c>
      <c r="EM11" s="35">
        <v>307.33647638460002</v>
      </c>
      <c r="EN11" s="35">
        <v>309.35212644900002</v>
      </c>
      <c r="EO11" s="35">
        <v>319.33647638460002</v>
      </c>
      <c r="EP11" s="35">
        <v>321.35212644900002</v>
      </c>
      <c r="EQ11" s="35">
        <v>323.36777651340003</v>
      </c>
      <c r="ER11" s="35">
        <v>333.35212644900002</v>
      </c>
      <c r="ES11" s="35">
        <v>335.36777651340003</v>
      </c>
      <c r="ET11" s="35">
        <v>55.0547752254</v>
      </c>
      <c r="EU11" s="35">
        <v>57.070425289800006</v>
      </c>
      <c r="EV11" s="35">
        <v>69.070425289799999</v>
      </c>
      <c r="EW11" s="35">
        <v>71.086075354200005</v>
      </c>
      <c r="EX11" s="35">
        <v>81.070425289799999</v>
      </c>
      <c r="EY11" s="35">
        <v>83.086075354200005</v>
      </c>
      <c r="EZ11" s="35">
        <v>85.101725418599997</v>
      </c>
      <c r="FA11" s="35">
        <v>95.086075354200005</v>
      </c>
      <c r="FB11" s="35">
        <v>97.101725418599997</v>
      </c>
      <c r="FC11" s="35">
        <v>99.117375483000004</v>
      </c>
      <c r="FD11" s="35">
        <v>109.1017254186</v>
      </c>
      <c r="FE11" s="35">
        <v>111.117375483</v>
      </c>
      <c r="FF11" s="35">
        <v>113.13302554740001</v>
      </c>
      <c r="FG11" s="35">
        <v>123.117375483</v>
      </c>
      <c r="FH11" s="35">
        <v>125.13302554740001</v>
      </c>
      <c r="FI11" s="35">
        <v>127.1486756118</v>
      </c>
      <c r="FJ11" s="35">
        <v>137.1330255474</v>
      </c>
      <c r="FK11" s="35">
        <v>139.1486756118</v>
      </c>
      <c r="FL11" s="35">
        <v>141.16432567620001</v>
      </c>
      <c r="FM11" s="35">
        <v>149.1330255474</v>
      </c>
      <c r="FN11" s="35">
        <v>151.1486756118</v>
      </c>
      <c r="FO11" s="35">
        <v>153.16432567620001</v>
      </c>
      <c r="FP11" s="35">
        <v>155.17997574060001</v>
      </c>
      <c r="FQ11" s="35">
        <v>163.1486756118</v>
      </c>
      <c r="FR11" s="35">
        <v>165.16432567620001</v>
      </c>
      <c r="FS11" s="35">
        <v>167.17997574060001</v>
      </c>
      <c r="FT11" s="35">
        <v>169.19562580499999</v>
      </c>
      <c r="FU11" s="35">
        <v>177.16432567620001</v>
      </c>
      <c r="FV11" s="35">
        <v>179.17997574060001</v>
      </c>
      <c r="FW11" s="35">
        <v>181.19562580499999</v>
      </c>
      <c r="FX11" s="35">
        <v>183.2112758694</v>
      </c>
      <c r="FY11" s="35">
        <v>191.17997574060001</v>
      </c>
      <c r="FZ11" s="35">
        <v>193.19562580499999</v>
      </c>
      <c r="GA11" s="35">
        <v>195.2112758694</v>
      </c>
      <c r="GB11" s="35">
        <v>197.2269259338</v>
      </c>
      <c r="GC11" s="35">
        <v>205.19562580499999</v>
      </c>
      <c r="GD11" s="35">
        <v>207.2112758694</v>
      </c>
      <c r="GE11" s="35">
        <v>209.2269259338</v>
      </c>
      <c r="GF11" s="35">
        <v>211.24257599820001</v>
      </c>
      <c r="GG11" s="35">
        <v>219.2112758694</v>
      </c>
      <c r="GH11" s="35">
        <v>221.2269259338</v>
      </c>
      <c r="GI11" s="35">
        <v>223.24257599820001</v>
      </c>
      <c r="GJ11" s="35">
        <v>225.25822606260002</v>
      </c>
      <c r="GK11" s="35">
        <v>233.2269259338</v>
      </c>
      <c r="GL11" s="35">
        <v>235.24257599820001</v>
      </c>
      <c r="GM11" s="35">
        <v>237.25822606260002</v>
      </c>
      <c r="GN11" s="35">
        <v>239.27387612699999</v>
      </c>
      <c r="GO11" s="35">
        <v>247.24257599820001</v>
      </c>
      <c r="GP11" s="35">
        <v>249.25822606260002</v>
      </c>
      <c r="GQ11" s="35">
        <v>251.27387612699999</v>
      </c>
      <c r="GR11" s="35">
        <v>253.2895261914</v>
      </c>
      <c r="GS11" s="35">
        <v>261.25822606259999</v>
      </c>
      <c r="GT11" s="35">
        <v>263.27387612699999</v>
      </c>
      <c r="GU11" s="35">
        <v>265.2895261914</v>
      </c>
      <c r="GV11" s="35">
        <v>267.30517625580001</v>
      </c>
      <c r="GW11" s="35">
        <v>275.27387612699999</v>
      </c>
      <c r="GX11" s="35">
        <v>277.2895261914</v>
      </c>
      <c r="GY11" s="35">
        <v>279.30517625580001</v>
      </c>
      <c r="GZ11" s="35">
        <v>281.32082632020001</v>
      </c>
      <c r="HA11" s="35">
        <v>289.2895261914</v>
      </c>
      <c r="HB11" s="35">
        <v>137.17999999999998</v>
      </c>
      <c r="HC11" s="35">
        <v>13.717999999999998</v>
      </c>
      <c r="HD11" s="35">
        <v>13.717999999999998</v>
      </c>
      <c r="HE11" s="35">
        <v>20.576999999999998</v>
      </c>
      <c r="HF11" s="35">
        <v>30.865499999999997</v>
      </c>
      <c r="HG11" s="35">
        <v>68.589999999999989</v>
      </c>
      <c r="HH11" s="35">
        <v>8.5737499999999986</v>
      </c>
      <c r="HI11" s="35">
        <v>1.0717187499999998</v>
      </c>
      <c r="HJ11" s="35">
        <v>0.53585937499999992</v>
      </c>
      <c r="HK11" s="36">
        <v>6.1440000000000019</v>
      </c>
      <c r="HL11" s="36">
        <v>2</v>
      </c>
      <c r="HM11" s="35">
        <v>0</v>
      </c>
      <c r="HN11" s="35">
        <v>19.200000000000003</v>
      </c>
      <c r="HO11" s="35">
        <v>10.666666666666668</v>
      </c>
      <c r="HP11" s="35">
        <v>7.4666666666666668</v>
      </c>
      <c r="HQ11" s="35">
        <v>2.4888888888888889</v>
      </c>
      <c r="HR11" s="35">
        <v>32.400000000000006</v>
      </c>
      <c r="HS11" s="35">
        <v>32.400000000000006</v>
      </c>
      <c r="HT11" s="35">
        <v>16.200000000000003</v>
      </c>
      <c r="HU11" s="35">
        <v>32.400000000000006</v>
      </c>
      <c r="HV11" s="35">
        <v>6.4800000000000013</v>
      </c>
      <c r="HW11" s="35">
        <v>22.400000000000006</v>
      </c>
      <c r="HX11" s="35">
        <v>12.444444444444446</v>
      </c>
      <c r="HY11" s="35">
        <v>8.7111111111111121</v>
      </c>
      <c r="HZ11" s="35">
        <v>2.9037037037037039</v>
      </c>
      <c r="IA11" s="35">
        <v>32.400000000000006</v>
      </c>
      <c r="IB11" s="35">
        <v>32.400000000000006</v>
      </c>
      <c r="IC11" s="35">
        <v>16.200000000000003</v>
      </c>
      <c r="ID11" s="35">
        <v>32.400000000000006</v>
      </c>
      <c r="IE11" s="35">
        <v>6.4800000000000013</v>
      </c>
      <c r="IF11" s="35">
        <v>15</v>
      </c>
      <c r="IG11" s="35">
        <v>3.75</v>
      </c>
      <c r="IH11" s="35">
        <v>21.599999999999998</v>
      </c>
      <c r="II11" s="35">
        <v>10.799999999999999</v>
      </c>
      <c r="IJ11" s="35">
        <v>48</v>
      </c>
      <c r="IK11" s="35">
        <v>26.666666666666664</v>
      </c>
      <c r="IL11" s="35">
        <v>18.666666666666664</v>
      </c>
      <c r="IM11" s="35">
        <v>6.2222222222222214</v>
      </c>
      <c r="IN11" s="35">
        <v>36</v>
      </c>
      <c r="IO11" s="35">
        <v>36</v>
      </c>
      <c r="IP11" s="35">
        <v>18</v>
      </c>
      <c r="IQ11" s="35">
        <v>36</v>
      </c>
      <c r="IR11" s="35">
        <v>7.2</v>
      </c>
      <c r="IS11" s="35">
        <v>56</v>
      </c>
      <c r="IT11" s="35">
        <v>31.111111111111111</v>
      </c>
      <c r="IU11" s="35">
        <v>21.777777777777775</v>
      </c>
      <c r="IV11" s="35">
        <v>7.2592592592592586</v>
      </c>
      <c r="IW11" s="35">
        <v>36</v>
      </c>
      <c r="IX11" s="35">
        <v>36</v>
      </c>
      <c r="IY11" s="35">
        <v>18</v>
      </c>
      <c r="IZ11" s="35">
        <v>36</v>
      </c>
      <c r="JA11" s="35">
        <v>7.2</v>
      </c>
      <c r="JB11" s="35">
        <v>15</v>
      </c>
      <c r="JC11" s="35">
        <v>3.75</v>
      </c>
      <c r="JD11" s="35">
        <v>17.28</v>
      </c>
      <c r="JE11" s="35">
        <v>8.64</v>
      </c>
      <c r="JF11" s="35">
        <v>0</v>
      </c>
      <c r="JG11" s="35">
        <v>60</v>
      </c>
      <c r="JH11" s="35">
        <v>30</v>
      </c>
      <c r="JI11" s="35">
        <v>30</v>
      </c>
      <c r="JJ11" s="35">
        <v>40</v>
      </c>
      <c r="JK11" s="35">
        <v>1.831817626953125</v>
      </c>
      <c r="JL11" s="35">
        <v>3.9085542785616756</v>
      </c>
      <c r="JM11" s="35">
        <v>5.5902637541294098</v>
      </c>
      <c r="JN11" s="35">
        <v>6.6844560764679102</v>
      </c>
      <c r="JO11" s="35">
        <v>4.1731095314025879</v>
      </c>
      <c r="JP11" s="35">
        <v>13.910365104675293</v>
      </c>
      <c r="JQ11" s="35">
        <v>8.2393747155211656</v>
      </c>
      <c r="JR11" s="35">
        <v>10.523023046553135</v>
      </c>
      <c r="JS11" s="35">
        <v>47.488933104557965</v>
      </c>
      <c r="JT11" s="35">
        <v>3.5747610377787895</v>
      </c>
      <c r="JU11" s="35">
        <v>23.447265625</v>
      </c>
      <c r="JV11" s="35">
        <v>58.6181640625</v>
      </c>
      <c r="JW11" s="35">
        <v>2.9420658852981334</v>
      </c>
      <c r="JX11" s="35">
        <v>18.340553474863764</v>
      </c>
      <c r="JY11" s="35">
        <v>47.488933104557965</v>
      </c>
      <c r="JZ11" s="35">
        <v>3.3427401001365502</v>
      </c>
      <c r="KA11" s="35">
        <v>14.218460218992666</v>
      </c>
      <c r="KB11" s="35">
        <v>38.179198736184006</v>
      </c>
      <c r="KC11" s="35">
        <v>3.7782345243513888</v>
      </c>
      <c r="KD11" s="35">
        <v>10.917410842418233</v>
      </c>
      <c r="KE11" s="35">
        <v>30.44278023366623</v>
      </c>
      <c r="KF11" s="35">
        <v>4.25</v>
      </c>
      <c r="KG11" s="35">
        <v>8.296334973198956</v>
      </c>
      <c r="KH11" s="35">
        <v>24.059371422276975</v>
      </c>
      <c r="KI11" s="35">
        <v>3.7782345243513888</v>
      </c>
      <c r="KJ11" s="35">
        <v>6.2342599931508875</v>
      </c>
      <c r="KK11" s="35">
        <v>18.832660395976639</v>
      </c>
      <c r="KL11" s="35">
        <v>3.3427401001365502</v>
      </c>
      <c r="KM11" s="35">
        <v>4.6280822675183844</v>
      </c>
      <c r="KN11" s="35">
        <v>14.588520191090559</v>
      </c>
      <c r="KO11" s="35">
        <v>2.9420658852981334</v>
      </c>
      <c r="KP11" s="35">
        <v>3.3905096428567076</v>
      </c>
      <c r="KQ11" s="35">
        <v>11.173270413959607</v>
      </c>
      <c r="KR11" s="35">
        <v>2.5747610377787895</v>
      </c>
      <c r="KS11" s="35">
        <v>2.4481683623978912</v>
      </c>
      <c r="KT11" s="35">
        <v>8.4520098225641469</v>
      </c>
      <c r="KU11" s="35">
        <v>2.2393747155211652</v>
      </c>
      <c r="KV11" s="35">
        <v>1.7398675481714156</v>
      </c>
      <c r="KW11" s="35">
        <v>6.30701986212138</v>
      </c>
      <c r="KX11" s="35">
        <v>1.9344560764679104</v>
      </c>
      <c r="KY11" s="35">
        <v>1.2150143991512878</v>
      </c>
      <c r="KZ11" s="35">
        <v>4.6362391546562289</v>
      </c>
      <c r="LA11" s="35">
        <v>1.6585542785616756</v>
      </c>
      <c r="LB11" s="35">
        <v>0.83217325470098846</v>
      </c>
      <c r="LC11" s="35">
        <v>3.3518089425456479</v>
      </c>
      <c r="LD11" s="35">
        <v>1.4102184797451067</v>
      </c>
      <c r="LE11" s="35">
        <v>0.55776167258782994</v>
      </c>
      <c r="LF11" s="35">
        <v>2.3786894860363308</v>
      </c>
      <c r="LG11" s="35">
        <v>1.1879978379608558</v>
      </c>
      <c r="LH11" s="35">
        <v>0.36487667083827779</v>
      </c>
      <c r="LI11" s="35">
        <v>1.6533474147359464</v>
      </c>
      <c r="LJ11" s="35">
        <v>0.99044151115157042</v>
      </c>
      <c r="LK11" s="35">
        <v>0.23224428270574216</v>
      </c>
      <c r="LL11" s="35">
        <v>1.1225140330777554</v>
      </c>
      <c r="LM11" s="35">
        <v>0.81609865725989961</v>
      </c>
      <c r="LN11" s="35">
        <v>0.14328557402237305</v>
      </c>
      <c r="LO11" s="35">
        <v>0.74201457975871821</v>
      </c>
      <c r="LP11" s="35">
        <v>0.66351843422849333</v>
      </c>
      <c r="LQ11" s="35">
        <v>8.5292272206392447E-2</v>
      </c>
      <c r="LR11" s="35">
        <v>0.47566844115103485</v>
      </c>
      <c r="LS11" s="35">
        <v>0.98876953125</v>
      </c>
      <c r="LT11" s="35">
        <v>2.1075056052866707</v>
      </c>
      <c r="LU11" s="35">
        <v>3.0174851417541504</v>
      </c>
      <c r="LV11" s="35">
        <v>2.9708693673190716</v>
      </c>
      <c r="LW11" s="35">
        <v>2.2525405883789063</v>
      </c>
      <c r="LX11" s="35">
        <v>7.5084686279296875</v>
      </c>
      <c r="LY11" s="35">
        <v>3.4767591328242213</v>
      </c>
      <c r="LZ11" s="35">
        <v>5.6800657510757446</v>
      </c>
      <c r="MA11" s="35">
        <v>25.633343316745989</v>
      </c>
      <c r="MB11" s="35">
        <v>2.1443382390127956</v>
      </c>
      <c r="MC11" s="35">
        <v>12.65625</v>
      </c>
      <c r="MD11" s="35">
        <v>31.640625</v>
      </c>
      <c r="ME11" s="35">
        <v>1.3075848379102815</v>
      </c>
      <c r="MF11" s="35">
        <v>9.8997739706053487</v>
      </c>
      <c r="MG11" s="35">
        <v>25.633343316745989</v>
      </c>
      <c r="MH11" s="35">
        <v>1.4856622667273556</v>
      </c>
      <c r="MI11" s="35">
        <v>7.6747706971322343</v>
      </c>
      <c r="MJ11" s="35">
        <v>20.608180575632847</v>
      </c>
      <c r="MK11" s="35">
        <v>1.6792153441561728</v>
      </c>
      <c r="ML11" s="35">
        <v>5.4268824039940089</v>
      </c>
      <c r="MM11" s="35">
        <v>5.8929464605472841</v>
      </c>
      <c r="MN11" s="35">
        <v>16.432254553449162</v>
      </c>
      <c r="MO11" s="35">
        <v>1.8888888888888888</v>
      </c>
      <c r="MP11" s="35">
        <v>4.1669424034222482</v>
      </c>
      <c r="MQ11" s="35">
        <v>4.4781549876159294</v>
      </c>
      <c r="MR11" s="35">
        <v>12.986649464086197</v>
      </c>
      <c r="MS11" s="35">
        <v>1.6792153441561728</v>
      </c>
      <c r="MT11" s="35">
        <v>3.1665337589475833</v>
      </c>
      <c r="MU11" s="35">
        <v>3.3650982720214704</v>
      </c>
      <c r="MV11" s="35">
        <v>10.165401030064857</v>
      </c>
      <c r="MW11" s="35">
        <v>1.4856622667273556</v>
      </c>
      <c r="MX11" s="35">
        <v>2.3794838075055149</v>
      </c>
      <c r="MY11" s="35">
        <v>2.4981235396517394</v>
      </c>
      <c r="MZ11" s="35">
        <v>7.8745198532500478</v>
      </c>
      <c r="NA11" s="35">
        <v>1.3075848379102815</v>
      </c>
      <c r="NB11" s="35">
        <v>1.7664400951294859</v>
      </c>
      <c r="NC11" s="35">
        <v>1.8301126602008719</v>
      </c>
      <c r="ND11" s="35">
        <v>6.031053084752874</v>
      </c>
      <c r="NE11" s="35">
        <v>1.1443382390127954</v>
      </c>
      <c r="NF11" s="35">
        <v>1.2940850723633883</v>
      </c>
      <c r="NG11" s="35">
        <v>1.321460307233514</v>
      </c>
      <c r="NH11" s="35">
        <v>4.5621843940204645</v>
      </c>
      <c r="NI11" s="35">
        <v>0.99527765134274004</v>
      </c>
      <c r="NJ11" s="35">
        <v>0.93441354431367618</v>
      </c>
      <c r="NK11" s="35">
        <v>0.93913716885887322</v>
      </c>
      <c r="NL11" s="35">
        <v>3.4043722371134146</v>
      </c>
      <c r="NM11" s="35">
        <v>0.8597582562079602</v>
      </c>
      <c r="NN11" s="35">
        <v>0.66407026056444496</v>
      </c>
      <c r="NO11" s="35">
        <v>0.6558345111620445</v>
      </c>
      <c r="NP11" s="35">
        <v>2.5025264241709593</v>
      </c>
      <c r="NQ11" s="35">
        <v>0.73713523491630029</v>
      </c>
      <c r="NR11" s="35">
        <v>0.46374503017884611</v>
      </c>
      <c r="NS11" s="35">
        <v>0.4491863965399755</v>
      </c>
      <c r="NT11" s="35">
        <v>1.8092229860637898</v>
      </c>
      <c r="NU11" s="35">
        <v>0.62676376877560303</v>
      </c>
      <c r="NV11" s="35">
        <v>0.31762274701016618</v>
      </c>
      <c r="NW11" s="35">
        <v>0.3010658590894742</v>
      </c>
      <c r="NX11" s="35">
        <v>1.283957340234521</v>
      </c>
      <c r="NY11" s="35">
        <v>0.52799903909371371</v>
      </c>
      <c r="NZ11" s="35">
        <v>0.21288571054592076</v>
      </c>
    </row>
    <row r="12" spans="1:391" s="4" customFormat="1" ht="14.25" x14ac:dyDescent="0.2">
      <c r="A12" s="4">
        <v>6</v>
      </c>
      <c r="B12" s="16" t="s">
        <v>664</v>
      </c>
      <c r="C12" s="16" t="s">
        <v>446</v>
      </c>
      <c r="D12" s="16" t="s">
        <v>119</v>
      </c>
      <c r="E12" s="16" t="s">
        <v>446</v>
      </c>
      <c r="F12" s="31" t="s">
        <v>204</v>
      </c>
      <c r="G12" s="31" t="s">
        <v>205</v>
      </c>
      <c r="H12" s="32">
        <v>-1</v>
      </c>
      <c r="I12" s="33">
        <v>27.66</v>
      </c>
      <c r="J12" s="34">
        <v>22.172499999999999</v>
      </c>
      <c r="K12" s="32" t="s">
        <v>206</v>
      </c>
      <c r="L12" s="16">
        <v>0</v>
      </c>
      <c r="M12" s="16">
        <v>2</v>
      </c>
      <c r="N12" s="16" t="s">
        <v>446</v>
      </c>
      <c r="O12" s="16">
        <v>0</v>
      </c>
      <c r="P12" s="16">
        <v>0</v>
      </c>
      <c r="Q12" s="16">
        <v>0</v>
      </c>
      <c r="R12" s="16">
        <v>3</v>
      </c>
      <c r="S12" s="16">
        <v>0</v>
      </c>
      <c r="T12" s="16">
        <v>40</v>
      </c>
      <c r="U12" s="16">
        <v>0</v>
      </c>
      <c r="V12" s="16">
        <v>40</v>
      </c>
      <c r="W12" s="16">
        <v>0</v>
      </c>
      <c r="X12" s="16" t="s">
        <v>446</v>
      </c>
      <c r="Y12" s="35">
        <v>896.69566648279999</v>
      </c>
      <c r="Z12" s="35">
        <v>878.68510648279994</v>
      </c>
      <c r="AA12" s="35">
        <v>896.69566648279999</v>
      </c>
      <c r="AB12" s="35">
        <v>878.68510648279994</v>
      </c>
      <c r="AC12" s="35">
        <v>1458.3290914827999</v>
      </c>
      <c r="AD12" s="35">
        <v>1440.3185267987999</v>
      </c>
      <c r="AE12" s="35">
        <v>1422.3079621147999</v>
      </c>
      <c r="AF12" s="35">
        <v>1404.2973974307999</v>
      </c>
      <c r="AG12" s="35">
        <v>1386.2868327468</v>
      </c>
      <c r="AH12" s="35">
        <v>1296.2762680627998</v>
      </c>
      <c r="AI12" s="35">
        <v>1278.2657033787998</v>
      </c>
      <c r="AJ12" s="35">
        <v>1260.2551386947998</v>
      </c>
      <c r="AK12" s="35">
        <v>1242.2445740107999</v>
      </c>
      <c r="AL12" s="35">
        <v>1222.2394886303998</v>
      </c>
      <c r="AM12" s="35">
        <v>1204.2289239463998</v>
      </c>
      <c r="AN12" s="35">
        <v>1112.1815798299999</v>
      </c>
      <c r="AO12" s="35">
        <v>899.7187389067999</v>
      </c>
      <c r="AP12" s="35">
        <v>881.70817422279993</v>
      </c>
      <c r="AQ12" s="35">
        <v>863.69760953879995</v>
      </c>
      <c r="AR12" s="35">
        <v>845.68704485479998</v>
      </c>
      <c r="AS12" s="35">
        <v>825.68195947439995</v>
      </c>
      <c r="AT12" s="35">
        <v>807.67139479039997</v>
      </c>
      <c r="AU12" s="35">
        <v>789.6608301064</v>
      </c>
      <c r="AV12" s="35">
        <v>771.65026542240003</v>
      </c>
      <c r="AW12" s="35">
        <v>753.63970073840005</v>
      </c>
      <c r="AX12" s="35">
        <v>737.6659154867998</v>
      </c>
      <c r="AY12" s="35">
        <v>719.65535080279983</v>
      </c>
      <c r="AZ12" s="35">
        <v>701.64478611879986</v>
      </c>
      <c r="BA12" s="35">
        <v>683.63422143479988</v>
      </c>
      <c r="BB12" s="35">
        <v>663.62913605439985</v>
      </c>
      <c r="BC12" s="35">
        <v>645.61857137039988</v>
      </c>
      <c r="BD12" s="35">
        <v>627.6080066863999</v>
      </c>
      <c r="BE12" s="35">
        <v>609.59744200239993</v>
      </c>
      <c r="BF12" s="35">
        <v>591.58687731839996</v>
      </c>
      <c r="BG12" s="35">
        <v>607.60292130599987</v>
      </c>
      <c r="BH12" s="35">
        <v>589.5923566219999</v>
      </c>
      <c r="BI12" s="35">
        <v>557.60252757600006</v>
      </c>
      <c r="BJ12" s="35">
        <v>575.61309226000003</v>
      </c>
      <c r="BK12" s="35">
        <v>905.76568909999992</v>
      </c>
      <c r="BL12" s="35">
        <v>887.75512441599994</v>
      </c>
      <c r="BM12" s="35">
        <v>869.74455973199997</v>
      </c>
      <c r="BN12" s="35">
        <v>851.733995048</v>
      </c>
      <c r="BO12" s="35">
        <v>831.72890966759996</v>
      </c>
      <c r="BP12" s="35">
        <v>813.71834498359999</v>
      </c>
      <c r="BQ12" s="35">
        <v>795.70778029960002</v>
      </c>
      <c r="BR12" s="35">
        <v>777.69721561560004</v>
      </c>
      <c r="BS12" s="35">
        <v>759.68665093160007</v>
      </c>
      <c r="BT12" s="35">
        <v>743.71286567999982</v>
      </c>
      <c r="BU12" s="35">
        <v>725.70230099599985</v>
      </c>
      <c r="BV12" s="35">
        <v>707.69173631199988</v>
      </c>
      <c r="BW12" s="35">
        <v>689.6811716279999</v>
      </c>
      <c r="BX12" s="35">
        <v>669.67608624759987</v>
      </c>
      <c r="BY12" s="35">
        <v>651.6655215635999</v>
      </c>
      <c r="BZ12" s="35">
        <v>633.65495687959992</v>
      </c>
      <c r="CA12" s="35">
        <v>615.64439219559995</v>
      </c>
      <c r="CB12" s="35">
        <v>597.63382751159997</v>
      </c>
      <c r="CC12" s="35">
        <v>613.64987149919989</v>
      </c>
      <c r="CD12" s="35">
        <v>595.63930681519992</v>
      </c>
      <c r="CE12" s="35">
        <v>551.55557738280004</v>
      </c>
      <c r="CF12" s="35">
        <v>569.56614206680001</v>
      </c>
      <c r="CG12" s="35">
        <v>163.06064842000001</v>
      </c>
      <c r="CH12" s="35">
        <v>255.10799253639999</v>
      </c>
      <c r="CI12" s="35">
        <v>237.09742785239999</v>
      </c>
      <c r="CJ12" s="35">
        <v>219.08686316839999</v>
      </c>
      <c r="CK12" s="35">
        <v>201.07629848439998</v>
      </c>
      <c r="CL12" s="35">
        <v>55.0547752254</v>
      </c>
      <c r="CM12" s="35">
        <v>57.070425289800006</v>
      </c>
      <c r="CN12" s="35">
        <v>69.070425289799999</v>
      </c>
      <c r="CO12" s="35">
        <v>71.086075354200005</v>
      </c>
      <c r="CP12" s="35">
        <v>83.086075354200005</v>
      </c>
      <c r="CQ12" s="35">
        <v>85.101725418599997</v>
      </c>
      <c r="CR12" s="35">
        <v>97.101725418599997</v>
      </c>
      <c r="CS12" s="35">
        <v>99.117375483000004</v>
      </c>
      <c r="CT12" s="35">
        <v>111.117375483</v>
      </c>
      <c r="CU12" s="35">
        <v>113.13302554740001</v>
      </c>
      <c r="CV12" s="35">
        <v>125.13302554740001</v>
      </c>
      <c r="CW12" s="35">
        <v>127.1486756118</v>
      </c>
      <c r="CX12" s="35">
        <v>139.1486756118</v>
      </c>
      <c r="CY12" s="35">
        <v>141.16432567620001</v>
      </c>
      <c r="CZ12" s="35">
        <v>153.16432567620001</v>
      </c>
      <c r="DA12" s="35">
        <v>155.17997574060001</v>
      </c>
      <c r="DB12" s="35">
        <v>167.17997574060001</v>
      </c>
      <c r="DC12" s="35">
        <v>169.19562580499999</v>
      </c>
      <c r="DD12" s="35">
        <v>181.19562580499999</v>
      </c>
      <c r="DE12" s="35">
        <v>183.2112758694</v>
      </c>
      <c r="DF12" s="35">
        <v>195.2112758694</v>
      </c>
      <c r="DG12" s="35">
        <v>197.2269259338</v>
      </c>
      <c r="DH12" s="35">
        <v>209.2269259338</v>
      </c>
      <c r="DI12" s="35">
        <v>211.24257599820001</v>
      </c>
      <c r="DJ12" s="35">
        <v>223.24257599820001</v>
      </c>
      <c r="DK12" s="35">
        <v>225.25822606260002</v>
      </c>
      <c r="DL12" s="35">
        <v>237.25822606260002</v>
      </c>
      <c r="DM12" s="35">
        <v>239.27387612699999</v>
      </c>
      <c r="DN12" s="35">
        <v>251.27387612699999</v>
      </c>
      <c r="DO12" s="35">
        <v>253.2895261914</v>
      </c>
      <c r="DP12" s="35">
        <v>265.2895261914</v>
      </c>
      <c r="DQ12" s="35">
        <v>267.30517625580001</v>
      </c>
      <c r="DR12" s="35">
        <v>279.30517625580001</v>
      </c>
      <c r="DS12" s="35">
        <v>281.32082632020001</v>
      </c>
      <c r="DT12" s="35">
        <v>293.32082632020001</v>
      </c>
      <c r="DU12" s="35">
        <v>295.33647638460002</v>
      </c>
      <c r="DV12" s="35">
        <v>307.33647638460002</v>
      </c>
      <c r="DW12" s="35">
        <v>309.35212644900002</v>
      </c>
      <c r="DX12" s="35">
        <v>321.35212644900002</v>
      </c>
      <c r="DY12" s="35">
        <v>323.36777651340003</v>
      </c>
      <c r="DZ12" s="35">
        <v>335.36777651340003</v>
      </c>
      <c r="EA12" s="35">
        <v>337.38342657779998</v>
      </c>
      <c r="EB12" s="35">
        <v>349.38342657779998</v>
      </c>
      <c r="EC12" s="35">
        <v>351.39907664219999</v>
      </c>
      <c r="ED12" s="35">
        <v>363.39907664219999</v>
      </c>
      <c r="EE12" s="35">
        <v>365.41472670659999</v>
      </c>
      <c r="EF12" s="35">
        <v>377.41472670659999</v>
      </c>
      <c r="EG12" s="35">
        <v>379.430376771</v>
      </c>
      <c r="EH12" s="35">
        <v>391.430376771</v>
      </c>
      <c r="EI12" s="35">
        <v>393.4460268354</v>
      </c>
      <c r="EJ12" s="35">
        <v>405.4460268354</v>
      </c>
      <c r="EK12" s="35">
        <v>407.46167689980001</v>
      </c>
      <c r="EL12" s="35">
        <v>419.46167689980001</v>
      </c>
      <c r="EM12" s="35">
        <v>421.47732696420002</v>
      </c>
      <c r="EN12" s="35">
        <v>433.47732696420002</v>
      </c>
      <c r="EO12" s="35">
        <v>435.49297702860002</v>
      </c>
      <c r="EP12" s="35">
        <v>447.49297702860002</v>
      </c>
      <c r="EQ12" s="35">
        <v>449.50862709300003</v>
      </c>
      <c r="ER12" s="35">
        <v>461.50862709300003</v>
      </c>
      <c r="ES12" s="35">
        <v>463.52427715739998</v>
      </c>
      <c r="ET12" s="35">
        <v>55.0547752254</v>
      </c>
      <c r="EU12" s="35">
        <v>57.070425289800006</v>
      </c>
      <c r="EV12" s="35">
        <v>69.070425289799999</v>
      </c>
      <c r="EW12" s="35">
        <v>71.086075354200005</v>
      </c>
      <c r="EX12" s="35">
        <v>81.070425289799999</v>
      </c>
      <c r="EY12" s="35">
        <v>83.086075354200005</v>
      </c>
      <c r="EZ12" s="35">
        <v>85.101725418599997</v>
      </c>
      <c r="FA12" s="35">
        <v>95.086075354200005</v>
      </c>
      <c r="FB12" s="35">
        <v>97.101725418599997</v>
      </c>
      <c r="FC12" s="35">
        <v>99.117375483000004</v>
      </c>
      <c r="FD12" s="35">
        <v>109.1017254186</v>
      </c>
      <c r="FE12" s="35">
        <v>111.117375483</v>
      </c>
      <c r="FF12" s="35">
        <v>113.13302554740001</v>
      </c>
      <c r="FG12" s="35">
        <v>123.117375483</v>
      </c>
      <c r="FH12" s="35">
        <v>125.13302554740001</v>
      </c>
      <c r="FI12" s="35">
        <v>127.1486756118</v>
      </c>
      <c r="FJ12" s="35">
        <v>137.1330255474</v>
      </c>
      <c r="FK12" s="35">
        <v>139.1486756118</v>
      </c>
      <c r="FL12" s="35">
        <v>141.16432567620001</v>
      </c>
      <c r="FM12" s="35">
        <v>149.1330255474</v>
      </c>
      <c r="FN12" s="35">
        <v>151.1486756118</v>
      </c>
      <c r="FO12" s="35">
        <v>153.16432567620001</v>
      </c>
      <c r="FP12" s="35">
        <v>155.17997574060001</v>
      </c>
      <c r="FQ12" s="35">
        <v>163.1486756118</v>
      </c>
      <c r="FR12" s="35">
        <v>165.16432567620001</v>
      </c>
      <c r="FS12" s="35">
        <v>167.17997574060001</v>
      </c>
      <c r="FT12" s="35">
        <v>169.19562580499999</v>
      </c>
      <c r="FU12" s="35">
        <v>177.16432567620001</v>
      </c>
      <c r="FV12" s="35">
        <v>179.17997574060001</v>
      </c>
      <c r="FW12" s="35">
        <v>181.19562580499999</v>
      </c>
      <c r="FX12" s="35">
        <v>183.2112758694</v>
      </c>
      <c r="FY12" s="35">
        <v>191.17997574060001</v>
      </c>
      <c r="FZ12" s="35">
        <v>193.19562580499999</v>
      </c>
      <c r="GA12" s="35">
        <v>195.2112758694</v>
      </c>
      <c r="GB12" s="35">
        <v>197.2269259338</v>
      </c>
      <c r="GC12" s="35">
        <v>205.19562580499999</v>
      </c>
      <c r="GD12" s="35">
        <v>207.2112758694</v>
      </c>
      <c r="GE12" s="35">
        <v>209.2269259338</v>
      </c>
      <c r="GF12" s="35">
        <v>211.24257599820001</v>
      </c>
      <c r="GG12" s="35">
        <v>217.19562580499999</v>
      </c>
      <c r="GH12" s="35">
        <v>219.2112758694</v>
      </c>
      <c r="GI12" s="35">
        <v>221.2269259338</v>
      </c>
      <c r="GJ12" s="35">
        <v>223.24257599820001</v>
      </c>
      <c r="GK12" s="35">
        <v>225.25822606260002</v>
      </c>
      <c r="GL12" s="35">
        <v>231.2112758694</v>
      </c>
      <c r="GM12" s="35">
        <v>233.2269259338</v>
      </c>
      <c r="GN12" s="35">
        <v>235.24257599820001</v>
      </c>
      <c r="GO12" s="35">
        <v>237.25822606260002</v>
      </c>
      <c r="GP12" s="35">
        <v>239.27387612699999</v>
      </c>
      <c r="GQ12" s="35">
        <v>245.2269259338</v>
      </c>
      <c r="GR12" s="35">
        <v>247.24257599820001</v>
      </c>
      <c r="GS12" s="35">
        <v>249.25822606260002</v>
      </c>
      <c r="GT12" s="35">
        <v>251.27387612699999</v>
      </c>
      <c r="GU12" s="35">
        <v>253.2895261914</v>
      </c>
      <c r="GV12" s="35">
        <v>259.24257599819998</v>
      </c>
      <c r="GW12" s="35">
        <v>261.25822606259999</v>
      </c>
      <c r="GX12" s="35">
        <v>263.27387612699999</v>
      </c>
      <c r="GY12" s="35">
        <v>265.2895261914</v>
      </c>
      <c r="GZ12" s="35">
        <v>267.30517625580001</v>
      </c>
      <c r="HA12" s="35">
        <v>273.25822606259999</v>
      </c>
      <c r="HB12" s="35">
        <v>137.17999999999998</v>
      </c>
      <c r="HC12" s="35">
        <v>13.717999999999998</v>
      </c>
      <c r="HD12" s="35">
        <v>13.717999999999998</v>
      </c>
      <c r="HE12" s="35">
        <v>20.576999999999998</v>
      </c>
      <c r="HF12" s="35">
        <v>30.865499999999997</v>
      </c>
      <c r="HG12" s="35">
        <v>68.589999999999989</v>
      </c>
      <c r="HH12" s="35">
        <v>8.5737499999999986</v>
      </c>
      <c r="HI12" s="35">
        <v>1.0717187499999998</v>
      </c>
      <c r="HJ12" s="35">
        <v>0.53585937499999992</v>
      </c>
      <c r="HK12" s="36">
        <v>6.1440000000000019</v>
      </c>
      <c r="HL12" s="36">
        <v>2</v>
      </c>
      <c r="HM12" s="35">
        <v>0</v>
      </c>
      <c r="HN12" s="35">
        <v>15.360000000000003</v>
      </c>
      <c r="HO12" s="35">
        <v>8.533333333333335</v>
      </c>
      <c r="HP12" s="35">
        <v>5.9733333333333345</v>
      </c>
      <c r="HQ12" s="35">
        <v>1.9911111111111115</v>
      </c>
      <c r="HR12" s="35">
        <v>29.160000000000004</v>
      </c>
      <c r="HS12" s="35">
        <v>29.160000000000004</v>
      </c>
      <c r="HT12" s="35">
        <v>14.580000000000002</v>
      </c>
      <c r="HU12" s="35">
        <v>29.160000000000004</v>
      </c>
      <c r="HV12" s="35">
        <v>5.8320000000000007</v>
      </c>
      <c r="HW12" s="35">
        <v>17.920000000000005</v>
      </c>
      <c r="HX12" s="35">
        <v>9.9555555555555575</v>
      </c>
      <c r="HY12" s="35">
        <v>6.9688888888888902</v>
      </c>
      <c r="HZ12" s="35">
        <v>2.3229629629629636</v>
      </c>
      <c r="IA12" s="35">
        <v>29.160000000000004</v>
      </c>
      <c r="IB12" s="35">
        <v>29.160000000000004</v>
      </c>
      <c r="IC12" s="35">
        <v>14.580000000000002</v>
      </c>
      <c r="ID12" s="35">
        <v>29.160000000000004</v>
      </c>
      <c r="IE12" s="35">
        <v>5.8320000000000007</v>
      </c>
      <c r="IF12" s="35">
        <v>15</v>
      </c>
      <c r="IG12" s="35">
        <v>3.75</v>
      </c>
      <c r="IH12" s="35">
        <v>18</v>
      </c>
      <c r="II12" s="35">
        <v>9</v>
      </c>
      <c r="IJ12" s="35">
        <v>60</v>
      </c>
      <c r="IK12" s="35">
        <v>33.333333333333336</v>
      </c>
      <c r="IL12" s="35">
        <v>23.333333333333332</v>
      </c>
      <c r="IM12" s="35">
        <v>7.7777777777777777</v>
      </c>
      <c r="IN12" s="35">
        <v>40</v>
      </c>
      <c r="IO12" s="35">
        <v>40</v>
      </c>
      <c r="IP12" s="35">
        <v>20</v>
      </c>
      <c r="IQ12" s="35">
        <v>40</v>
      </c>
      <c r="IR12" s="35">
        <v>8</v>
      </c>
      <c r="IS12" s="35">
        <v>70</v>
      </c>
      <c r="IT12" s="35">
        <v>38.888888888888886</v>
      </c>
      <c r="IU12" s="35">
        <v>27.222222222222218</v>
      </c>
      <c r="IV12" s="35">
        <v>9.0740740740740726</v>
      </c>
      <c r="IW12" s="35">
        <v>40</v>
      </c>
      <c r="IX12" s="35">
        <v>40</v>
      </c>
      <c r="IY12" s="35">
        <v>20</v>
      </c>
      <c r="IZ12" s="35">
        <v>40</v>
      </c>
      <c r="JA12" s="35">
        <v>8</v>
      </c>
      <c r="JB12" s="35">
        <v>15</v>
      </c>
      <c r="JC12" s="35">
        <v>3.75</v>
      </c>
      <c r="JD12" s="35">
        <v>7.7759999999999998</v>
      </c>
      <c r="JE12" s="35">
        <v>3.8879999999999999</v>
      </c>
      <c r="JF12" s="35">
        <v>0</v>
      </c>
      <c r="JG12" s="35">
        <v>60</v>
      </c>
      <c r="JH12" s="35">
        <v>30</v>
      </c>
      <c r="JI12" s="35">
        <v>30</v>
      </c>
      <c r="JJ12" s="35">
        <v>40</v>
      </c>
      <c r="JK12" s="35">
        <v>3.125</v>
      </c>
      <c r="JL12" s="35">
        <v>17.634217114246702</v>
      </c>
      <c r="JM12" s="35">
        <v>9.5367431640625</v>
      </c>
      <c r="JN12" s="35">
        <v>38.737824305871641</v>
      </c>
      <c r="JO12" s="35">
        <v>23.73046875</v>
      </c>
      <c r="JP12" s="35">
        <v>49.957498862084663</v>
      </c>
      <c r="JQ12" s="35">
        <v>51.2908935546875</v>
      </c>
      <c r="JR12" s="35">
        <v>11.299044151115158</v>
      </c>
      <c r="JS12" s="35">
        <v>100</v>
      </c>
      <c r="JT12" s="35">
        <v>12.768263541192534</v>
      </c>
      <c r="JU12" s="35">
        <v>81.014023322061405</v>
      </c>
      <c r="JV12" s="35">
        <v>13.370960400546201</v>
      </c>
      <c r="JW12" s="35">
        <v>65.132027498296409</v>
      </c>
      <c r="JX12" s="35">
        <v>15.112938097405555</v>
      </c>
      <c r="JY12" s="35">
        <v>51.93403908250599</v>
      </c>
      <c r="JZ12" s="35">
        <v>17</v>
      </c>
      <c r="KA12" s="35">
        <v>41.044225466741565</v>
      </c>
      <c r="KB12" s="35">
        <v>15.112938097405555</v>
      </c>
      <c r="KC12" s="35">
        <v>32.127687206130908</v>
      </c>
      <c r="KD12" s="35">
        <v>13.370960400546201</v>
      </c>
      <c r="KE12" s="35">
        <v>24.887371388049534</v>
      </c>
      <c r="KF12" s="35">
        <v>11.768263541192534</v>
      </c>
      <c r="KG12" s="35">
        <v>19.061106045638713</v>
      </c>
      <c r="KH12" s="35">
        <v>10.299044151115158</v>
      </c>
      <c r="KI12" s="35">
        <v>14.418755615669616</v>
      </c>
      <c r="KJ12" s="35">
        <v>8.9574988620846607</v>
      </c>
      <c r="KK12" s="35">
        <v>10.759497440753508</v>
      </c>
      <c r="KL12" s="35">
        <v>7.7378243058716416</v>
      </c>
      <c r="KM12" s="35">
        <v>7.9092193158983397</v>
      </c>
      <c r="KN12" s="35">
        <v>6.6342171142467024</v>
      </c>
      <c r="KO12" s="35">
        <v>5.7180380794114836</v>
      </c>
      <c r="KP12" s="35">
        <v>5.6408739189804269</v>
      </c>
      <c r="KQ12" s="35">
        <v>4.0579392481486094</v>
      </c>
      <c r="KR12" s="35">
        <v>4.7519913518434231</v>
      </c>
      <c r="KS12" s="35">
        <v>2.8205376971088865</v>
      </c>
      <c r="KT12" s="35">
        <v>3.9617660446062817</v>
      </c>
      <c r="KU12" s="35">
        <v>1.9149593833762957</v>
      </c>
      <c r="KV12" s="35">
        <v>3.2643946290395984</v>
      </c>
      <c r="KW12" s="35">
        <v>1.2658441144072095</v>
      </c>
      <c r="KX12" s="35">
        <v>2.6540737369139733</v>
      </c>
      <c r="KY12" s="35">
        <v>0.81146936066415609</v>
      </c>
      <c r="KZ12" s="35">
        <v>2.125</v>
      </c>
      <c r="LA12" s="35">
        <v>0.50199511259579543</v>
      </c>
      <c r="LB12" s="35">
        <v>1.6713700500682751</v>
      </c>
      <c r="LC12" s="35">
        <v>0.29782978196310489</v>
      </c>
      <c r="LD12" s="35">
        <v>1.2873805188893952</v>
      </c>
      <c r="LE12" s="35">
        <v>0.16811714751177356</v>
      </c>
      <c r="LF12" s="35">
        <v>0.9672280382339552</v>
      </c>
      <c r="LG12" s="35">
        <v>8.9344344990804431E-2</v>
      </c>
      <c r="LH12" s="35">
        <v>0.70510923987255336</v>
      </c>
      <c r="LI12" s="35">
        <v>4.4070901517326351E-2</v>
      </c>
      <c r="LJ12" s="35">
        <v>0.49522075557578521</v>
      </c>
      <c r="LK12" s="35">
        <v>1.9778814287612648E-2</v>
      </c>
      <c r="LL12" s="35">
        <v>0.33175921711424688</v>
      </c>
      <c r="LM12" s="35">
        <v>7.8436736343093037E-3</v>
      </c>
      <c r="LN12" s="35">
        <v>0.20892125625853425</v>
      </c>
      <c r="LO12" s="35">
        <v>2.6268304298714619E-3</v>
      </c>
      <c r="LP12" s="35">
        <v>0.1209035047792444</v>
      </c>
      <c r="LQ12" s="35">
        <v>6.8860783620822423E-4</v>
      </c>
      <c r="LR12" s="35">
        <v>6.1902594446973151E-2</v>
      </c>
      <c r="LS12" s="35">
        <v>0.476837158203125</v>
      </c>
      <c r="LT12" s="35">
        <v>1.5708885696404189</v>
      </c>
      <c r="LU12" s="35">
        <v>1.4551915228366852</v>
      </c>
      <c r="LV12" s="35">
        <v>1.9523640191169775</v>
      </c>
      <c r="LW12" s="35">
        <v>1.0862946510314941</v>
      </c>
      <c r="LX12" s="35">
        <v>3.6209821701049805</v>
      </c>
      <c r="LY12" s="35">
        <v>2.1848436788802914</v>
      </c>
      <c r="LZ12" s="35">
        <v>2.7392292395234108</v>
      </c>
      <c r="MA12" s="35">
        <v>12.361758929757904</v>
      </c>
      <c r="MB12" s="35">
        <v>1.6436902594446974</v>
      </c>
      <c r="MC12" s="35">
        <v>6.103515625</v>
      </c>
      <c r="MD12" s="35">
        <v>15.2587890625</v>
      </c>
      <c r="ME12" s="35">
        <v>0.73551647132453335</v>
      </c>
      <c r="MF12" s="35">
        <v>4.7741965521823628</v>
      </c>
      <c r="MG12" s="35">
        <v>12.361758929757904</v>
      </c>
      <c r="MH12" s="35">
        <v>0.83568502503413755</v>
      </c>
      <c r="MI12" s="35">
        <v>3.7011818562559</v>
      </c>
      <c r="MJ12" s="35">
        <v>9.938358688094544</v>
      </c>
      <c r="MK12" s="35">
        <v>0.94455863108784721</v>
      </c>
      <c r="ML12" s="35">
        <v>2.6171307889631601</v>
      </c>
      <c r="MM12" s="35">
        <v>2.8418916187052878</v>
      </c>
      <c r="MN12" s="35">
        <v>7.9245054752358994</v>
      </c>
      <c r="MO12" s="35">
        <v>1.0625</v>
      </c>
      <c r="MP12" s="35">
        <v>2.0095208349837232</v>
      </c>
      <c r="MQ12" s="35">
        <v>2.1596040642437933</v>
      </c>
      <c r="MR12" s="35">
        <v>6.2628517863070012</v>
      </c>
      <c r="MS12" s="35">
        <v>0.94455863108784721</v>
      </c>
      <c r="MT12" s="35">
        <v>1.5270706785048145</v>
      </c>
      <c r="MU12" s="35">
        <v>1.6228290277881319</v>
      </c>
      <c r="MV12" s="35">
        <v>4.9022960214433144</v>
      </c>
      <c r="MW12" s="35">
        <v>0.83568502503413755</v>
      </c>
      <c r="MX12" s="35">
        <v>1.1475134102553601</v>
      </c>
      <c r="MY12" s="35">
        <v>1.2047277872548898</v>
      </c>
      <c r="MZ12" s="35">
        <v>3.7975115033034568</v>
      </c>
      <c r="NA12" s="35">
        <v>0.73551647132453335</v>
      </c>
      <c r="NB12" s="35">
        <v>0.85187118785179694</v>
      </c>
      <c r="NC12" s="35">
        <v>0.8825774788777353</v>
      </c>
      <c r="ND12" s="35">
        <v>2.908493964483446</v>
      </c>
      <c r="NE12" s="35">
        <v>0.64369025944469738</v>
      </c>
      <c r="NF12" s="35">
        <v>0.62407652023697346</v>
      </c>
      <c r="NG12" s="35">
        <v>2.0566158053263899</v>
      </c>
      <c r="NH12" s="35">
        <v>0.63727831174455729</v>
      </c>
      <c r="NI12" s="35">
        <v>2.2001275048323996</v>
      </c>
      <c r="NJ12" s="35">
        <v>0.5598436788802913</v>
      </c>
      <c r="NK12" s="35">
        <v>0.45062381573769106</v>
      </c>
      <c r="NL12" s="35">
        <v>1.5557250781420282</v>
      </c>
      <c r="NM12" s="35">
        <v>0.45290179825370042</v>
      </c>
      <c r="NN12" s="35">
        <v>1.6417690186696638</v>
      </c>
      <c r="NO12" s="35">
        <v>0.4836140191169776</v>
      </c>
      <c r="NP12" s="35">
        <v>0.32024993275677321</v>
      </c>
      <c r="NQ12" s="35">
        <v>1.1609060062433028</v>
      </c>
      <c r="NR12" s="35">
        <v>0.31627821718848598</v>
      </c>
      <c r="NS12" s="35">
        <v>1.2068510919034332</v>
      </c>
      <c r="NT12" s="35">
        <v>0.4146385696404189</v>
      </c>
      <c r="NU12" s="35">
        <v>0.22364247211557009</v>
      </c>
      <c r="NV12" s="35">
        <v>0.85337259096730689</v>
      </c>
      <c r="NW12" s="35">
        <v>0.21662152610917026</v>
      </c>
      <c r="NX12" s="35">
        <v>0.8725033690508246</v>
      </c>
      <c r="NY12" s="35">
        <v>0.35255461993627668</v>
      </c>
      <c r="NZ12" s="35">
        <v>0.15317455006277303</v>
      </c>
    </row>
    <row r="13" spans="1:391" s="4" customFormat="1" ht="14.25" x14ac:dyDescent="0.2">
      <c r="A13" s="4">
        <v>7</v>
      </c>
      <c r="B13" s="16" t="s">
        <v>665</v>
      </c>
      <c r="C13" s="16" t="s">
        <v>447</v>
      </c>
      <c r="D13" s="16" t="s">
        <v>120</v>
      </c>
      <c r="E13" s="16" t="s">
        <v>447</v>
      </c>
      <c r="F13" s="31" t="s">
        <v>207</v>
      </c>
      <c r="G13" s="31" t="s">
        <v>208</v>
      </c>
      <c r="H13" s="32">
        <v>-1</v>
      </c>
      <c r="I13" s="33">
        <v>28.34</v>
      </c>
      <c r="J13" s="34">
        <v>21.782399999999999</v>
      </c>
      <c r="K13" s="32" t="s">
        <v>209</v>
      </c>
      <c r="L13" s="16">
        <v>0</v>
      </c>
      <c r="M13" s="16">
        <v>2</v>
      </c>
      <c r="N13" s="16" t="s">
        <v>447</v>
      </c>
      <c r="O13" s="16">
        <v>0</v>
      </c>
      <c r="P13" s="16">
        <v>0</v>
      </c>
      <c r="Q13" s="16">
        <v>2</v>
      </c>
      <c r="R13" s="16">
        <v>2</v>
      </c>
      <c r="S13" s="16">
        <v>0</v>
      </c>
      <c r="T13" s="16">
        <v>40</v>
      </c>
      <c r="U13" s="16">
        <v>0</v>
      </c>
      <c r="V13" s="16">
        <v>40</v>
      </c>
      <c r="W13" s="16">
        <v>0</v>
      </c>
      <c r="X13" s="16" t="s">
        <v>447</v>
      </c>
      <c r="Y13" s="35">
        <v>894.68001641839999</v>
      </c>
      <c r="Z13" s="35">
        <v>876.66945641839993</v>
      </c>
      <c r="AA13" s="35">
        <v>894.68001641839999</v>
      </c>
      <c r="AB13" s="35">
        <v>876.66945641839993</v>
      </c>
      <c r="AC13" s="35">
        <v>1456.3134414183999</v>
      </c>
      <c r="AD13" s="35">
        <v>1438.3028767343999</v>
      </c>
      <c r="AE13" s="35">
        <v>1420.2923120503999</v>
      </c>
      <c r="AF13" s="35">
        <v>1402.2817473663999</v>
      </c>
      <c r="AG13" s="35">
        <v>1384.2711826824</v>
      </c>
      <c r="AH13" s="35">
        <v>1294.2606179983998</v>
      </c>
      <c r="AI13" s="35">
        <v>1276.2500533143998</v>
      </c>
      <c r="AJ13" s="35">
        <v>1258.2394886303998</v>
      </c>
      <c r="AK13" s="35">
        <v>1240.2289239463998</v>
      </c>
      <c r="AL13" s="35">
        <v>1220.2238385659998</v>
      </c>
      <c r="AM13" s="35">
        <v>1202.2132738819998</v>
      </c>
      <c r="AN13" s="35">
        <v>1110.1659297655999</v>
      </c>
      <c r="AO13" s="35">
        <v>901.73438897119991</v>
      </c>
      <c r="AP13" s="35">
        <v>883.72382428719993</v>
      </c>
      <c r="AQ13" s="35">
        <v>865.71325960319996</v>
      </c>
      <c r="AR13" s="35">
        <v>847.70269491919998</v>
      </c>
      <c r="AS13" s="35">
        <v>827.69760953879995</v>
      </c>
      <c r="AT13" s="35">
        <v>809.68704485479998</v>
      </c>
      <c r="AU13" s="35">
        <v>791.6764801708</v>
      </c>
      <c r="AV13" s="35">
        <v>773.66591548680003</v>
      </c>
      <c r="AW13" s="35">
        <v>755.65535080280006</v>
      </c>
      <c r="AX13" s="35">
        <v>739.68156555119981</v>
      </c>
      <c r="AY13" s="35">
        <v>721.67100086719984</v>
      </c>
      <c r="AZ13" s="35">
        <v>703.66043618319986</v>
      </c>
      <c r="BA13" s="35">
        <v>685.64987149919989</v>
      </c>
      <c r="BB13" s="35">
        <v>665.64478611879986</v>
      </c>
      <c r="BC13" s="35">
        <v>647.63422143479988</v>
      </c>
      <c r="BD13" s="35">
        <v>629.62365675079991</v>
      </c>
      <c r="BE13" s="35">
        <v>611.61309206679994</v>
      </c>
      <c r="BF13" s="35">
        <v>593.60252738279996</v>
      </c>
      <c r="BG13" s="35">
        <v>609.61857137039988</v>
      </c>
      <c r="BH13" s="35">
        <v>591.6080066863999</v>
      </c>
      <c r="BI13" s="35">
        <v>555.5868774472001</v>
      </c>
      <c r="BJ13" s="35">
        <v>573.59744213120007</v>
      </c>
      <c r="BK13" s="35">
        <v>901.73438897119991</v>
      </c>
      <c r="BL13" s="35">
        <v>883.72382428719993</v>
      </c>
      <c r="BM13" s="35">
        <v>865.71325960319996</v>
      </c>
      <c r="BN13" s="35">
        <v>847.70269491919998</v>
      </c>
      <c r="BO13" s="35">
        <v>827.69760953879995</v>
      </c>
      <c r="BP13" s="35">
        <v>809.68704485479998</v>
      </c>
      <c r="BQ13" s="35">
        <v>791.6764801708</v>
      </c>
      <c r="BR13" s="35">
        <v>773.66591548680003</v>
      </c>
      <c r="BS13" s="35">
        <v>755.65535080280006</v>
      </c>
      <c r="BT13" s="35">
        <v>739.68156555119981</v>
      </c>
      <c r="BU13" s="35">
        <v>721.67100086719984</v>
      </c>
      <c r="BV13" s="35">
        <v>703.66043618319986</v>
      </c>
      <c r="BW13" s="35">
        <v>685.64987149919989</v>
      </c>
      <c r="BX13" s="35">
        <v>665.64478611879986</v>
      </c>
      <c r="BY13" s="35">
        <v>647.63422143479988</v>
      </c>
      <c r="BZ13" s="35">
        <v>629.62365675079991</v>
      </c>
      <c r="CA13" s="35">
        <v>611.61309206679994</v>
      </c>
      <c r="CB13" s="35">
        <v>593.60252738279996</v>
      </c>
      <c r="CC13" s="35">
        <v>609.61857137039988</v>
      </c>
      <c r="CD13" s="35">
        <v>591.6080066863999</v>
      </c>
      <c r="CE13" s="35">
        <v>553.57122744720004</v>
      </c>
      <c r="CF13" s="35">
        <v>571.58179213120002</v>
      </c>
      <c r="CG13" s="35">
        <v>163.06064842000001</v>
      </c>
      <c r="CH13" s="35">
        <v>255.10799253639999</v>
      </c>
      <c r="CI13" s="35">
        <v>237.09742785239999</v>
      </c>
      <c r="CJ13" s="35">
        <v>219.08686316839999</v>
      </c>
      <c r="CK13" s="35">
        <v>201.07629848439998</v>
      </c>
      <c r="CL13" s="35">
        <v>55.0547752254</v>
      </c>
      <c r="CM13" s="35">
        <v>57.070425289800006</v>
      </c>
      <c r="CN13" s="35">
        <v>69.070425289799999</v>
      </c>
      <c r="CO13" s="35">
        <v>71.086075354200005</v>
      </c>
      <c r="CP13" s="35">
        <v>81.070425289799999</v>
      </c>
      <c r="CQ13" s="35">
        <v>83.086075354200005</v>
      </c>
      <c r="CR13" s="35">
        <v>85.101725418599997</v>
      </c>
      <c r="CS13" s="35">
        <v>95.086075354200005</v>
      </c>
      <c r="CT13" s="35">
        <v>97.101725418599997</v>
      </c>
      <c r="CU13" s="35">
        <v>99.117375483000004</v>
      </c>
      <c r="CV13" s="35">
        <v>109.1017254186</v>
      </c>
      <c r="CW13" s="35">
        <v>111.117375483</v>
      </c>
      <c r="CX13" s="35">
        <v>113.13302554740001</v>
      </c>
      <c r="CY13" s="35">
        <v>123.117375483</v>
      </c>
      <c r="CZ13" s="35">
        <v>125.13302554740001</v>
      </c>
      <c r="DA13" s="35">
        <v>127.1486756118</v>
      </c>
      <c r="DB13" s="35">
        <v>137.1330255474</v>
      </c>
      <c r="DC13" s="35">
        <v>139.1486756118</v>
      </c>
      <c r="DD13" s="35">
        <v>141.16432567620001</v>
      </c>
      <c r="DE13" s="35">
        <v>149.1330255474</v>
      </c>
      <c r="DF13" s="35">
        <v>151.1486756118</v>
      </c>
      <c r="DG13" s="35">
        <v>153.16432567620001</v>
      </c>
      <c r="DH13" s="35">
        <v>155.17997574060001</v>
      </c>
      <c r="DI13" s="35">
        <v>163.1486756118</v>
      </c>
      <c r="DJ13" s="35">
        <v>165.16432567620001</v>
      </c>
      <c r="DK13" s="35">
        <v>167.17997574060001</v>
      </c>
      <c r="DL13" s="35">
        <v>169.19562580499999</v>
      </c>
      <c r="DM13" s="35">
        <v>177.16432567620001</v>
      </c>
      <c r="DN13" s="35">
        <v>179.17997574060001</v>
      </c>
      <c r="DO13" s="35">
        <v>181.19562580499999</v>
      </c>
      <c r="DP13" s="35">
        <v>183.2112758694</v>
      </c>
      <c r="DQ13" s="35">
        <v>191.17997574060001</v>
      </c>
      <c r="DR13" s="35">
        <v>193.19562580499999</v>
      </c>
      <c r="DS13" s="35">
        <v>195.2112758694</v>
      </c>
      <c r="DT13" s="35">
        <v>197.2269259338</v>
      </c>
      <c r="DU13" s="35">
        <v>205.19562580499999</v>
      </c>
      <c r="DV13" s="35">
        <v>207.2112758694</v>
      </c>
      <c r="DW13" s="35">
        <v>209.2269259338</v>
      </c>
      <c r="DX13" s="35">
        <v>211.24257599820001</v>
      </c>
      <c r="DY13" s="35">
        <v>219.2112758694</v>
      </c>
      <c r="DZ13" s="35">
        <v>221.2269259338</v>
      </c>
      <c r="EA13" s="35">
        <v>223.24257599820001</v>
      </c>
      <c r="EB13" s="35">
        <v>225.25822606260002</v>
      </c>
      <c r="EC13" s="35">
        <v>233.2269259338</v>
      </c>
      <c r="ED13" s="35">
        <v>235.24257599820001</v>
      </c>
      <c r="EE13" s="35">
        <v>237.25822606260002</v>
      </c>
      <c r="EF13" s="35">
        <v>239.27387612699999</v>
      </c>
      <c r="EG13" s="35">
        <v>247.24257599820001</v>
      </c>
      <c r="EH13" s="35">
        <v>249.25822606260002</v>
      </c>
      <c r="EI13" s="35">
        <v>251.27387612699999</v>
      </c>
      <c r="EJ13" s="35">
        <v>253.2895261914</v>
      </c>
      <c r="EK13" s="35">
        <v>261.25822606259999</v>
      </c>
      <c r="EL13" s="35">
        <v>263.27387612699999</v>
      </c>
      <c r="EM13" s="35">
        <v>265.2895261914</v>
      </c>
      <c r="EN13" s="35">
        <v>267.30517625580001</v>
      </c>
      <c r="EO13" s="35">
        <v>275.27387612699999</v>
      </c>
      <c r="EP13" s="35">
        <v>277.2895261914</v>
      </c>
      <c r="EQ13" s="35">
        <v>279.30517625580001</v>
      </c>
      <c r="ER13" s="35">
        <v>281.32082632020001</v>
      </c>
      <c r="ES13" s="35">
        <v>289.2895261914</v>
      </c>
      <c r="ET13" s="35">
        <v>55.0547752254</v>
      </c>
      <c r="EU13" s="35">
        <v>57.070425289800006</v>
      </c>
      <c r="EV13" s="35">
        <v>69.070425289799999</v>
      </c>
      <c r="EW13" s="35">
        <v>71.086075354200005</v>
      </c>
      <c r="EX13" s="35">
        <v>81.070425289799999</v>
      </c>
      <c r="EY13" s="35">
        <v>83.086075354200005</v>
      </c>
      <c r="EZ13" s="35">
        <v>85.101725418599997</v>
      </c>
      <c r="FA13" s="35">
        <v>95.086075354200005</v>
      </c>
      <c r="FB13" s="35">
        <v>97.101725418599997</v>
      </c>
      <c r="FC13" s="35">
        <v>99.117375483000004</v>
      </c>
      <c r="FD13" s="35">
        <v>109.1017254186</v>
      </c>
      <c r="FE13" s="35">
        <v>111.117375483</v>
      </c>
      <c r="FF13" s="35">
        <v>113.13302554740001</v>
      </c>
      <c r="FG13" s="35">
        <v>123.117375483</v>
      </c>
      <c r="FH13" s="35">
        <v>125.13302554740001</v>
      </c>
      <c r="FI13" s="35">
        <v>127.1486756118</v>
      </c>
      <c r="FJ13" s="35">
        <v>137.1330255474</v>
      </c>
      <c r="FK13" s="35">
        <v>139.1486756118</v>
      </c>
      <c r="FL13" s="35">
        <v>141.16432567620001</v>
      </c>
      <c r="FM13" s="35">
        <v>149.1330255474</v>
      </c>
      <c r="FN13" s="35">
        <v>151.1486756118</v>
      </c>
      <c r="FO13" s="35">
        <v>153.16432567620001</v>
      </c>
      <c r="FP13" s="35">
        <v>155.17997574060001</v>
      </c>
      <c r="FQ13" s="35">
        <v>163.1486756118</v>
      </c>
      <c r="FR13" s="35">
        <v>165.16432567620001</v>
      </c>
      <c r="FS13" s="35">
        <v>167.17997574060001</v>
      </c>
      <c r="FT13" s="35">
        <v>169.19562580499999</v>
      </c>
      <c r="FU13" s="35">
        <v>177.16432567620001</v>
      </c>
      <c r="FV13" s="35">
        <v>179.17997574060001</v>
      </c>
      <c r="FW13" s="35">
        <v>181.19562580499999</v>
      </c>
      <c r="FX13" s="35">
        <v>183.2112758694</v>
      </c>
      <c r="FY13" s="35">
        <v>191.17997574060001</v>
      </c>
      <c r="FZ13" s="35">
        <v>193.19562580499999</v>
      </c>
      <c r="GA13" s="35">
        <v>195.2112758694</v>
      </c>
      <c r="GB13" s="35">
        <v>197.2269259338</v>
      </c>
      <c r="GC13" s="35">
        <v>205.19562580499999</v>
      </c>
      <c r="GD13" s="35">
        <v>207.2112758694</v>
      </c>
      <c r="GE13" s="35">
        <v>209.2269259338</v>
      </c>
      <c r="GF13" s="35">
        <v>211.24257599820001</v>
      </c>
      <c r="GG13" s="35">
        <v>219.2112758694</v>
      </c>
      <c r="GH13" s="35">
        <v>221.2269259338</v>
      </c>
      <c r="GI13" s="35">
        <v>223.24257599820001</v>
      </c>
      <c r="GJ13" s="35">
        <v>225.25822606260002</v>
      </c>
      <c r="GK13" s="35">
        <v>233.2269259338</v>
      </c>
      <c r="GL13" s="35">
        <v>235.24257599820001</v>
      </c>
      <c r="GM13" s="35">
        <v>237.25822606260002</v>
      </c>
      <c r="GN13" s="35">
        <v>239.27387612699999</v>
      </c>
      <c r="GO13" s="35">
        <v>247.24257599820001</v>
      </c>
      <c r="GP13" s="35">
        <v>249.25822606260002</v>
      </c>
      <c r="GQ13" s="35">
        <v>251.27387612699999</v>
      </c>
      <c r="GR13" s="35">
        <v>253.2895261914</v>
      </c>
      <c r="GS13" s="35">
        <v>261.25822606259999</v>
      </c>
      <c r="GT13" s="35">
        <v>263.27387612699999</v>
      </c>
      <c r="GU13" s="35">
        <v>265.2895261914</v>
      </c>
      <c r="GV13" s="35">
        <v>267.30517625580001</v>
      </c>
      <c r="GW13" s="35">
        <v>275.27387612699999</v>
      </c>
      <c r="GX13" s="35">
        <v>277.2895261914</v>
      </c>
      <c r="GY13" s="35">
        <v>279.30517625580001</v>
      </c>
      <c r="GZ13" s="35">
        <v>281.32082632020001</v>
      </c>
      <c r="HA13" s="35">
        <v>289.2895261914</v>
      </c>
      <c r="HB13" s="35">
        <v>130.321</v>
      </c>
      <c r="HC13" s="35">
        <v>13.0321</v>
      </c>
      <c r="HD13" s="35">
        <v>13.0321</v>
      </c>
      <c r="HE13" s="35">
        <v>19.54815</v>
      </c>
      <c r="HF13" s="35">
        <v>29.322225</v>
      </c>
      <c r="HG13" s="35">
        <v>65.160499999999999</v>
      </c>
      <c r="HH13" s="35">
        <v>8.1450624999999999</v>
      </c>
      <c r="HI13" s="35">
        <v>1.0181328125</v>
      </c>
      <c r="HJ13" s="35">
        <v>0.50906640624999999</v>
      </c>
      <c r="HK13" s="36">
        <v>4.9152000000000022</v>
      </c>
      <c r="HL13" s="36">
        <v>2</v>
      </c>
      <c r="HM13" s="35">
        <v>0</v>
      </c>
      <c r="HN13" s="35">
        <v>38.400000000000006</v>
      </c>
      <c r="HO13" s="35">
        <v>21.333333333333336</v>
      </c>
      <c r="HP13" s="35">
        <v>14.933333333333334</v>
      </c>
      <c r="HQ13" s="35">
        <v>4.9777777777777779</v>
      </c>
      <c r="HR13" s="35">
        <v>32.400000000000006</v>
      </c>
      <c r="HS13" s="35">
        <v>32.400000000000006</v>
      </c>
      <c r="HT13" s="35">
        <v>16.200000000000003</v>
      </c>
      <c r="HU13" s="35">
        <v>32.400000000000006</v>
      </c>
      <c r="HV13" s="35">
        <v>6.4800000000000013</v>
      </c>
      <c r="HW13" s="35">
        <v>44.800000000000011</v>
      </c>
      <c r="HX13" s="35">
        <v>24.888888888888893</v>
      </c>
      <c r="HY13" s="35">
        <v>17.422222222222224</v>
      </c>
      <c r="HZ13" s="35">
        <v>5.8074074074074078</v>
      </c>
      <c r="IA13" s="35">
        <v>32.400000000000006</v>
      </c>
      <c r="IB13" s="35">
        <v>32.400000000000006</v>
      </c>
      <c r="IC13" s="35">
        <v>16.200000000000003</v>
      </c>
      <c r="ID13" s="35">
        <v>32.400000000000006</v>
      </c>
      <c r="IE13" s="35">
        <v>6.4800000000000013</v>
      </c>
      <c r="IF13" s="35">
        <v>15</v>
      </c>
      <c r="IG13" s="35">
        <v>3.75</v>
      </c>
      <c r="IH13" s="35">
        <v>25.919999999999998</v>
      </c>
      <c r="II13" s="35">
        <v>12.959999999999999</v>
      </c>
      <c r="IJ13" s="35">
        <v>38.400000000000006</v>
      </c>
      <c r="IK13" s="35">
        <v>21.333333333333336</v>
      </c>
      <c r="IL13" s="35">
        <v>14.933333333333334</v>
      </c>
      <c r="IM13" s="35">
        <v>4.9777777777777779</v>
      </c>
      <c r="IN13" s="35">
        <v>32.400000000000006</v>
      </c>
      <c r="IO13" s="35">
        <v>32.400000000000006</v>
      </c>
      <c r="IP13" s="35">
        <v>16.200000000000003</v>
      </c>
      <c r="IQ13" s="35">
        <v>32.400000000000006</v>
      </c>
      <c r="IR13" s="35">
        <v>6.4800000000000013</v>
      </c>
      <c r="IS13" s="35">
        <v>44.800000000000011</v>
      </c>
      <c r="IT13" s="35">
        <v>24.888888888888893</v>
      </c>
      <c r="IU13" s="35">
        <v>17.422222222222224</v>
      </c>
      <c r="IV13" s="35">
        <v>5.8074074074074078</v>
      </c>
      <c r="IW13" s="35">
        <v>32.400000000000006</v>
      </c>
      <c r="IX13" s="35">
        <v>32.400000000000006</v>
      </c>
      <c r="IY13" s="35">
        <v>16.200000000000003</v>
      </c>
      <c r="IZ13" s="35">
        <v>32.400000000000006</v>
      </c>
      <c r="JA13" s="35">
        <v>6.4800000000000013</v>
      </c>
      <c r="JB13" s="35">
        <v>15</v>
      </c>
      <c r="JC13" s="35">
        <v>3.75</v>
      </c>
      <c r="JD13" s="35">
        <v>25.919999999999998</v>
      </c>
      <c r="JE13" s="35">
        <v>12.959999999999999</v>
      </c>
      <c r="JF13" s="35">
        <v>0</v>
      </c>
      <c r="JG13" s="35">
        <v>60</v>
      </c>
      <c r="JH13" s="35">
        <v>30</v>
      </c>
      <c r="JI13" s="35">
        <v>30</v>
      </c>
      <c r="JJ13" s="35">
        <v>40</v>
      </c>
      <c r="JK13" s="35">
        <v>0.98876953125</v>
      </c>
      <c r="JL13" s="35">
        <v>2.1075056052866707</v>
      </c>
      <c r="JM13" s="35">
        <v>3.0174851417541504</v>
      </c>
      <c r="JN13" s="35">
        <v>2.9708693673190716</v>
      </c>
      <c r="JO13" s="35">
        <v>2.2525405883789063</v>
      </c>
      <c r="JP13" s="35">
        <v>7.5084686279296875</v>
      </c>
      <c r="JQ13" s="35">
        <v>3.4767591328242213</v>
      </c>
      <c r="JR13" s="35">
        <v>5.6800657510757446</v>
      </c>
      <c r="JS13" s="35">
        <v>25.633343316745989</v>
      </c>
      <c r="JT13" s="35">
        <v>2.1443382390127956</v>
      </c>
      <c r="JU13" s="35">
        <v>12.65625</v>
      </c>
      <c r="JV13" s="35">
        <v>31.640625</v>
      </c>
      <c r="JW13" s="35">
        <v>1.3075848379102815</v>
      </c>
      <c r="JX13" s="35">
        <v>9.8997739706053487</v>
      </c>
      <c r="JY13" s="35">
        <v>25.633343316745989</v>
      </c>
      <c r="JZ13" s="35">
        <v>1.4856622667273556</v>
      </c>
      <c r="KA13" s="35">
        <v>7.6747706971322343</v>
      </c>
      <c r="KB13" s="35">
        <v>20.608180575632847</v>
      </c>
      <c r="KC13" s="35">
        <v>1.6792153441561728</v>
      </c>
      <c r="KD13" s="35">
        <v>5.4268824039940089</v>
      </c>
      <c r="KE13" s="35">
        <v>5.8929464605472841</v>
      </c>
      <c r="KF13" s="35">
        <v>16.432254553449162</v>
      </c>
      <c r="KG13" s="35">
        <v>1.8888888888888888</v>
      </c>
      <c r="KH13" s="35">
        <v>4.1669424034222482</v>
      </c>
      <c r="KI13" s="35">
        <v>4.4781549876159294</v>
      </c>
      <c r="KJ13" s="35">
        <v>12.986649464086197</v>
      </c>
      <c r="KK13" s="35">
        <v>1.6792153441561728</v>
      </c>
      <c r="KL13" s="35">
        <v>3.1665337589475833</v>
      </c>
      <c r="KM13" s="35">
        <v>3.3650982720214704</v>
      </c>
      <c r="KN13" s="35">
        <v>10.165401030064857</v>
      </c>
      <c r="KO13" s="35">
        <v>1.4856622667273556</v>
      </c>
      <c r="KP13" s="35">
        <v>2.3794838075055149</v>
      </c>
      <c r="KQ13" s="35">
        <v>2.4981235396517394</v>
      </c>
      <c r="KR13" s="35">
        <v>7.8745198532500478</v>
      </c>
      <c r="KS13" s="35">
        <v>1.3075848379102815</v>
      </c>
      <c r="KT13" s="35">
        <v>1.7664400951294859</v>
      </c>
      <c r="KU13" s="35">
        <v>1.8301126602008719</v>
      </c>
      <c r="KV13" s="35">
        <v>6.031053084752874</v>
      </c>
      <c r="KW13" s="35">
        <v>1.1443382390127954</v>
      </c>
      <c r="KX13" s="35">
        <v>1.2940850723633883</v>
      </c>
      <c r="KY13" s="35">
        <v>1.321460307233514</v>
      </c>
      <c r="KZ13" s="35">
        <v>4.5621843940204645</v>
      </c>
      <c r="LA13" s="35">
        <v>0.99527765134274004</v>
      </c>
      <c r="LB13" s="35">
        <v>0.93441354431367618</v>
      </c>
      <c r="LC13" s="35">
        <v>0.93913716885887322</v>
      </c>
      <c r="LD13" s="35">
        <v>3.4043722371134146</v>
      </c>
      <c r="LE13" s="35">
        <v>0.8597582562079602</v>
      </c>
      <c r="LF13" s="35">
        <v>0.66407026056444496</v>
      </c>
      <c r="LG13" s="35">
        <v>0.6558345111620445</v>
      </c>
      <c r="LH13" s="35">
        <v>2.5025264241709593</v>
      </c>
      <c r="LI13" s="35">
        <v>0.73713523491630029</v>
      </c>
      <c r="LJ13" s="35">
        <v>0.46374503017884611</v>
      </c>
      <c r="LK13" s="35">
        <v>0.4491863965399755</v>
      </c>
      <c r="LL13" s="35">
        <v>1.8092229860637898</v>
      </c>
      <c r="LM13" s="35">
        <v>0.62676376877560303</v>
      </c>
      <c r="LN13" s="35">
        <v>0.31762274701016618</v>
      </c>
      <c r="LO13" s="35">
        <v>0.3010658590894742</v>
      </c>
      <c r="LP13" s="35">
        <v>1.283957340234521</v>
      </c>
      <c r="LQ13" s="35">
        <v>0.52799903909371371</v>
      </c>
      <c r="LR13" s="35">
        <v>0.21288571054592076</v>
      </c>
      <c r="LS13" s="35">
        <v>0.98876953125</v>
      </c>
      <c r="LT13" s="35">
        <v>2.1075056052866707</v>
      </c>
      <c r="LU13" s="35">
        <v>3.0174851417541504</v>
      </c>
      <c r="LV13" s="35">
        <v>2.9708693673190716</v>
      </c>
      <c r="LW13" s="35">
        <v>2.2525405883789063</v>
      </c>
      <c r="LX13" s="35">
        <v>7.5084686279296875</v>
      </c>
      <c r="LY13" s="35">
        <v>3.4767591328242213</v>
      </c>
      <c r="LZ13" s="35">
        <v>5.6800657510757446</v>
      </c>
      <c r="MA13" s="35">
        <v>25.633343316745989</v>
      </c>
      <c r="MB13" s="35">
        <v>2.1443382390127956</v>
      </c>
      <c r="MC13" s="35">
        <v>12.65625</v>
      </c>
      <c r="MD13" s="35">
        <v>31.640625</v>
      </c>
      <c r="ME13" s="35">
        <v>1.3075848379102815</v>
      </c>
      <c r="MF13" s="35">
        <v>9.8997739706053487</v>
      </c>
      <c r="MG13" s="35">
        <v>25.633343316745989</v>
      </c>
      <c r="MH13" s="35">
        <v>1.4856622667273556</v>
      </c>
      <c r="MI13" s="35">
        <v>7.6747706971322343</v>
      </c>
      <c r="MJ13" s="35">
        <v>20.608180575632847</v>
      </c>
      <c r="MK13" s="35">
        <v>1.6792153441561728</v>
      </c>
      <c r="ML13" s="35">
        <v>5.4268824039940089</v>
      </c>
      <c r="MM13" s="35">
        <v>5.8929464605472841</v>
      </c>
      <c r="MN13" s="35">
        <v>16.432254553449162</v>
      </c>
      <c r="MO13" s="35">
        <v>1.8888888888888888</v>
      </c>
      <c r="MP13" s="35">
        <v>4.1669424034222482</v>
      </c>
      <c r="MQ13" s="35">
        <v>4.4781549876159294</v>
      </c>
      <c r="MR13" s="35">
        <v>12.986649464086197</v>
      </c>
      <c r="MS13" s="35">
        <v>1.6792153441561728</v>
      </c>
      <c r="MT13" s="35">
        <v>3.1665337589475833</v>
      </c>
      <c r="MU13" s="35">
        <v>3.3650982720214704</v>
      </c>
      <c r="MV13" s="35">
        <v>10.165401030064857</v>
      </c>
      <c r="MW13" s="35">
        <v>1.4856622667273556</v>
      </c>
      <c r="MX13" s="35">
        <v>2.3794838075055149</v>
      </c>
      <c r="MY13" s="35">
        <v>2.4981235396517394</v>
      </c>
      <c r="MZ13" s="35">
        <v>7.8745198532500478</v>
      </c>
      <c r="NA13" s="35">
        <v>1.3075848379102815</v>
      </c>
      <c r="NB13" s="35">
        <v>1.7664400951294859</v>
      </c>
      <c r="NC13" s="35">
        <v>1.8301126602008719</v>
      </c>
      <c r="ND13" s="35">
        <v>6.031053084752874</v>
      </c>
      <c r="NE13" s="35">
        <v>1.1443382390127954</v>
      </c>
      <c r="NF13" s="35">
        <v>1.2940850723633883</v>
      </c>
      <c r="NG13" s="35">
        <v>1.321460307233514</v>
      </c>
      <c r="NH13" s="35">
        <v>4.5621843940204645</v>
      </c>
      <c r="NI13" s="35">
        <v>0.99527765134274004</v>
      </c>
      <c r="NJ13" s="35">
        <v>0.93441354431367618</v>
      </c>
      <c r="NK13" s="35">
        <v>0.93913716885887322</v>
      </c>
      <c r="NL13" s="35">
        <v>3.4043722371134146</v>
      </c>
      <c r="NM13" s="35">
        <v>0.8597582562079602</v>
      </c>
      <c r="NN13" s="35">
        <v>0.66407026056444496</v>
      </c>
      <c r="NO13" s="35">
        <v>0.6558345111620445</v>
      </c>
      <c r="NP13" s="35">
        <v>2.5025264241709593</v>
      </c>
      <c r="NQ13" s="35">
        <v>0.73713523491630029</v>
      </c>
      <c r="NR13" s="35">
        <v>0.46374503017884611</v>
      </c>
      <c r="NS13" s="35">
        <v>0.4491863965399755</v>
      </c>
      <c r="NT13" s="35">
        <v>1.8092229860637898</v>
      </c>
      <c r="NU13" s="35">
        <v>0.62676376877560303</v>
      </c>
      <c r="NV13" s="35">
        <v>0.31762274701016618</v>
      </c>
      <c r="NW13" s="35">
        <v>0.3010658590894742</v>
      </c>
      <c r="NX13" s="35">
        <v>1.283957340234521</v>
      </c>
      <c r="NY13" s="35">
        <v>0.52799903909371371</v>
      </c>
      <c r="NZ13" s="35">
        <v>0.21288571054592076</v>
      </c>
    </row>
    <row r="14" spans="1:391" s="4" customFormat="1" ht="14.25" x14ac:dyDescent="0.2">
      <c r="A14" s="4">
        <v>8</v>
      </c>
      <c r="B14" s="16" t="s">
        <v>665</v>
      </c>
      <c r="C14" s="16" t="s">
        <v>448</v>
      </c>
      <c r="D14" s="16" t="s">
        <v>120</v>
      </c>
      <c r="E14" s="16" t="s">
        <v>448</v>
      </c>
      <c r="F14" s="31" t="s">
        <v>210</v>
      </c>
      <c r="G14" s="31" t="s">
        <v>211</v>
      </c>
      <c r="H14" s="32">
        <v>-1</v>
      </c>
      <c r="I14" s="33">
        <v>28.11</v>
      </c>
      <c r="J14" s="34">
        <v>21.782399999999999</v>
      </c>
      <c r="K14" s="32" t="s">
        <v>212</v>
      </c>
      <c r="L14" s="16">
        <v>0</v>
      </c>
      <c r="M14" s="16">
        <v>2</v>
      </c>
      <c r="N14" s="16" t="s">
        <v>448</v>
      </c>
      <c r="O14" s="16">
        <v>0</v>
      </c>
      <c r="P14" s="16">
        <v>0</v>
      </c>
      <c r="Q14" s="16">
        <v>1</v>
      </c>
      <c r="R14" s="16">
        <v>3</v>
      </c>
      <c r="S14" s="16">
        <v>0</v>
      </c>
      <c r="T14" s="16">
        <v>40</v>
      </c>
      <c r="U14" s="16">
        <v>0</v>
      </c>
      <c r="V14" s="16">
        <v>40</v>
      </c>
      <c r="W14" s="16">
        <v>0</v>
      </c>
      <c r="X14" s="16" t="s">
        <v>448</v>
      </c>
      <c r="Y14" s="35">
        <v>894.68001641839999</v>
      </c>
      <c r="Z14" s="35">
        <v>876.66945641839993</v>
      </c>
      <c r="AA14" s="35">
        <v>894.68001641839999</v>
      </c>
      <c r="AB14" s="35">
        <v>876.66945641839993</v>
      </c>
      <c r="AC14" s="35">
        <v>1456.3134414183999</v>
      </c>
      <c r="AD14" s="35">
        <v>1438.3028767343999</v>
      </c>
      <c r="AE14" s="35">
        <v>1420.2923120503999</v>
      </c>
      <c r="AF14" s="35">
        <v>1402.2817473663999</v>
      </c>
      <c r="AG14" s="35">
        <v>1384.2711826824</v>
      </c>
      <c r="AH14" s="35">
        <v>1294.2606179983998</v>
      </c>
      <c r="AI14" s="35">
        <v>1276.2500533143998</v>
      </c>
      <c r="AJ14" s="35">
        <v>1258.2394886303998</v>
      </c>
      <c r="AK14" s="35">
        <v>1240.2289239463998</v>
      </c>
      <c r="AL14" s="35">
        <v>1220.2238385659998</v>
      </c>
      <c r="AM14" s="35">
        <v>1202.2132738819998</v>
      </c>
      <c r="AN14" s="35">
        <v>1110.1659297655999</v>
      </c>
      <c r="AO14" s="35">
        <v>899.7187389067999</v>
      </c>
      <c r="AP14" s="35">
        <v>881.70817422279993</v>
      </c>
      <c r="AQ14" s="35">
        <v>863.69760953879995</v>
      </c>
      <c r="AR14" s="35">
        <v>845.68704485479998</v>
      </c>
      <c r="AS14" s="35">
        <v>825.68195947439995</v>
      </c>
      <c r="AT14" s="35">
        <v>807.67139479039997</v>
      </c>
      <c r="AU14" s="35">
        <v>789.6608301064</v>
      </c>
      <c r="AV14" s="35">
        <v>771.65026542240003</v>
      </c>
      <c r="AW14" s="35">
        <v>753.63970073840005</v>
      </c>
      <c r="AX14" s="35">
        <v>737.6659154867998</v>
      </c>
      <c r="AY14" s="35">
        <v>719.65535080279983</v>
      </c>
      <c r="AZ14" s="35">
        <v>701.64478611879986</v>
      </c>
      <c r="BA14" s="35">
        <v>683.63422143479988</v>
      </c>
      <c r="BB14" s="35">
        <v>663.62913605439985</v>
      </c>
      <c r="BC14" s="35">
        <v>645.61857137039988</v>
      </c>
      <c r="BD14" s="35">
        <v>627.6080066863999</v>
      </c>
      <c r="BE14" s="35">
        <v>609.59744200239993</v>
      </c>
      <c r="BF14" s="35">
        <v>591.58687731839996</v>
      </c>
      <c r="BG14" s="35">
        <v>607.60292130599987</v>
      </c>
      <c r="BH14" s="35">
        <v>589.5923566219999</v>
      </c>
      <c r="BI14" s="35">
        <v>555.58687751160005</v>
      </c>
      <c r="BJ14" s="35">
        <v>573.59744219560002</v>
      </c>
      <c r="BK14" s="35">
        <v>903.75003903559991</v>
      </c>
      <c r="BL14" s="35">
        <v>885.73947435159994</v>
      </c>
      <c r="BM14" s="35">
        <v>867.72890966759996</v>
      </c>
      <c r="BN14" s="35">
        <v>849.71834498359999</v>
      </c>
      <c r="BO14" s="35">
        <v>829.71325960319996</v>
      </c>
      <c r="BP14" s="35">
        <v>811.70269491919998</v>
      </c>
      <c r="BQ14" s="35">
        <v>793.69213023520001</v>
      </c>
      <c r="BR14" s="35">
        <v>775.68156555120004</v>
      </c>
      <c r="BS14" s="35">
        <v>757.67100086720006</v>
      </c>
      <c r="BT14" s="35">
        <v>741.69721561559982</v>
      </c>
      <c r="BU14" s="35">
        <v>723.68665093159984</v>
      </c>
      <c r="BV14" s="35">
        <v>705.67608624759987</v>
      </c>
      <c r="BW14" s="35">
        <v>687.6655215635999</v>
      </c>
      <c r="BX14" s="35">
        <v>667.66043618319986</v>
      </c>
      <c r="BY14" s="35">
        <v>649.64987149919989</v>
      </c>
      <c r="BZ14" s="35">
        <v>631.63930681519992</v>
      </c>
      <c r="CA14" s="35">
        <v>613.62874213119994</v>
      </c>
      <c r="CB14" s="35">
        <v>595.61817744719997</v>
      </c>
      <c r="CC14" s="35">
        <v>611.63422143479988</v>
      </c>
      <c r="CD14" s="35">
        <v>593.62365675079991</v>
      </c>
      <c r="CE14" s="35">
        <v>551.55557738280004</v>
      </c>
      <c r="CF14" s="35">
        <v>569.56614206680001</v>
      </c>
      <c r="CG14" s="35">
        <v>163.06064842000001</v>
      </c>
      <c r="CH14" s="35">
        <v>255.10799253639999</v>
      </c>
      <c r="CI14" s="35">
        <v>237.09742785239999</v>
      </c>
      <c r="CJ14" s="35">
        <v>219.08686316839999</v>
      </c>
      <c r="CK14" s="35">
        <v>201.07629848439998</v>
      </c>
      <c r="CL14" s="35">
        <v>55.0547752254</v>
      </c>
      <c r="CM14" s="35">
        <v>57.070425289800006</v>
      </c>
      <c r="CN14" s="35">
        <v>69.070425289799999</v>
      </c>
      <c r="CO14" s="35">
        <v>71.086075354200005</v>
      </c>
      <c r="CP14" s="35">
        <v>81.070425289799999</v>
      </c>
      <c r="CQ14" s="35">
        <v>83.086075354200005</v>
      </c>
      <c r="CR14" s="35">
        <v>85.101725418599997</v>
      </c>
      <c r="CS14" s="35">
        <v>95.086075354200005</v>
      </c>
      <c r="CT14" s="35">
        <v>97.101725418599997</v>
      </c>
      <c r="CU14" s="35">
        <v>99.117375483000004</v>
      </c>
      <c r="CV14" s="35">
        <v>109.1017254186</v>
      </c>
      <c r="CW14" s="35">
        <v>111.117375483</v>
      </c>
      <c r="CX14" s="35">
        <v>113.13302554740001</v>
      </c>
      <c r="CY14" s="35">
        <v>123.117375483</v>
      </c>
      <c r="CZ14" s="35">
        <v>125.13302554740001</v>
      </c>
      <c r="DA14" s="35">
        <v>127.1486756118</v>
      </c>
      <c r="DB14" s="35">
        <v>137.1330255474</v>
      </c>
      <c r="DC14" s="35">
        <v>139.1486756118</v>
      </c>
      <c r="DD14" s="35">
        <v>141.16432567620001</v>
      </c>
      <c r="DE14" s="35">
        <v>151.1486756118</v>
      </c>
      <c r="DF14" s="35">
        <v>153.16432567620001</v>
      </c>
      <c r="DG14" s="35">
        <v>155.17997574060001</v>
      </c>
      <c r="DH14" s="35">
        <v>165.16432567620001</v>
      </c>
      <c r="DI14" s="35">
        <v>167.17997574060001</v>
      </c>
      <c r="DJ14" s="35">
        <v>169.19562580499999</v>
      </c>
      <c r="DK14" s="35">
        <v>179.17997574060001</v>
      </c>
      <c r="DL14" s="35">
        <v>181.19562580499999</v>
      </c>
      <c r="DM14" s="35">
        <v>183.2112758694</v>
      </c>
      <c r="DN14" s="35">
        <v>193.19562580499999</v>
      </c>
      <c r="DO14" s="35">
        <v>195.2112758694</v>
      </c>
      <c r="DP14" s="35">
        <v>197.2269259338</v>
      </c>
      <c r="DQ14" s="35">
        <v>207.2112758694</v>
      </c>
      <c r="DR14" s="35">
        <v>209.2269259338</v>
      </c>
      <c r="DS14" s="35">
        <v>211.24257599820001</v>
      </c>
      <c r="DT14" s="35">
        <v>221.2269259338</v>
      </c>
      <c r="DU14" s="35">
        <v>223.24257599820001</v>
      </c>
      <c r="DV14" s="35">
        <v>225.25822606260002</v>
      </c>
      <c r="DW14" s="35">
        <v>235.24257599820001</v>
      </c>
      <c r="DX14" s="35">
        <v>237.25822606260002</v>
      </c>
      <c r="DY14" s="35">
        <v>239.27387612699999</v>
      </c>
      <c r="DZ14" s="35">
        <v>249.25822606260002</v>
      </c>
      <c r="EA14" s="35">
        <v>251.27387612699999</v>
      </c>
      <c r="EB14" s="35">
        <v>253.2895261914</v>
      </c>
      <c r="EC14" s="35">
        <v>263.27387612699999</v>
      </c>
      <c r="ED14" s="35">
        <v>265.2895261914</v>
      </c>
      <c r="EE14" s="35">
        <v>267.30517625580001</v>
      </c>
      <c r="EF14" s="35">
        <v>277.2895261914</v>
      </c>
      <c r="EG14" s="35">
        <v>279.30517625580001</v>
      </c>
      <c r="EH14" s="35">
        <v>281.32082632020001</v>
      </c>
      <c r="EI14" s="35">
        <v>291.30517625580001</v>
      </c>
      <c r="EJ14" s="35">
        <v>293.32082632020001</v>
      </c>
      <c r="EK14" s="35">
        <v>295.33647638460002</v>
      </c>
      <c r="EL14" s="35">
        <v>305.32082632020001</v>
      </c>
      <c r="EM14" s="35">
        <v>307.33647638460002</v>
      </c>
      <c r="EN14" s="35">
        <v>309.35212644900002</v>
      </c>
      <c r="EO14" s="35">
        <v>319.33647638460002</v>
      </c>
      <c r="EP14" s="35">
        <v>321.35212644900002</v>
      </c>
      <c r="EQ14" s="35">
        <v>323.36777651340003</v>
      </c>
      <c r="ER14" s="35">
        <v>333.35212644900002</v>
      </c>
      <c r="ES14" s="35">
        <v>335.36777651340003</v>
      </c>
      <c r="ET14" s="35">
        <v>55.0547752254</v>
      </c>
      <c r="EU14" s="35">
        <v>57.070425289800006</v>
      </c>
      <c r="EV14" s="35">
        <v>69.070425289799999</v>
      </c>
      <c r="EW14" s="35">
        <v>71.086075354200005</v>
      </c>
      <c r="EX14" s="35">
        <v>81.070425289799999</v>
      </c>
      <c r="EY14" s="35">
        <v>83.086075354200005</v>
      </c>
      <c r="EZ14" s="35">
        <v>85.101725418599997</v>
      </c>
      <c r="FA14" s="35">
        <v>95.086075354200005</v>
      </c>
      <c r="FB14" s="35">
        <v>97.101725418599997</v>
      </c>
      <c r="FC14" s="35">
        <v>99.117375483000004</v>
      </c>
      <c r="FD14" s="35">
        <v>109.1017254186</v>
      </c>
      <c r="FE14" s="35">
        <v>111.117375483</v>
      </c>
      <c r="FF14" s="35">
        <v>113.13302554740001</v>
      </c>
      <c r="FG14" s="35">
        <v>123.117375483</v>
      </c>
      <c r="FH14" s="35">
        <v>125.13302554740001</v>
      </c>
      <c r="FI14" s="35">
        <v>127.1486756118</v>
      </c>
      <c r="FJ14" s="35">
        <v>137.1330255474</v>
      </c>
      <c r="FK14" s="35">
        <v>139.1486756118</v>
      </c>
      <c r="FL14" s="35">
        <v>141.16432567620001</v>
      </c>
      <c r="FM14" s="35">
        <v>149.1330255474</v>
      </c>
      <c r="FN14" s="35">
        <v>151.1486756118</v>
      </c>
      <c r="FO14" s="35">
        <v>153.16432567620001</v>
      </c>
      <c r="FP14" s="35">
        <v>155.17997574060001</v>
      </c>
      <c r="FQ14" s="35">
        <v>163.1486756118</v>
      </c>
      <c r="FR14" s="35">
        <v>165.16432567620001</v>
      </c>
      <c r="FS14" s="35">
        <v>167.17997574060001</v>
      </c>
      <c r="FT14" s="35">
        <v>169.19562580499999</v>
      </c>
      <c r="FU14" s="35">
        <v>177.16432567620001</v>
      </c>
      <c r="FV14" s="35">
        <v>179.17997574060001</v>
      </c>
      <c r="FW14" s="35">
        <v>181.19562580499999</v>
      </c>
      <c r="FX14" s="35">
        <v>183.2112758694</v>
      </c>
      <c r="FY14" s="35">
        <v>191.17997574060001</v>
      </c>
      <c r="FZ14" s="35">
        <v>193.19562580499999</v>
      </c>
      <c r="GA14" s="35">
        <v>195.2112758694</v>
      </c>
      <c r="GB14" s="35">
        <v>197.2269259338</v>
      </c>
      <c r="GC14" s="35">
        <v>205.19562580499999</v>
      </c>
      <c r="GD14" s="35">
        <v>207.2112758694</v>
      </c>
      <c r="GE14" s="35">
        <v>209.2269259338</v>
      </c>
      <c r="GF14" s="35">
        <v>211.24257599820001</v>
      </c>
      <c r="GG14" s="35">
        <v>217.19562580499999</v>
      </c>
      <c r="GH14" s="35">
        <v>219.2112758694</v>
      </c>
      <c r="GI14" s="35">
        <v>221.2269259338</v>
      </c>
      <c r="GJ14" s="35">
        <v>223.24257599820001</v>
      </c>
      <c r="GK14" s="35">
        <v>225.25822606260002</v>
      </c>
      <c r="GL14" s="35">
        <v>231.2112758694</v>
      </c>
      <c r="GM14" s="35">
        <v>233.2269259338</v>
      </c>
      <c r="GN14" s="35">
        <v>235.24257599820001</v>
      </c>
      <c r="GO14" s="35">
        <v>237.25822606260002</v>
      </c>
      <c r="GP14" s="35">
        <v>239.27387612699999</v>
      </c>
      <c r="GQ14" s="35">
        <v>245.2269259338</v>
      </c>
      <c r="GR14" s="35">
        <v>247.24257599820001</v>
      </c>
      <c r="GS14" s="35">
        <v>249.25822606260002</v>
      </c>
      <c r="GT14" s="35">
        <v>251.27387612699999</v>
      </c>
      <c r="GU14" s="35">
        <v>253.2895261914</v>
      </c>
      <c r="GV14" s="35">
        <v>259.24257599819998</v>
      </c>
      <c r="GW14" s="35">
        <v>261.25822606259999</v>
      </c>
      <c r="GX14" s="35">
        <v>263.27387612699999</v>
      </c>
      <c r="GY14" s="35">
        <v>265.2895261914</v>
      </c>
      <c r="GZ14" s="35">
        <v>267.30517625580001</v>
      </c>
      <c r="HA14" s="35">
        <v>273.25822606259999</v>
      </c>
      <c r="HB14" s="35">
        <v>130.321</v>
      </c>
      <c r="HC14" s="35">
        <v>13.0321</v>
      </c>
      <c r="HD14" s="35">
        <v>13.0321</v>
      </c>
      <c r="HE14" s="35">
        <v>19.54815</v>
      </c>
      <c r="HF14" s="35">
        <v>29.322225</v>
      </c>
      <c r="HG14" s="35">
        <v>65.160499999999999</v>
      </c>
      <c r="HH14" s="35">
        <v>8.1450624999999999</v>
      </c>
      <c r="HI14" s="35">
        <v>1.0181328125</v>
      </c>
      <c r="HJ14" s="35">
        <v>0.50906640624999999</v>
      </c>
      <c r="HK14" s="36">
        <v>4.9152000000000022</v>
      </c>
      <c r="HL14" s="36">
        <v>2</v>
      </c>
      <c r="HM14" s="35">
        <v>0</v>
      </c>
      <c r="HN14" s="35">
        <v>15.360000000000003</v>
      </c>
      <c r="HO14" s="35">
        <v>8.533333333333335</v>
      </c>
      <c r="HP14" s="35">
        <v>5.9733333333333345</v>
      </c>
      <c r="HQ14" s="35">
        <v>1.9911111111111115</v>
      </c>
      <c r="HR14" s="35">
        <v>29.160000000000004</v>
      </c>
      <c r="HS14" s="35">
        <v>29.160000000000004</v>
      </c>
      <c r="HT14" s="35">
        <v>14.580000000000002</v>
      </c>
      <c r="HU14" s="35">
        <v>29.160000000000004</v>
      </c>
      <c r="HV14" s="35">
        <v>5.8320000000000007</v>
      </c>
      <c r="HW14" s="35">
        <v>17.920000000000005</v>
      </c>
      <c r="HX14" s="35">
        <v>9.9555555555555575</v>
      </c>
      <c r="HY14" s="35">
        <v>6.9688888888888902</v>
      </c>
      <c r="HZ14" s="35">
        <v>2.3229629629629636</v>
      </c>
      <c r="IA14" s="35">
        <v>29.160000000000004</v>
      </c>
      <c r="IB14" s="35">
        <v>29.160000000000004</v>
      </c>
      <c r="IC14" s="35">
        <v>14.580000000000002</v>
      </c>
      <c r="ID14" s="35">
        <v>29.160000000000004</v>
      </c>
      <c r="IE14" s="35">
        <v>5.8320000000000007</v>
      </c>
      <c r="IF14" s="35">
        <v>15</v>
      </c>
      <c r="IG14" s="35">
        <v>3.75</v>
      </c>
      <c r="IH14" s="35">
        <v>21.599999999999998</v>
      </c>
      <c r="II14" s="35">
        <v>10.799999999999999</v>
      </c>
      <c r="IJ14" s="35">
        <v>48</v>
      </c>
      <c r="IK14" s="35">
        <v>26.666666666666664</v>
      </c>
      <c r="IL14" s="35">
        <v>18.666666666666664</v>
      </c>
      <c r="IM14" s="35">
        <v>6.2222222222222214</v>
      </c>
      <c r="IN14" s="35">
        <v>36</v>
      </c>
      <c r="IO14" s="35">
        <v>36</v>
      </c>
      <c r="IP14" s="35">
        <v>18</v>
      </c>
      <c r="IQ14" s="35">
        <v>36</v>
      </c>
      <c r="IR14" s="35">
        <v>7.2</v>
      </c>
      <c r="IS14" s="35">
        <v>56</v>
      </c>
      <c r="IT14" s="35">
        <v>31.111111111111111</v>
      </c>
      <c r="IU14" s="35">
        <v>21.777777777777775</v>
      </c>
      <c r="IV14" s="35">
        <v>7.2592592592592586</v>
      </c>
      <c r="IW14" s="35">
        <v>36</v>
      </c>
      <c r="IX14" s="35">
        <v>36</v>
      </c>
      <c r="IY14" s="35">
        <v>18</v>
      </c>
      <c r="IZ14" s="35">
        <v>36</v>
      </c>
      <c r="JA14" s="35">
        <v>7.2</v>
      </c>
      <c r="JB14" s="35">
        <v>15</v>
      </c>
      <c r="JC14" s="35">
        <v>3.75</v>
      </c>
      <c r="JD14" s="35">
        <v>15.552</v>
      </c>
      <c r="JE14" s="35">
        <v>7.7759999999999998</v>
      </c>
      <c r="JF14" s="35">
        <v>0</v>
      </c>
      <c r="JG14" s="35">
        <v>60</v>
      </c>
      <c r="JH14" s="35">
        <v>30</v>
      </c>
      <c r="JI14" s="35">
        <v>30</v>
      </c>
      <c r="JJ14" s="35">
        <v>40</v>
      </c>
      <c r="JK14" s="35">
        <v>1.831817626953125</v>
      </c>
      <c r="JL14" s="35">
        <v>3.9085542785616756</v>
      </c>
      <c r="JM14" s="35">
        <v>5.5902637541294098</v>
      </c>
      <c r="JN14" s="35">
        <v>6.6844560764679102</v>
      </c>
      <c r="JO14" s="35">
        <v>4.1731095314025879</v>
      </c>
      <c r="JP14" s="35">
        <v>13.910365104675293</v>
      </c>
      <c r="JQ14" s="35">
        <v>8.2393747155211656</v>
      </c>
      <c r="JR14" s="35">
        <v>10.523023046553135</v>
      </c>
      <c r="JS14" s="35">
        <v>47.488933104557965</v>
      </c>
      <c r="JT14" s="35">
        <v>3.5747610377787895</v>
      </c>
      <c r="JU14" s="35">
        <v>23.447265625</v>
      </c>
      <c r="JV14" s="35">
        <v>58.6181640625</v>
      </c>
      <c r="JW14" s="35">
        <v>2.9420658852981334</v>
      </c>
      <c r="JX14" s="35">
        <v>18.340553474863764</v>
      </c>
      <c r="JY14" s="35">
        <v>47.488933104557965</v>
      </c>
      <c r="JZ14" s="35">
        <v>3.3427401001365502</v>
      </c>
      <c r="KA14" s="35">
        <v>14.218460218992666</v>
      </c>
      <c r="KB14" s="35">
        <v>38.179198736184006</v>
      </c>
      <c r="KC14" s="35">
        <v>3.7782345243513888</v>
      </c>
      <c r="KD14" s="35">
        <v>10.917410842418233</v>
      </c>
      <c r="KE14" s="35">
        <v>30.44278023366623</v>
      </c>
      <c r="KF14" s="35">
        <v>4.25</v>
      </c>
      <c r="KG14" s="35">
        <v>8.296334973198956</v>
      </c>
      <c r="KH14" s="35">
        <v>24.059371422276975</v>
      </c>
      <c r="KI14" s="35">
        <v>3.7782345243513888</v>
      </c>
      <c r="KJ14" s="35">
        <v>6.2342599931508875</v>
      </c>
      <c r="KK14" s="35">
        <v>18.832660395976639</v>
      </c>
      <c r="KL14" s="35">
        <v>3.3427401001365502</v>
      </c>
      <c r="KM14" s="35">
        <v>4.6280822675183844</v>
      </c>
      <c r="KN14" s="35">
        <v>14.588520191090559</v>
      </c>
      <c r="KO14" s="35">
        <v>2.9420658852981334</v>
      </c>
      <c r="KP14" s="35">
        <v>3.3905096428567076</v>
      </c>
      <c r="KQ14" s="35">
        <v>11.173270413959607</v>
      </c>
      <c r="KR14" s="35">
        <v>2.5747610377787895</v>
      </c>
      <c r="KS14" s="35">
        <v>2.4481683623978912</v>
      </c>
      <c r="KT14" s="35">
        <v>8.4520098225641469</v>
      </c>
      <c r="KU14" s="35">
        <v>2.2393747155211652</v>
      </c>
      <c r="KV14" s="35">
        <v>1.7398675481714156</v>
      </c>
      <c r="KW14" s="35">
        <v>6.30701986212138</v>
      </c>
      <c r="KX14" s="35">
        <v>1.9344560764679104</v>
      </c>
      <c r="KY14" s="35">
        <v>1.2150143991512878</v>
      </c>
      <c r="KZ14" s="35">
        <v>4.6362391546562289</v>
      </c>
      <c r="LA14" s="35">
        <v>1.6585542785616756</v>
      </c>
      <c r="LB14" s="35">
        <v>0.83217325470098846</v>
      </c>
      <c r="LC14" s="35">
        <v>3.3518089425456479</v>
      </c>
      <c r="LD14" s="35">
        <v>1.4102184797451067</v>
      </c>
      <c r="LE14" s="35">
        <v>0.55776167258782994</v>
      </c>
      <c r="LF14" s="35">
        <v>2.3786894860363308</v>
      </c>
      <c r="LG14" s="35">
        <v>1.1879978379608558</v>
      </c>
      <c r="LH14" s="35">
        <v>0.36487667083827779</v>
      </c>
      <c r="LI14" s="35">
        <v>1.6533474147359464</v>
      </c>
      <c r="LJ14" s="35">
        <v>0.99044151115157042</v>
      </c>
      <c r="LK14" s="35">
        <v>0.23224428270574216</v>
      </c>
      <c r="LL14" s="35">
        <v>1.1225140330777554</v>
      </c>
      <c r="LM14" s="35">
        <v>0.81609865725989961</v>
      </c>
      <c r="LN14" s="35">
        <v>0.14328557402237305</v>
      </c>
      <c r="LO14" s="35">
        <v>0.74201457975871821</v>
      </c>
      <c r="LP14" s="35">
        <v>0.66351843422849333</v>
      </c>
      <c r="LQ14" s="35">
        <v>8.5292272206392447E-2</v>
      </c>
      <c r="LR14" s="35">
        <v>0.47566844115103485</v>
      </c>
      <c r="LS14" s="35">
        <v>0.476837158203125</v>
      </c>
      <c r="LT14" s="35">
        <v>1.5708885696404189</v>
      </c>
      <c r="LU14" s="35">
        <v>1.4551915228366852</v>
      </c>
      <c r="LV14" s="35">
        <v>1.9523640191169775</v>
      </c>
      <c r="LW14" s="35">
        <v>1.0862946510314941</v>
      </c>
      <c r="LX14" s="35">
        <v>3.6209821701049805</v>
      </c>
      <c r="LY14" s="35">
        <v>2.1848436788802914</v>
      </c>
      <c r="LZ14" s="35">
        <v>2.7392292395234108</v>
      </c>
      <c r="MA14" s="35">
        <v>12.361758929757904</v>
      </c>
      <c r="MB14" s="35">
        <v>1.6436902594446974</v>
      </c>
      <c r="MC14" s="35">
        <v>6.103515625</v>
      </c>
      <c r="MD14" s="35">
        <v>15.2587890625</v>
      </c>
      <c r="ME14" s="35">
        <v>0.73551647132453335</v>
      </c>
      <c r="MF14" s="35">
        <v>4.7741965521823628</v>
      </c>
      <c r="MG14" s="35">
        <v>12.361758929757904</v>
      </c>
      <c r="MH14" s="35">
        <v>0.83568502503413755</v>
      </c>
      <c r="MI14" s="35">
        <v>3.7011818562559</v>
      </c>
      <c r="MJ14" s="35">
        <v>9.938358688094544</v>
      </c>
      <c r="MK14" s="35">
        <v>0.94455863108784721</v>
      </c>
      <c r="ML14" s="35">
        <v>2.6171307889631601</v>
      </c>
      <c r="MM14" s="35">
        <v>2.8418916187052878</v>
      </c>
      <c r="MN14" s="35">
        <v>7.9245054752358994</v>
      </c>
      <c r="MO14" s="35">
        <v>1.0625</v>
      </c>
      <c r="MP14" s="35">
        <v>2.0095208349837232</v>
      </c>
      <c r="MQ14" s="35">
        <v>2.1596040642437933</v>
      </c>
      <c r="MR14" s="35">
        <v>6.2628517863070012</v>
      </c>
      <c r="MS14" s="35">
        <v>0.94455863108784721</v>
      </c>
      <c r="MT14" s="35">
        <v>1.5270706785048145</v>
      </c>
      <c r="MU14" s="35">
        <v>1.6228290277881319</v>
      </c>
      <c r="MV14" s="35">
        <v>4.9022960214433144</v>
      </c>
      <c r="MW14" s="35">
        <v>0.83568502503413755</v>
      </c>
      <c r="MX14" s="35">
        <v>1.1475134102553601</v>
      </c>
      <c r="MY14" s="35">
        <v>1.2047277872548898</v>
      </c>
      <c r="MZ14" s="35">
        <v>3.7975115033034568</v>
      </c>
      <c r="NA14" s="35">
        <v>0.73551647132453335</v>
      </c>
      <c r="NB14" s="35">
        <v>0.85187118785179694</v>
      </c>
      <c r="NC14" s="35">
        <v>0.8825774788777353</v>
      </c>
      <c r="ND14" s="35">
        <v>2.908493964483446</v>
      </c>
      <c r="NE14" s="35">
        <v>0.64369025944469738</v>
      </c>
      <c r="NF14" s="35">
        <v>0.62407652023697346</v>
      </c>
      <c r="NG14" s="35">
        <v>2.0566158053263899</v>
      </c>
      <c r="NH14" s="35">
        <v>0.63727831174455729</v>
      </c>
      <c r="NI14" s="35">
        <v>2.2001275048323996</v>
      </c>
      <c r="NJ14" s="35">
        <v>0.5598436788802913</v>
      </c>
      <c r="NK14" s="35">
        <v>0.45062381573769106</v>
      </c>
      <c r="NL14" s="35">
        <v>1.5557250781420282</v>
      </c>
      <c r="NM14" s="35">
        <v>0.45290179825370042</v>
      </c>
      <c r="NN14" s="35">
        <v>1.6417690186696638</v>
      </c>
      <c r="NO14" s="35">
        <v>0.4836140191169776</v>
      </c>
      <c r="NP14" s="35">
        <v>0.32024993275677321</v>
      </c>
      <c r="NQ14" s="35">
        <v>1.1609060062433028</v>
      </c>
      <c r="NR14" s="35">
        <v>0.31627821718848598</v>
      </c>
      <c r="NS14" s="35">
        <v>1.2068510919034332</v>
      </c>
      <c r="NT14" s="35">
        <v>0.4146385696404189</v>
      </c>
      <c r="NU14" s="35">
        <v>0.22364247211557009</v>
      </c>
      <c r="NV14" s="35">
        <v>0.85337259096730689</v>
      </c>
      <c r="NW14" s="35">
        <v>0.21662152610917026</v>
      </c>
      <c r="NX14" s="35">
        <v>0.8725033690508246</v>
      </c>
      <c r="NY14" s="35">
        <v>0.35255461993627668</v>
      </c>
      <c r="NZ14" s="35">
        <v>0.15317455006277303</v>
      </c>
    </row>
    <row r="15" spans="1:391" s="4" customFormat="1" ht="14.25" x14ac:dyDescent="0.2">
      <c r="A15" s="4">
        <v>9</v>
      </c>
      <c r="B15" s="16" t="s">
        <v>665</v>
      </c>
      <c r="C15" s="16" t="s">
        <v>449</v>
      </c>
      <c r="D15" s="16" t="s">
        <v>120</v>
      </c>
      <c r="E15" s="16" t="s">
        <v>449</v>
      </c>
      <c r="F15" s="31" t="s">
        <v>213</v>
      </c>
      <c r="G15" s="31" t="s">
        <v>214</v>
      </c>
      <c r="H15" s="32">
        <v>-1</v>
      </c>
      <c r="I15" s="33">
        <v>27.69</v>
      </c>
      <c r="J15" s="34">
        <v>21.782399999999999</v>
      </c>
      <c r="K15" s="32" t="s">
        <v>215</v>
      </c>
      <c r="L15" s="16">
        <v>0</v>
      </c>
      <c r="M15" s="16">
        <v>2</v>
      </c>
      <c r="N15" s="16" t="s">
        <v>449</v>
      </c>
      <c r="O15" s="16">
        <v>0</v>
      </c>
      <c r="P15" s="16">
        <v>0</v>
      </c>
      <c r="Q15" s="16">
        <v>0</v>
      </c>
      <c r="R15" s="16">
        <v>4</v>
      </c>
      <c r="S15" s="16">
        <v>0</v>
      </c>
      <c r="T15" s="16">
        <v>40</v>
      </c>
      <c r="U15" s="16">
        <v>0</v>
      </c>
      <c r="V15" s="16">
        <v>40</v>
      </c>
      <c r="W15" s="16">
        <v>0</v>
      </c>
      <c r="X15" s="16" t="s">
        <v>449</v>
      </c>
      <c r="Y15" s="35">
        <v>894.68001641839999</v>
      </c>
      <c r="Z15" s="35">
        <v>876.66945641839993</v>
      </c>
      <c r="AA15" s="35">
        <v>894.68001641839999</v>
      </c>
      <c r="AB15" s="35">
        <v>876.66945641839993</v>
      </c>
      <c r="AC15" s="35">
        <v>1456.3134414183999</v>
      </c>
      <c r="AD15" s="35">
        <v>1438.3028767343999</v>
      </c>
      <c r="AE15" s="35">
        <v>1420.2923120503999</v>
      </c>
      <c r="AF15" s="35">
        <v>1402.2817473663999</v>
      </c>
      <c r="AG15" s="35">
        <v>1384.2711826824</v>
      </c>
      <c r="AH15" s="35">
        <v>1294.2606179983998</v>
      </c>
      <c r="AI15" s="35">
        <v>1276.2500533143998</v>
      </c>
      <c r="AJ15" s="35">
        <v>1258.2394886303998</v>
      </c>
      <c r="AK15" s="35">
        <v>1240.2289239463998</v>
      </c>
      <c r="AL15" s="35">
        <v>1220.2238385659998</v>
      </c>
      <c r="AM15" s="35">
        <v>1202.2132738819998</v>
      </c>
      <c r="AN15" s="35">
        <v>1110.1659297655999</v>
      </c>
      <c r="AO15" s="35">
        <v>897.70308884239989</v>
      </c>
      <c r="AP15" s="35">
        <v>879.69252415839992</v>
      </c>
      <c r="AQ15" s="35">
        <v>861.68195947439995</v>
      </c>
      <c r="AR15" s="35">
        <v>843.67139479039997</v>
      </c>
      <c r="AS15" s="35">
        <v>823.66630940999994</v>
      </c>
      <c r="AT15" s="35">
        <v>805.65574472599997</v>
      </c>
      <c r="AU15" s="35">
        <v>787.64518004199999</v>
      </c>
      <c r="AV15" s="35">
        <v>769.63461535800002</v>
      </c>
      <c r="AW15" s="35">
        <v>751.62405067400005</v>
      </c>
      <c r="AX15" s="35">
        <v>735.6502654223998</v>
      </c>
      <c r="AY15" s="35">
        <v>717.63970073839982</v>
      </c>
      <c r="AZ15" s="35">
        <v>699.62913605439985</v>
      </c>
      <c r="BA15" s="35">
        <v>681.61857137039988</v>
      </c>
      <c r="BB15" s="35">
        <v>661.61348598999984</v>
      </c>
      <c r="BC15" s="35">
        <v>643.60292130599987</v>
      </c>
      <c r="BD15" s="35">
        <v>625.5923566219999</v>
      </c>
      <c r="BE15" s="35">
        <v>607.58179193799992</v>
      </c>
      <c r="BF15" s="35">
        <v>589.57122725399995</v>
      </c>
      <c r="BG15" s="35">
        <v>605.58727124159986</v>
      </c>
      <c r="BH15" s="35">
        <v>587.57670655759989</v>
      </c>
      <c r="BI15" s="35">
        <v>557.60252757600006</v>
      </c>
      <c r="BJ15" s="35">
        <v>575.61309226000003</v>
      </c>
      <c r="BK15" s="35">
        <v>905.76568909999992</v>
      </c>
      <c r="BL15" s="35">
        <v>887.75512441599994</v>
      </c>
      <c r="BM15" s="35">
        <v>869.74455973199997</v>
      </c>
      <c r="BN15" s="35">
        <v>851.733995048</v>
      </c>
      <c r="BO15" s="35">
        <v>831.72890966759996</v>
      </c>
      <c r="BP15" s="35">
        <v>813.71834498359999</v>
      </c>
      <c r="BQ15" s="35">
        <v>795.70778029960002</v>
      </c>
      <c r="BR15" s="35">
        <v>777.69721561560004</v>
      </c>
      <c r="BS15" s="35">
        <v>759.68665093160007</v>
      </c>
      <c r="BT15" s="35">
        <v>743.71286567999982</v>
      </c>
      <c r="BU15" s="35">
        <v>725.70230099599985</v>
      </c>
      <c r="BV15" s="35">
        <v>707.69173631199988</v>
      </c>
      <c r="BW15" s="35">
        <v>689.6811716279999</v>
      </c>
      <c r="BX15" s="35">
        <v>669.67608624759987</v>
      </c>
      <c r="BY15" s="35">
        <v>651.6655215635999</v>
      </c>
      <c r="BZ15" s="35">
        <v>633.65495687959992</v>
      </c>
      <c r="CA15" s="35">
        <v>615.64439219559995</v>
      </c>
      <c r="CB15" s="35">
        <v>597.63382751159997</v>
      </c>
      <c r="CC15" s="35">
        <v>613.64987149919989</v>
      </c>
      <c r="CD15" s="35">
        <v>595.63930681519992</v>
      </c>
      <c r="CE15" s="35">
        <v>549.53992731840003</v>
      </c>
      <c r="CF15" s="35">
        <v>567.55049200240001</v>
      </c>
      <c r="CG15" s="35">
        <v>163.06064842000001</v>
      </c>
      <c r="CH15" s="35">
        <v>255.10799253639999</v>
      </c>
      <c r="CI15" s="35">
        <v>237.09742785239999</v>
      </c>
      <c r="CJ15" s="35">
        <v>219.08686316839999</v>
      </c>
      <c r="CK15" s="35">
        <v>201.07629848439998</v>
      </c>
      <c r="CL15" s="35">
        <v>55.0547752254</v>
      </c>
      <c r="CM15" s="35">
        <v>57.070425289800006</v>
      </c>
      <c r="CN15" s="35">
        <v>69.070425289799999</v>
      </c>
      <c r="CO15" s="35">
        <v>71.086075354200005</v>
      </c>
      <c r="CP15" s="35">
        <v>83.086075354200005</v>
      </c>
      <c r="CQ15" s="35">
        <v>85.101725418599997</v>
      </c>
      <c r="CR15" s="35">
        <v>97.101725418599997</v>
      </c>
      <c r="CS15" s="35">
        <v>99.117375483000004</v>
      </c>
      <c r="CT15" s="35">
        <v>111.117375483</v>
      </c>
      <c r="CU15" s="35">
        <v>113.13302554740001</v>
      </c>
      <c r="CV15" s="35">
        <v>125.13302554740001</v>
      </c>
      <c r="CW15" s="35">
        <v>127.1486756118</v>
      </c>
      <c r="CX15" s="35">
        <v>139.1486756118</v>
      </c>
      <c r="CY15" s="35">
        <v>141.16432567620001</v>
      </c>
      <c r="CZ15" s="35">
        <v>153.16432567620001</v>
      </c>
      <c r="DA15" s="35">
        <v>155.17997574060001</v>
      </c>
      <c r="DB15" s="35">
        <v>167.17997574060001</v>
      </c>
      <c r="DC15" s="35">
        <v>169.19562580499999</v>
      </c>
      <c r="DD15" s="35">
        <v>181.19562580499999</v>
      </c>
      <c r="DE15" s="35">
        <v>183.2112758694</v>
      </c>
      <c r="DF15" s="35">
        <v>195.2112758694</v>
      </c>
      <c r="DG15" s="35">
        <v>197.2269259338</v>
      </c>
      <c r="DH15" s="35">
        <v>209.2269259338</v>
      </c>
      <c r="DI15" s="35">
        <v>211.24257599820001</v>
      </c>
      <c r="DJ15" s="35">
        <v>223.24257599820001</v>
      </c>
      <c r="DK15" s="35">
        <v>225.25822606260002</v>
      </c>
      <c r="DL15" s="35">
        <v>237.25822606260002</v>
      </c>
      <c r="DM15" s="35">
        <v>239.27387612699999</v>
      </c>
      <c r="DN15" s="35">
        <v>251.27387612699999</v>
      </c>
      <c r="DO15" s="35">
        <v>253.2895261914</v>
      </c>
      <c r="DP15" s="35">
        <v>265.2895261914</v>
      </c>
      <c r="DQ15" s="35">
        <v>267.30517625580001</v>
      </c>
      <c r="DR15" s="35">
        <v>279.30517625580001</v>
      </c>
      <c r="DS15" s="35">
        <v>281.32082632020001</v>
      </c>
      <c r="DT15" s="35">
        <v>293.32082632020001</v>
      </c>
      <c r="DU15" s="35">
        <v>295.33647638460002</v>
      </c>
      <c r="DV15" s="35">
        <v>307.33647638460002</v>
      </c>
      <c r="DW15" s="35">
        <v>309.35212644900002</v>
      </c>
      <c r="DX15" s="35">
        <v>321.35212644900002</v>
      </c>
      <c r="DY15" s="35">
        <v>323.36777651340003</v>
      </c>
      <c r="DZ15" s="35">
        <v>335.36777651340003</v>
      </c>
      <c r="EA15" s="35">
        <v>337.38342657779998</v>
      </c>
      <c r="EB15" s="35">
        <v>349.38342657779998</v>
      </c>
      <c r="EC15" s="35">
        <v>351.39907664219999</v>
      </c>
      <c r="ED15" s="35">
        <v>363.39907664219999</v>
      </c>
      <c r="EE15" s="35">
        <v>365.41472670659999</v>
      </c>
      <c r="EF15" s="35">
        <v>377.41472670659999</v>
      </c>
      <c r="EG15" s="35">
        <v>379.430376771</v>
      </c>
      <c r="EH15" s="35">
        <v>391.430376771</v>
      </c>
      <c r="EI15" s="35">
        <v>393.4460268354</v>
      </c>
      <c r="EJ15" s="35">
        <v>405.4460268354</v>
      </c>
      <c r="EK15" s="35">
        <v>407.46167689980001</v>
      </c>
      <c r="EL15" s="35">
        <v>419.46167689980001</v>
      </c>
      <c r="EM15" s="35">
        <v>421.47732696420002</v>
      </c>
      <c r="EN15" s="35">
        <v>433.47732696420002</v>
      </c>
      <c r="EO15" s="35">
        <v>435.49297702860002</v>
      </c>
      <c r="EP15" s="35">
        <v>447.49297702860002</v>
      </c>
      <c r="EQ15" s="35">
        <v>449.50862709300003</v>
      </c>
      <c r="ER15" s="35">
        <v>461.50862709300003</v>
      </c>
      <c r="ES15" s="35">
        <v>463.52427715739998</v>
      </c>
      <c r="ET15" s="35">
        <v>55.0547752254</v>
      </c>
      <c r="EU15" s="35">
        <v>57.070425289800006</v>
      </c>
      <c r="EV15" s="35">
        <v>69.070425289799999</v>
      </c>
      <c r="EW15" s="35">
        <v>71.086075354200005</v>
      </c>
      <c r="EX15" s="35">
        <v>81.070425289799999</v>
      </c>
      <c r="EY15" s="35">
        <v>83.086075354200005</v>
      </c>
      <c r="EZ15" s="35">
        <v>85.101725418599997</v>
      </c>
      <c r="FA15" s="35">
        <v>95.086075354200005</v>
      </c>
      <c r="FB15" s="35">
        <v>97.101725418599997</v>
      </c>
      <c r="FC15" s="35">
        <v>99.117375483000004</v>
      </c>
      <c r="FD15" s="35">
        <v>109.1017254186</v>
      </c>
      <c r="FE15" s="35">
        <v>111.117375483</v>
      </c>
      <c r="FF15" s="35">
        <v>113.13302554740001</v>
      </c>
      <c r="FG15" s="35">
        <v>123.117375483</v>
      </c>
      <c r="FH15" s="35">
        <v>125.13302554740001</v>
      </c>
      <c r="FI15" s="35">
        <v>127.1486756118</v>
      </c>
      <c r="FJ15" s="35">
        <v>137.1330255474</v>
      </c>
      <c r="FK15" s="35">
        <v>139.1486756118</v>
      </c>
      <c r="FL15" s="35">
        <v>141.16432567620001</v>
      </c>
      <c r="FM15" s="35">
        <v>149.1330255474</v>
      </c>
      <c r="FN15" s="35">
        <v>151.1486756118</v>
      </c>
      <c r="FO15" s="35">
        <v>153.16432567620001</v>
      </c>
      <c r="FP15" s="35">
        <v>155.17997574060001</v>
      </c>
      <c r="FQ15" s="35">
        <v>163.1486756118</v>
      </c>
      <c r="FR15" s="35">
        <v>165.16432567620001</v>
      </c>
      <c r="FS15" s="35">
        <v>167.17997574060001</v>
      </c>
      <c r="FT15" s="35">
        <v>169.19562580499999</v>
      </c>
      <c r="FU15" s="35">
        <v>177.16432567620001</v>
      </c>
      <c r="FV15" s="35">
        <v>179.17997574060001</v>
      </c>
      <c r="FW15" s="35">
        <v>181.19562580499999</v>
      </c>
      <c r="FX15" s="35">
        <v>183.2112758694</v>
      </c>
      <c r="FY15" s="35">
        <v>191.17997574060001</v>
      </c>
      <c r="FZ15" s="35">
        <v>193.19562580499999</v>
      </c>
      <c r="GA15" s="35">
        <v>195.2112758694</v>
      </c>
      <c r="GB15" s="35">
        <v>197.2269259338</v>
      </c>
      <c r="GC15" s="35">
        <v>205.19562580499999</v>
      </c>
      <c r="GD15" s="35">
        <v>207.2112758694</v>
      </c>
      <c r="GE15" s="35">
        <v>209.2269259338</v>
      </c>
      <c r="GF15" s="35">
        <v>211.24257599820001</v>
      </c>
      <c r="GG15" s="35">
        <v>217.19562580499999</v>
      </c>
      <c r="GH15" s="35">
        <v>219.2112758694</v>
      </c>
      <c r="GI15" s="35">
        <v>221.2269259338</v>
      </c>
      <c r="GJ15" s="35">
        <v>223.24257599820001</v>
      </c>
      <c r="GK15" s="35">
        <v>225.25822606260002</v>
      </c>
      <c r="GL15" s="35">
        <v>231.2112758694</v>
      </c>
      <c r="GM15" s="35">
        <v>233.2269259338</v>
      </c>
      <c r="GN15" s="35">
        <v>235.24257599820001</v>
      </c>
      <c r="GO15" s="35">
        <v>237.25822606260002</v>
      </c>
      <c r="GP15" s="35">
        <v>239.27387612699999</v>
      </c>
      <c r="GQ15" s="35">
        <v>245.2269259338</v>
      </c>
      <c r="GR15" s="35">
        <v>247.24257599820001</v>
      </c>
      <c r="GS15" s="35">
        <v>249.25822606260002</v>
      </c>
      <c r="GT15" s="35">
        <v>251.27387612699999</v>
      </c>
      <c r="GU15" s="35">
        <v>253.2895261914</v>
      </c>
      <c r="GV15" s="35">
        <v>259.24257599819998</v>
      </c>
      <c r="GW15" s="35">
        <v>261.25822606259999</v>
      </c>
      <c r="GX15" s="35">
        <v>263.27387612699999</v>
      </c>
      <c r="GY15" s="35">
        <v>265.2895261914</v>
      </c>
      <c r="GZ15" s="35">
        <v>267.30517625580001</v>
      </c>
      <c r="HA15" s="35">
        <v>273.25822606259999</v>
      </c>
      <c r="HB15" s="35">
        <v>130.321</v>
      </c>
      <c r="HC15" s="35">
        <v>13.0321</v>
      </c>
      <c r="HD15" s="35">
        <v>13.0321</v>
      </c>
      <c r="HE15" s="35">
        <v>19.54815</v>
      </c>
      <c r="HF15" s="35">
        <v>29.322225</v>
      </c>
      <c r="HG15" s="35">
        <v>65.160499999999999</v>
      </c>
      <c r="HH15" s="35">
        <v>8.1450624999999999</v>
      </c>
      <c r="HI15" s="35">
        <v>1.0181328125</v>
      </c>
      <c r="HJ15" s="35">
        <v>0.50906640624999999</v>
      </c>
      <c r="HK15" s="36">
        <v>4.9152000000000022</v>
      </c>
      <c r="HL15" s="36">
        <v>2</v>
      </c>
      <c r="HM15" s="35">
        <v>0</v>
      </c>
      <c r="HN15" s="35">
        <v>12.288000000000006</v>
      </c>
      <c r="HO15" s="35">
        <v>6.8266666666666698</v>
      </c>
      <c r="HP15" s="35">
        <v>4.7786666666666688</v>
      </c>
      <c r="HQ15" s="35">
        <v>1.5928888888888897</v>
      </c>
      <c r="HR15" s="35">
        <v>26.244000000000007</v>
      </c>
      <c r="HS15" s="35">
        <v>26.244000000000007</v>
      </c>
      <c r="HT15" s="35">
        <v>13.122000000000003</v>
      </c>
      <c r="HU15" s="35">
        <v>26.244000000000007</v>
      </c>
      <c r="HV15" s="35">
        <v>5.248800000000001</v>
      </c>
      <c r="HW15" s="35">
        <v>14.336000000000006</v>
      </c>
      <c r="HX15" s="35">
        <v>7.9644444444444478</v>
      </c>
      <c r="HY15" s="35">
        <v>5.5751111111111129</v>
      </c>
      <c r="HZ15" s="35">
        <v>1.8583703703703709</v>
      </c>
      <c r="IA15" s="35">
        <v>26.244000000000007</v>
      </c>
      <c r="IB15" s="35">
        <v>26.244000000000007</v>
      </c>
      <c r="IC15" s="35">
        <v>13.122000000000003</v>
      </c>
      <c r="ID15" s="35">
        <v>26.244000000000007</v>
      </c>
      <c r="IE15" s="35">
        <v>5.248800000000001</v>
      </c>
      <c r="IF15" s="35">
        <v>15</v>
      </c>
      <c r="IG15" s="35">
        <v>3.75</v>
      </c>
      <c r="IH15" s="35">
        <v>18</v>
      </c>
      <c r="II15" s="35">
        <v>9</v>
      </c>
      <c r="IJ15" s="35">
        <v>60</v>
      </c>
      <c r="IK15" s="35">
        <v>33.333333333333336</v>
      </c>
      <c r="IL15" s="35">
        <v>23.333333333333332</v>
      </c>
      <c r="IM15" s="35">
        <v>7.7777777777777777</v>
      </c>
      <c r="IN15" s="35">
        <v>40</v>
      </c>
      <c r="IO15" s="35">
        <v>40</v>
      </c>
      <c r="IP15" s="35">
        <v>20</v>
      </c>
      <c r="IQ15" s="35">
        <v>40</v>
      </c>
      <c r="IR15" s="35">
        <v>8</v>
      </c>
      <c r="IS15" s="35">
        <v>70</v>
      </c>
      <c r="IT15" s="35">
        <v>38.888888888888886</v>
      </c>
      <c r="IU15" s="35">
        <v>27.222222222222218</v>
      </c>
      <c r="IV15" s="35">
        <v>9.0740740740740726</v>
      </c>
      <c r="IW15" s="35">
        <v>40</v>
      </c>
      <c r="IX15" s="35">
        <v>40</v>
      </c>
      <c r="IY15" s="35">
        <v>20</v>
      </c>
      <c r="IZ15" s="35">
        <v>40</v>
      </c>
      <c r="JA15" s="35">
        <v>8</v>
      </c>
      <c r="JB15" s="35">
        <v>15</v>
      </c>
      <c r="JC15" s="35">
        <v>3.75</v>
      </c>
      <c r="JD15" s="35">
        <v>7.4649599999999978</v>
      </c>
      <c r="JE15" s="35">
        <v>3.7324799999999989</v>
      </c>
      <c r="JF15" s="35">
        <v>0</v>
      </c>
      <c r="JG15" s="35">
        <v>60</v>
      </c>
      <c r="JH15" s="35">
        <v>30</v>
      </c>
      <c r="JI15" s="35">
        <v>30</v>
      </c>
      <c r="JJ15" s="35">
        <v>40</v>
      </c>
      <c r="JK15" s="35">
        <v>3.125</v>
      </c>
      <c r="JL15" s="35">
        <v>17.634217114246702</v>
      </c>
      <c r="JM15" s="35">
        <v>9.5367431640625</v>
      </c>
      <c r="JN15" s="35">
        <v>38.737824305871641</v>
      </c>
      <c r="JO15" s="35">
        <v>23.73046875</v>
      </c>
      <c r="JP15" s="35">
        <v>49.957498862084663</v>
      </c>
      <c r="JQ15" s="35">
        <v>51.2908935546875</v>
      </c>
      <c r="JR15" s="35">
        <v>11.299044151115158</v>
      </c>
      <c r="JS15" s="35">
        <v>100</v>
      </c>
      <c r="JT15" s="35">
        <v>12.768263541192534</v>
      </c>
      <c r="JU15" s="35">
        <v>81.014023322061405</v>
      </c>
      <c r="JV15" s="35">
        <v>13.370960400546201</v>
      </c>
      <c r="JW15" s="35">
        <v>65.132027498296409</v>
      </c>
      <c r="JX15" s="35">
        <v>15.112938097405555</v>
      </c>
      <c r="JY15" s="35">
        <v>51.93403908250599</v>
      </c>
      <c r="JZ15" s="35">
        <v>17</v>
      </c>
      <c r="KA15" s="35">
        <v>41.044225466741565</v>
      </c>
      <c r="KB15" s="35">
        <v>15.112938097405555</v>
      </c>
      <c r="KC15" s="35">
        <v>32.127687206130908</v>
      </c>
      <c r="KD15" s="35">
        <v>13.370960400546201</v>
      </c>
      <c r="KE15" s="35">
        <v>24.887371388049534</v>
      </c>
      <c r="KF15" s="35">
        <v>11.768263541192534</v>
      </c>
      <c r="KG15" s="35">
        <v>19.061106045638713</v>
      </c>
      <c r="KH15" s="35">
        <v>10.299044151115158</v>
      </c>
      <c r="KI15" s="35">
        <v>14.418755615669616</v>
      </c>
      <c r="KJ15" s="35">
        <v>8.9574988620846607</v>
      </c>
      <c r="KK15" s="35">
        <v>10.759497440753508</v>
      </c>
      <c r="KL15" s="35">
        <v>7.7378243058716416</v>
      </c>
      <c r="KM15" s="35">
        <v>7.9092193158983397</v>
      </c>
      <c r="KN15" s="35">
        <v>6.6342171142467024</v>
      </c>
      <c r="KO15" s="35">
        <v>5.7180380794114836</v>
      </c>
      <c r="KP15" s="35">
        <v>5.6408739189804269</v>
      </c>
      <c r="KQ15" s="35">
        <v>4.0579392481486094</v>
      </c>
      <c r="KR15" s="35">
        <v>4.7519913518434231</v>
      </c>
      <c r="KS15" s="35">
        <v>2.8205376971088865</v>
      </c>
      <c r="KT15" s="35">
        <v>3.9617660446062817</v>
      </c>
      <c r="KU15" s="35">
        <v>1.9149593833762957</v>
      </c>
      <c r="KV15" s="35">
        <v>3.2643946290395984</v>
      </c>
      <c r="KW15" s="35">
        <v>1.2658441144072095</v>
      </c>
      <c r="KX15" s="35">
        <v>2.6540737369139733</v>
      </c>
      <c r="KY15" s="35">
        <v>0.81146936066415609</v>
      </c>
      <c r="KZ15" s="35">
        <v>2.125</v>
      </c>
      <c r="LA15" s="35">
        <v>0.50199511259579543</v>
      </c>
      <c r="LB15" s="35">
        <v>1.6713700500682751</v>
      </c>
      <c r="LC15" s="35">
        <v>0.29782978196310489</v>
      </c>
      <c r="LD15" s="35">
        <v>1.2873805188893952</v>
      </c>
      <c r="LE15" s="35">
        <v>0.16811714751177356</v>
      </c>
      <c r="LF15" s="35">
        <v>0.9672280382339552</v>
      </c>
      <c r="LG15" s="35">
        <v>8.9344344990804431E-2</v>
      </c>
      <c r="LH15" s="35">
        <v>0.70510923987255336</v>
      </c>
      <c r="LI15" s="35">
        <v>4.4070901517326351E-2</v>
      </c>
      <c r="LJ15" s="35">
        <v>0.49522075557578521</v>
      </c>
      <c r="LK15" s="35">
        <v>1.9778814287612648E-2</v>
      </c>
      <c r="LL15" s="35">
        <v>0.33175921711424688</v>
      </c>
      <c r="LM15" s="35">
        <v>7.8436736343093037E-3</v>
      </c>
      <c r="LN15" s="35">
        <v>0.20892125625853425</v>
      </c>
      <c r="LO15" s="35">
        <v>2.6268304298714619E-3</v>
      </c>
      <c r="LP15" s="35">
        <v>0.1209035047792444</v>
      </c>
      <c r="LQ15" s="35">
        <v>6.8860783620822423E-4</v>
      </c>
      <c r="LR15" s="35">
        <v>6.1902594446973151E-2</v>
      </c>
      <c r="LS15" s="35">
        <v>0.1953125</v>
      </c>
      <c r="LT15" s="35">
        <v>1.3453686845698682</v>
      </c>
      <c r="LU15" s="35">
        <v>0.59604644775390625</v>
      </c>
      <c r="LV15" s="35">
        <v>1.5495129722348657</v>
      </c>
      <c r="LW15" s="35">
        <v>0.4449462890625</v>
      </c>
      <c r="LX15" s="35">
        <v>1.483154296875</v>
      </c>
      <c r="LY15" s="35">
        <v>1.6782999544833865</v>
      </c>
      <c r="LZ15" s="35">
        <v>1.1219882965087891</v>
      </c>
      <c r="MA15" s="35">
        <v>5.0633764576288378</v>
      </c>
      <c r="MB15" s="35">
        <v>1.4119617660446062</v>
      </c>
      <c r="MC15" s="35">
        <v>2.5</v>
      </c>
      <c r="MD15" s="35">
        <v>6.25</v>
      </c>
      <c r="ME15" s="35">
        <v>0.47073054164770134</v>
      </c>
      <c r="MF15" s="35">
        <v>1.9555109077738959</v>
      </c>
      <c r="MG15" s="35">
        <v>5.0633764576288378</v>
      </c>
      <c r="MH15" s="35">
        <v>0.53483841602184801</v>
      </c>
      <c r="MI15" s="35">
        <v>1.5160040883224166</v>
      </c>
      <c r="MJ15" s="35">
        <v>4.0707517186435256</v>
      </c>
      <c r="MK15" s="35">
        <v>0.60451752389622226</v>
      </c>
      <c r="ML15" s="35">
        <v>1.0719767711593104</v>
      </c>
      <c r="MM15" s="35">
        <v>1.1640388070216858</v>
      </c>
      <c r="MN15" s="35">
        <v>3.2458774426566244</v>
      </c>
      <c r="MO15" s="35">
        <v>0.68</v>
      </c>
      <c r="MP15" s="35">
        <v>0.82309973400933301</v>
      </c>
      <c r="MQ15" s="35">
        <v>0.88457382471425772</v>
      </c>
      <c r="MR15" s="35">
        <v>2.5652640916713478</v>
      </c>
      <c r="MS15" s="35">
        <v>0.60451752389622226</v>
      </c>
      <c r="MT15" s="35">
        <v>0.625488149915572</v>
      </c>
      <c r="MU15" s="35">
        <v>0.66471076978201882</v>
      </c>
      <c r="MV15" s="35">
        <v>2.0079804503831817</v>
      </c>
      <c r="MW15" s="35">
        <v>0.53483841602184801</v>
      </c>
      <c r="MX15" s="35">
        <v>0.47002149284059552</v>
      </c>
      <c r="MY15" s="35">
        <v>0.49345650165960286</v>
      </c>
      <c r="MZ15" s="35">
        <v>1.5554607117530959</v>
      </c>
      <c r="NA15" s="35">
        <v>0.47073054164770134</v>
      </c>
      <c r="NB15" s="35">
        <v>0.348926438544096</v>
      </c>
      <c r="NC15" s="35">
        <v>0.36150373534832037</v>
      </c>
      <c r="ND15" s="35">
        <v>1.1913191278524196</v>
      </c>
      <c r="NE15" s="35">
        <v>0.41196176604460633</v>
      </c>
      <c r="NF15" s="35">
        <v>0.25562174268906435</v>
      </c>
      <c r="NG15" s="35">
        <v>0.84238983386168942</v>
      </c>
      <c r="NH15" s="35">
        <v>0.26102919649057066</v>
      </c>
      <c r="NI15" s="35">
        <v>0.90117222597935098</v>
      </c>
      <c r="NJ15" s="35">
        <v>0.35829995448338642</v>
      </c>
      <c r="NK15" s="35">
        <v>0.18457551492615826</v>
      </c>
      <c r="NL15" s="35">
        <v>0.6372249920069748</v>
      </c>
      <c r="NM15" s="35">
        <v>0.1855085765647157</v>
      </c>
      <c r="NN15" s="35">
        <v>0.67246859004709425</v>
      </c>
      <c r="NO15" s="35">
        <v>0.30951297223486568</v>
      </c>
      <c r="NP15" s="35">
        <v>0.13117437245717431</v>
      </c>
      <c r="NQ15" s="35">
        <v>0.47550710015725678</v>
      </c>
      <c r="NR15" s="35">
        <v>0.12954755776040386</v>
      </c>
      <c r="NS15" s="35">
        <v>0.49432620724364623</v>
      </c>
      <c r="NT15" s="35">
        <v>0.26536868456986812</v>
      </c>
      <c r="NU15" s="35">
        <v>9.160395657853751E-2</v>
      </c>
      <c r="NV15" s="35">
        <v>0.34954141326020888</v>
      </c>
      <c r="NW15" s="35">
        <v>8.8728177094316144E-2</v>
      </c>
      <c r="NX15" s="35">
        <v>0.35737737996321772</v>
      </c>
      <c r="NY15" s="35">
        <v>0.22563495675921708</v>
      </c>
      <c r="NZ15" s="35">
        <v>6.2740295705711838E-2</v>
      </c>
    </row>
    <row r="16" spans="1:391" s="4" customFormat="1" ht="14.25" x14ac:dyDescent="0.2">
      <c r="A16" s="4">
        <v>10</v>
      </c>
      <c r="B16" s="16" t="s">
        <v>666</v>
      </c>
      <c r="C16" s="16" t="s">
        <v>450</v>
      </c>
      <c r="D16" s="16" t="s">
        <v>121</v>
      </c>
      <c r="E16" s="16" t="s">
        <v>450</v>
      </c>
      <c r="F16" s="31" t="s">
        <v>216</v>
      </c>
      <c r="G16" s="31" t="s">
        <v>217</v>
      </c>
      <c r="H16" s="32">
        <v>-1</v>
      </c>
      <c r="I16" s="33">
        <v>28.5</v>
      </c>
      <c r="J16" s="34">
        <v>21.392299999999999</v>
      </c>
      <c r="K16" s="32" t="s">
        <v>218</v>
      </c>
      <c r="L16" s="16">
        <v>0</v>
      </c>
      <c r="M16" s="16">
        <v>2</v>
      </c>
      <c r="N16" s="16" t="s">
        <v>450</v>
      </c>
      <c r="O16" s="16">
        <v>0</v>
      </c>
      <c r="P16" s="16">
        <v>0</v>
      </c>
      <c r="Q16" s="16">
        <v>3</v>
      </c>
      <c r="R16" s="16">
        <v>2</v>
      </c>
      <c r="S16" s="16">
        <v>0</v>
      </c>
      <c r="T16" s="16">
        <v>40</v>
      </c>
      <c r="U16" s="16">
        <v>0</v>
      </c>
      <c r="V16" s="16">
        <v>40</v>
      </c>
      <c r="W16" s="16">
        <v>0</v>
      </c>
      <c r="X16" s="16" t="s">
        <v>450</v>
      </c>
      <c r="Y16" s="35">
        <v>892.66436635399998</v>
      </c>
      <c r="Z16" s="35">
        <v>874.65380635399993</v>
      </c>
      <c r="AA16" s="35">
        <v>892.66436635399998</v>
      </c>
      <c r="AB16" s="35">
        <v>874.65380635399993</v>
      </c>
      <c r="AC16" s="35">
        <v>1454.2977913539999</v>
      </c>
      <c r="AD16" s="35">
        <v>1436.2872266699999</v>
      </c>
      <c r="AE16" s="35">
        <v>1418.2766619859999</v>
      </c>
      <c r="AF16" s="35">
        <v>1400.2660973019999</v>
      </c>
      <c r="AG16" s="35">
        <v>1382.255532618</v>
      </c>
      <c r="AH16" s="35">
        <v>1292.2449679339998</v>
      </c>
      <c r="AI16" s="35">
        <v>1274.2344032499998</v>
      </c>
      <c r="AJ16" s="35">
        <v>1256.2238385659998</v>
      </c>
      <c r="AK16" s="35">
        <v>1238.2132738819998</v>
      </c>
      <c r="AL16" s="35">
        <v>1218.2081885015998</v>
      </c>
      <c r="AM16" s="35">
        <v>1200.1976238175998</v>
      </c>
      <c r="AN16" s="35">
        <v>1108.1502797011999</v>
      </c>
      <c r="AO16" s="35">
        <v>901.73438897119991</v>
      </c>
      <c r="AP16" s="35">
        <v>883.72382428719993</v>
      </c>
      <c r="AQ16" s="35">
        <v>865.71325960319996</v>
      </c>
      <c r="AR16" s="35">
        <v>847.70269491919998</v>
      </c>
      <c r="AS16" s="35">
        <v>827.69760953879995</v>
      </c>
      <c r="AT16" s="35">
        <v>809.68704485479998</v>
      </c>
      <c r="AU16" s="35">
        <v>791.6764801708</v>
      </c>
      <c r="AV16" s="35">
        <v>773.66591548680003</v>
      </c>
      <c r="AW16" s="35">
        <v>755.65535080280006</v>
      </c>
      <c r="AX16" s="35">
        <v>739.68156555119981</v>
      </c>
      <c r="AY16" s="35">
        <v>721.67100086719984</v>
      </c>
      <c r="AZ16" s="35">
        <v>703.66043618319986</v>
      </c>
      <c r="BA16" s="35">
        <v>685.64987149919989</v>
      </c>
      <c r="BB16" s="35">
        <v>665.64478611879986</v>
      </c>
      <c r="BC16" s="35">
        <v>647.63422143479988</v>
      </c>
      <c r="BD16" s="35">
        <v>629.62365675079991</v>
      </c>
      <c r="BE16" s="35">
        <v>611.61309206679994</v>
      </c>
      <c r="BF16" s="35">
        <v>593.60252738279996</v>
      </c>
      <c r="BG16" s="35">
        <v>609.61857137039988</v>
      </c>
      <c r="BH16" s="35">
        <v>591.6080066863999</v>
      </c>
      <c r="BI16" s="35">
        <v>551.55557738280004</v>
      </c>
      <c r="BJ16" s="35">
        <v>569.56614206680001</v>
      </c>
      <c r="BK16" s="35">
        <v>899.7187389067999</v>
      </c>
      <c r="BL16" s="35">
        <v>881.70817422279993</v>
      </c>
      <c r="BM16" s="35">
        <v>863.69760953879995</v>
      </c>
      <c r="BN16" s="35">
        <v>845.68704485479998</v>
      </c>
      <c r="BO16" s="35">
        <v>825.68195947439995</v>
      </c>
      <c r="BP16" s="35">
        <v>807.67139479039997</v>
      </c>
      <c r="BQ16" s="35">
        <v>789.6608301064</v>
      </c>
      <c r="BR16" s="35">
        <v>771.65026542240003</v>
      </c>
      <c r="BS16" s="35">
        <v>753.63970073840005</v>
      </c>
      <c r="BT16" s="35">
        <v>737.6659154867998</v>
      </c>
      <c r="BU16" s="35">
        <v>719.65535080279983</v>
      </c>
      <c r="BV16" s="35">
        <v>701.64478611879986</v>
      </c>
      <c r="BW16" s="35">
        <v>683.63422143479988</v>
      </c>
      <c r="BX16" s="35">
        <v>663.62913605439985</v>
      </c>
      <c r="BY16" s="35">
        <v>645.61857137039988</v>
      </c>
      <c r="BZ16" s="35">
        <v>627.6080066863999</v>
      </c>
      <c r="CA16" s="35">
        <v>609.59744200239993</v>
      </c>
      <c r="CB16" s="35">
        <v>591.58687731839996</v>
      </c>
      <c r="CC16" s="35">
        <v>607.60292130599987</v>
      </c>
      <c r="CD16" s="35">
        <v>589.5923566219999</v>
      </c>
      <c r="CE16" s="35">
        <v>553.57122744720004</v>
      </c>
      <c r="CF16" s="35">
        <v>571.58179213120002</v>
      </c>
      <c r="CG16" s="35">
        <v>163.06064842000001</v>
      </c>
      <c r="CH16" s="35">
        <v>255.10799253639999</v>
      </c>
      <c r="CI16" s="35">
        <v>237.09742785239999</v>
      </c>
      <c r="CJ16" s="35">
        <v>219.08686316839999</v>
      </c>
      <c r="CK16" s="35">
        <v>201.07629848439998</v>
      </c>
      <c r="CL16" s="35">
        <v>55.0547752254</v>
      </c>
      <c r="CM16" s="35">
        <v>57.070425289800006</v>
      </c>
      <c r="CN16" s="35">
        <v>69.070425289799999</v>
      </c>
      <c r="CO16" s="35">
        <v>71.086075354200005</v>
      </c>
      <c r="CP16" s="35">
        <v>81.070425289799999</v>
      </c>
      <c r="CQ16" s="35">
        <v>83.086075354200005</v>
      </c>
      <c r="CR16" s="35">
        <v>85.101725418599997</v>
      </c>
      <c r="CS16" s="35">
        <v>95.086075354200005</v>
      </c>
      <c r="CT16" s="35">
        <v>97.101725418599997</v>
      </c>
      <c r="CU16" s="35">
        <v>99.117375483000004</v>
      </c>
      <c r="CV16" s="35">
        <v>109.1017254186</v>
      </c>
      <c r="CW16" s="35">
        <v>111.117375483</v>
      </c>
      <c r="CX16" s="35">
        <v>113.13302554740001</v>
      </c>
      <c r="CY16" s="35">
        <v>123.117375483</v>
      </c>
      <c r="CZ16" s="35">
        <v>125.13302554740001</v>
      </c>
      <c r="DA16" s="35">
        <v>127.1486756118</v>
      </c>
      <c r="DB16" s="35">
        <v>137.1330255474</v>
      </c>
      <c r="DC16" s="35">
        <v>139.1486756118</v>
      </c>
      <c r="DD16" s="35">
        <v>141.16432567620001</v>
      </c>
      <c r="DE16" s="35">
        <v>149.1330255474</v>
      </c>
      <c r="DF16" s="35">
        <v>151.1486756118</v>
      </c>
      <c r="DG16" s="35">
        <v>153.16432567620001</v>
      </c>
      <c r="DH16" s="35">
        <v>155.17997574060001</v>
      </c>
      <c r="DI16" s="35">
        <v>163.1486756118</v>
      </c>
      <c r="DJ16" s="35">
        <v>165.16432567620001</v>
      </c>
      <c r="DK16" s="35">
        <v>167.17997574060001</v>
      </c>
      <c r="DL16" s="35">
        <v>169.19562580499999</v>
      </c>
      <c r="DM16" s="35">
        <v>177.16432567620001</v>
      </c>
      <c r="DN16" s="35">
        <v>179.17997574060001</v>
      </c>
      <c r="DO16" s="35">
        <v>181.19562580499999</v>
      </c>
      <c r="DP16" s="35">
        <v>183.2112758694</v>
      </c>
      <c r="DQ16" s="35">
        <v>191.17997574060001</v>
      </c>
      <c r="DR16" s="35">
        <v>193.19562580499999</v>
      </c>
      <c r="DS16" s="35">
        <v>195.2112758694</v>
      </c>
      <c r="DT16" s="35">
        <v>197.2269259338</v>
      </c>
      <c r="DU16" s="35">
        <v>205.19562580499999</v>
      </c>
      <c r="DV16" s="35">
        <v>207.2112758694</v>
      </c>
      <c r="DW16" s="35">
        <v>209.2269259338</v>
      </c>
      <c r="DX16" s="35">
        <v>211.24257599820001</v>
      </c>
      <c r="DY16" s="35">
        <v>217.19562580499999</v>
      </c>
      <c r="DZ16" s="35">
        <v>219.2112758694</v>
      </c>
      <c r="EA16" s="35">
        <v>221.2269259338</v>
      </c>
      <c r="EB16" s="35">
        <v>223.24257599820001</v>
      </c>
      <c r="EC16" s="35">
        <v>225.25822606260002</v>
      </c>
      <c r="ED16" s="35">
        <v>231.2112758694</v>
      </c>
      <c r="EE16" s="35">
        <v>233.2269259338</v>
      </c>
      <c r="EF16" s="35">
        <v>235.24257599820001</v>
      </c>
      <c r="EG16" s="35">
        <v>237.25822606260002</v>
      </c>
      <c r="EH16" s="35">
        <v>239.27387612699999</v>
      </c>
      <c r="EI16" s="35">
        <v>245.2269259338</v>
      </c>
      <c r="EJ16" s="35">
        <v>247.24257599820001</v>
      </c>
      <c r="EK16" s="35">
        <v>249.25822606260002</v>
      </c>
      <c r="EL16" s="35">
        <v>251.27387612699999</v>
      </c>
      <c r="EM16" s="35">
        <v>253.2895261914</v>
      </c>
      <c r="EN16" s="35">
        <v>259.24257599819998</v>
      </c>
      <c r="EO16" s="35">
        <v>261.25822606259999</v>
      </c>
      <c r="EP16" s="35">
        <v>263.27387612699999</v>
      </c>
      <c r="EQ16" s="35">
        <v>265.2895261914</v>
      </c>
      <c r="ER16" s="35">
        <v>267.30517625580001</v>
      </c>
      <c r="ES16" s="35">
        <v>273.25822606259999</v>
      </c>
      <c r="ET16" s="35">
        <v>55.0547752254</v>
      </c>
      <c r="EU16" s="35">
        <v>57.070425289800006</v>
      </c>
      <c r="EV16" s="35">
        <v>69.070425289799999</v>
      </c>
      <c r="EW16" s="35">
        <v>71.086075354200005</v>
      </c>
      <c r="EX16" s="35">
        <v>81.070425289799999</v>
      </c>
      <c r="EY16" s="35">
        <v>83.086075354200005</v>
      </c>
      <c r="EZ16" s="35">
        <v>85.101725418599997</v>
      </c>
      <c r="FA16" s="35">
        <v>95.086075354200005</v>
      </c>
      <c r="FB16" s="35">
        <v>97.101725418599997</v>
      </c>
      <c r="FC16" s="35">
        <v>99.117375483000004</v>
      </c>
      <c r="FD16" s="35">
        <v>109.1017254186</v>
      </c>
      <c r="FE16" s="35">
        <v>111.117375483</v>
      </c>
      <c r="FF16" s="35">
        <v>113.13302554740001</v>
      </c>
      <c r="FG16" s="35">
        <v>123.117375483</v>
      </c>
      <c r="FH16" s="35">
        <v>125.13302554740001</v>
      </c>
      <c r="FI16" s="35">
        <v>127.1486756118</v>
      </c>
      <c r="FJ16" s="35">
        <v>137.1330255474</v>
      </c>
      <c r="FK16" s="35">
        <v>139.1486756118</v>
      </c>
      <c r="FL16" s="35">
        <v>141.16432567620001</v>
      </c>
      <c r="FM16" s="35">
        <v>149.1330255474</v>
      </c>
      <c r="FN16" s="35">
        <v>151.1486756118</v>
      </c>
      <c r="FO16" s="35">
        <v>153.16432567620001</v>
      </c>
      <c r="FP16" s="35">
        <v>155.17997574060001</v>
      </c>
      <c r="FQ16" s="35">
        <v>163.1486756118</v>
      </c>
      <c r="FR16" s="35">
        <v>165.16432567620001</v>
      </c>
      <c r="FS16" s="35">
        <v>167.17997574060001</v>
      </c>
      <c r="FT16" s="35">
        <v>169.19562580499999</v>
      </c>
      <c r="FU16" s="35">
        <v>177.16432567620001</v>
      </c>
      <c r="FV16" s="35">
        <v>179.17997574060001</v>
      </c>
      <c r="FW16" s="35">
        <v>181.19562580499999</v>
      </c>
      <c r="FX16" s="35">
        <v>183.2112758694</v>
      </c>
      <c r="FY16" s="35">
        <v>191.17997574060001</v>
      </c>
      <c r="FZ16" s="35">
        <v>193.19562580499999</v>
      </c>
      <c r="GA16" s="35">
        <v>195.2112758694</v>
      </c>
      <c r="GB16" s="35">
        <v>197.2269259338</v>
      </c>
      <c r="GC16" s="35">
        <v>205.19562580499999</v>
      </c>
      <c r="GD16" s="35">
        <v>207.2112758694</v>
      </c>
      <c r="GE16" s="35">
        <v>209.2269259338</v>
      </c>
      <c r="GF16" s="35">
        <v>211.24257599820001</v>
      </c>
      <c r="GG16" s="35">
        <v>219.2112758694</v>
      </c>
      <c r="GH16" s="35">
        <v>221.2269259338</v>
      </c>
      <c r="GI16" s="35">
        <v>223.24257599820001</v>
      </c>
      <c r="GJ16" s="35">
        <v>225.25822606260002</v>
      </c>
      <c r="GK16" s="35">
        <v>233.2269259338</v>
      </c>
      <c r="GL16" s="35">
        <v>235.24257599820001</v>
      </c>
      <c r="GM16" s="35">
        <v>237.25822606260002</v>
      </c>
      <c r="GN16" s="35">
        <v>239.27387612699999</v>
      </c>
      <c r="GO16" s="35">
        <v>247.24257599820001</v>
      </c>
      <c r="GP16" s="35">
        <v>249.25822606260002</v>
      </c>
      <c r="GQ16" s="35">
        <v>251.27387612699999</v>
      </c>
      <c r="GR16" s="35">
        <v>253.2895261914</v>
      </c>
      <c r="GS16" s="35">
        <v>261.25822606259999</v>
      </c>
      <c r="GT16" s="35">
        <v>263.27387612699999</v>
      </c>
      <c r="GU16" s="35">
        <v>265.2895261914</v>
      </c>
      <c r="GV16" s="35">
        <v>267.30517625580001</v>
      </c>
      <c r="GW16" s="35">
        <v>275.27387612699999</v>
      </c>
      <c r="GX16" s="35">
        <v>277.2895261914</v>
      </c>
      <c r="GY16" s="35">
        <v>279.30517625580001</v>
      </c>
      <c r="GZ16" s="35">
        <v>281.32082632020001</v>
      </c>
      <c r="HA16" s="35">
        <v>289.2895261914</v>
      </c>
      <c r="HB16" s="35">
        <v>123.80494999999999</v>
      </c>
      <c r="HC16" s="35">
        <v>12.380495</v>
      </c>
      <c r="HD16" s="35">
        <v>12.380495</v>
      </c>
      <c r="HE16" s="35">
        <v>18.570742500000001</v>
      </c>
      <c r="HF16" s="35">
        <v>27.856113750000002</v>
      </c>
      <c r="HG16" s="35">
        <v>61.902474999999995</v>
      </c>
      <c r="HH16" s="35">
        <v>7.7378093749999994</v>
      </c>
      <c r="HI16" s="35">
        <v>0.96722617187499993</v>
      </c>
      <c r="HJ16" s="35">
        <v>0.48361308593749996</v>
      </c>
      <c r="HK16" s="36">
        <v>3.9321600000000023</v>
      </c>
      <c r="HL16" s="36">
        <v>2</v>
      </c>
      <c r="HM16" s="35">
        <v>0</v>
      </c>
      <c r="HN16" s="35">
        <v>38.400000000000006</v>
      </c>
      <c r="HO16" s="35">
        <v>21.333333333333336</v>
      </c>
      <c r="HP16" s="35">
        <v>14.933333333333334</v>
      </c>
      <c r="HQ16" s="35">
        <v>4.9777777777777779</v>
      </c>
      <c r="HR16" s="35">
        <v>32.400000000000006</v>
      </c>
      <c r="HS16" s="35">
        <v>32.400000000000006</v>
      </c>
      <c r="HT16" s="35">
        <v>16.200000000000003</v>
      </c>
      <c r="HU16" s="35">
        <v>32.400000000000006</v>
      </c>
      <c r="HV16" s="35">
        <v>6.4800000000000013</v>
      </c>
      <c r="HW16" s="35">
        <v>44.800000000000011</v>
      </c>
      <c r="HX16" s="35">
        <v>24.888888888888893</v>
      </c>
      <c r="HY16" s="35">
        <v>17.422222222222224</v>
      </c>
      <c r="HZ16" s="35">
        <v>5.8074074074074078</v>
      </c>
      <c r="IA16" s="35">
        <v>32.400000000000006</v>
      </c>
      <c r="IB16" s="35">
        <v>32.400000000000006</v>
      </c>
      <c r="IC16" s="35">
        <v>16.200000000000003</v>
      </c>
      <c r="ID16" s="35">
        <v>32.400000000000006</v>
      </c>
      <c r="IE16" s="35">
        <v>6.4800000000000013</v>
      </c>
      <c r="IF16" s="35">
        <v>15</v>
      </c>
      <c r="IG16" s="35">
        <v>3.75</v>
      </c>
      <c r="IH16" s="35">
        <v>23.327999999999999</v>
      </c>
      <c r="II16" s="35">
        <v>11.664</v>
      </c>
      <c r="IJ16" s="35">
        <v>15.360000000000003</v>
      </c>
      <c r="IK16" s="35">
        <v>8.533333333333335</v>
      </c>
      <c r="IL16" s="35">
        <v>5.9733333333333345</v>
      </c>
      <c r="IM16" s="35">
        <v>1.9911111111111115</v>
      </c>
      <c r="IN16" s="35">
        <v>29.160000000000004</v>
      </c>
      <c r="IO16" s="35">
        <v>29.160000000000004</v>
      </c>
      <c r="IP16" s="35">
        <v>14.580000000000002</v>
      </c>
      <c r="IQ16" s="35">
        <v>29.160000000000004</v>
      </c>
      <c r="IR16" s="35">
        <v>5.8320000000000007</v>
      </c>
      <c r="IS16" s="35">
        <v>17.920000000000005</v>
      </c>
      <c r="IT16" s="35">
        <v>9.9555555555555575</v>
      </c>
      <c r="IU16" s="35">
        <v>6.9688888888888902</v>
      </c>
      <c r="IV16" s="35">
        <v>2.3229629629629636</v>
      </c>
      <c r="IW16" s="35">
        <v>29.160000000000004</v>
      </c>
      <c r="IX16" s="35">
        <v>29.160000000000004</v>
      </c>
      <c r="IY16" s="35">
        <v>14.580000000000002</v>
      </c>
      <c r="IZ16" s="35">
        <v>29.160000000000004</v>
      </c>
      <c r="JA16" s="35">
        <v>5.8320000000000007</v>
      </c>
      <c r="JB16" s="35">
        <v>15</v>
      </c>
      <c r="JC16" s="35">
        <v>3.75</v>
      </c>
      <c r="JD16" s="35">
        <v>25.919999999999998</v>
      </c>
      <c r="JE16" s="35">
        <v>12.959999999999999</v>
      </c>
      <c r="JF16" s="35">
        <v>0</v>
      </c>
      <c r="JG16" s="35">
        <v>60</v>
      </c>
      <c r="JH16" s="35">
        <v>30</v>
      </c>
      <c r="JI16" s="35">
        <v>30</v>
      </c>
      <c r="JJ16" s="35">
        <v>40</v>
      </c>
      <c r="JK16" s="35">
        <v>0.476837158203125</v>
      </c>
      <c r="JL16" s="35">
        <v>1.5708885696404189</v>
      </c>
      <c r="JM16" s="35">
        <v>1.4551915228366852</v>
      </c>
      <c r="JN16" s="35">
        <v>1.9523640191169775</v>
      </c>
      <c r="JO16" s="35">
        <v>1.0862946510314941</v>
      </c>
      <c r="JP16" s="35">
        <v>3.6209821701049805</v>
      </c>
      <c r="JQ16" s="35">
        <v>2.1848436788802914</v>
      </c>
      <c r="JR16" s="35">
        <v>2.7392292395234108</v>
      </c>
      <c r="JS16" s="35">
        <v>12.361758929757904</v>
      </c>
      <c r="JT16" s="35">
        <v>1.6436902594446974</v>
      </c>
      <c r="JU16" s="35">
        <v>6.103515625</v>
      </c>
      <c r="JV16" s="35">
        <v>15.2587890625</v>
      </c>
      <c r="JW16" s="35">
        <v>0.73551647132453335</v>
      </c>
      <c r="JX16" s="35">
        <v>4.7741965521823628</v>
      </c>
      <c r="JY16" s="35">
        <v>12.361758929757904</v>
      </c>
      <c r="JZ16" s="35">
        <v>0.83568502503413755</v>
      </c>
      <c r="KA16" s="35">
        <v>3.7011818562559</v>
      </c>
      <c r="KB16" s="35">
        <v>9.938358688094544</v>
      </c>
      <c r="KC16" s="35">
        <v>0.94455863108784721</v>
      </c>
      <c r="KD16" s="35">
        <v>2.6171307889631601</v>
      </c>
      <c r="KE16" s="35">
        <v>2.8418916187052878</v>
      </c>
      <c r="KF16" s="35">
        <v>7.9245054752358994</v>
      </c>
      <c r="KG16" s="35">
        <v>1.0625</v>
      </c>
      <c r="KH16" s="35">
        <v>2.0095208349837232</v>
      </c>
      <c r="KI16" s="35">
        <v>2.1596040642437933</v>
      </c>
      <c r="KJ16" s="35">
        <v>6.2628517863070012</v>
      </c>
      <c r="KK16" s="35">
        <v>0.94455863108784721</v>
      </c>
      <c r="KL16" s="35">
        <v>1.5270706785048145</v>
      </c>
      <c r="KM16" s="35">
        <v>1.6228290277881319</v>
      </c>
      <c r="KN16" s="35">
        <v>4.9022960214433144</v>
      </c>
      <c r="KO16" s="35">
        <v>0.83568502503413755</v>
      </c>
      <c r="KP16" s="35">
        <v>1.1475134102553601</v>
      </c>
      <c r="KQ16" s="35">
        <v>1.2047277872548898</v>
      </c>
      <c r="KR16" s="35">
        <v>3.7975115033034568</v>
      </c>
      <c r="KS16" s="35">
        <v>0.73551647132453335</v>
      </c>
      <c r="KT16" s="35">
        <v>0.85187118785179694</v>
      </c>
      <c r="KU16" s="35">
        <v>0.8825774788777353</v>
      </c>
      <c r="KV16" s="35">
        <v>2.908493964483446</v>
      </c>
      <c r="KW16" s="35">
        <v>0.64369025944469738</v>
      </c>
      <c r="KX16" s="35">
        <v>0.62407652023697346</v>
      </c>
      <c r="KY16" s="35">
        <v>2.0566158053263899</v>
      </c>
      <c r="KZ16" s="35">
        <v>0.63727831174455729</v>
      </c>
      <c r="LA16" s="35">
        <v>2.2001275048323996</v>
      </c>
      <c r="LB16" s="35">
        <v>0.5598436788802913</v>
      </c>
      <c r="LC16" s="35">
        <v>0.45062381573769106</v>
      </c>
      <c r="LD16" s="35">
        <v>1.5557250781420282</v>
      </c>
      <c r="LE16" s="35">
        <v>0.45290179825370042</v>
      </c>
      <c r="LF16" s="35">
        <v>1.6417690186696638</v>
      </c>
      <c r="LG16" s="35">
        <v>0.4836140191169776</v>
      </c>
      <c r="LH16" s="35">
        <v>0.32024993275677321</v>
      </c>
      <c r="LI16" s="35">
        <v>1.1609060062433028</v>
      </c>
      <c r="LJ16" s="35">
        <v>0.31627821718848598</v>
      </c>
      <c r="LK16" s="35">
        <v>1.2068510919034332</v>
      </c>
      <c r="LL16" s="35">
        <v>0.4146385696404189</v>
      </c>
      <c r="LM16" s="35">
        <v>0.22364247211557009</v>
      </c>
      <c r="LN16" s="35">
        <v>0.85337259096730689</v>
      </c>
      <c r="LO16" s="35">
        <v>0.21662152610917026</v>
      </c>
      <c r="LP16" s="35">
        <v>0.8725033690508246</v>
      </c>
      <c r="LQ16" s="35">
        <v>0.35255461993627668</v>
      </c>
      <c r="LR16" s="35">
        <v>0.15317455006277303</v>
      </c>
      <c r="LS16" s="35">
        <v>0.98876953125</v>
      </c>
      <c r="LT16" s="35">
        <v>2.1075056052866707</v>
      </c>
      <c r="LU16" s="35">
        <v>3.0174851417541504</v>
      </c>
      <c r="LV16" s="35">
        <v>2.9708693673190716</v>
      </c>
      <c r="LW16" s="35">
        <v>2.2525405883789063</v>
      </c>
      <c r="LX16" s="35">
        <v>7.5084686279296875</v>
      </c>
      <c r="LY16" s="35">
        <v>3.4767591328242213</v>
      </c>
      <c r="LZ16" s="35">
        <v>5.6800657510757446</v>
      </c>
      <c r="MA16" s="35">
        <v>25.633343316745989</v>
      </c>
      <c r="MB16" s="35">
        <v>2.1443382390127956</v>
      </c>
      <c r="MC16" s="35">
        <v>12.65625</v>
      </c>
      <c r="MD16" s="35">
        <v>31.640625</v>
      </c>
      <c r="ME16" s="35">
        <v>1.3075848379102815</v>
      </c>
      <c r="MF16" s="35">
        <v>9.8997739706053487</v>
      </c>
      <c r="MG16" s="35">
        <v>25.633343316745989</v>
      </c>
      <c r="MH16" s="35">
        <v>1.4856622667273556</v>
      </c>
      <c r="MI16" s="35">
        <v>7.6747706971322343</v>
      </c>
      <c r="MJ16" s="35">
        <v>20.608180575632847</v>
      </c>
      <c r="MK16" s="35">
        <v>1.6792153441561728</v>
      </c>
      <c r="ML16" s="35">
        <v>5.4268824039940089</v>
      </c>
      <c r="MM16" s="35">
        <v>5.8929464605472841</v>
      </c>
      <c r="MN16" s="35">
        <v>16.432254553449162</v>
      </c>
      <c r="MO16" s="35">
        <v>1.8888888888888888</v>
      </c>
      <c r="MP16" s="35">
        <v>4.1669424034222482</v>
      </c>
      <c r="MQ16" s="35">
        <v>4.4781549876159294</v>
      </c>
      <c r="MR16" s="35">
        <v>12.986649464086197</v>
      </c>
      <c r="MS16" s="35">
        <v>1.6792153441561728</v>
      </c>
      <c r="MT16" s="35">
        <v>3.1665337589475833</v>
      </c>
      <c r="MU16" s="35">
        <v>3.3650982720214704</v>
      </c>
      <c r="MV16" s="35">
        <v>10.165401030064857</v>
      </c>
      <c r="MW16" s="35">
        <v>1.4856622667273556</v>
      </c>
      <c r="MX16" s="35">
        <v>2.3794838075055149</v>
      </c>
      <c r="MY16" s="35">
        <v>2.4981235396517394</v>
      </c>
      <c r="MZ16" s="35">
        <v>7.8745198532500478</v>
      </c>
      <c r="NA16" s="35">
        <v>1.3075848379102815</v>
      </c>
      <c r="NB16" s="35">
        <v>1.7664400951294859</v>
      </c>
      <c r="NC16" s="35">
        <v>1.8301126602008719</v>
      </c>
      <c r="ND16" s="35">
        <v>6.031053084752874</v>
      </c>
      <c r="NE16" s="35">
        <v>1.1443382390127954</v>
      </c>
      <c r="NF16" s="35">
        <v>1.2940850723633883</v>
      </c>
      <c r="NG16" s="35">
        <v>1.321460307233514</v>
      </c>
      <c r="NH16" s="35">
        <v>4.5621843940204645</v>
      </c>
      <c r="NI16" s="35">
        <v>0.99527765134274004</v>
      </c>
      <c r="NJ16" s="35">
        <v>0.93441354431367618</v>
      </c>
      <c r="NK16" s="35">
        <v>0.93913716885887322</v>
      </c>
      <c r="NL16" s="35">
        <v>3.4043722371134146</v>
      </c>
      <c r="NM16" s="35">
        <v>0.8597582562079602</v>
      </c>
      <c r="NN16" s="35">
        <v>0.66407026056444496</v>
      </c>
      <c r="NO16" s="35">
        <v>0.6558345111620445</v>
      </c>
      <c r="NP16" s="35">
        <v>2.5025264241709593</v>
      </c>
      <c r="NQ16" s="35">
        <v>0.73713523491630029</v>
      </c>
      <c r="NR16" s="35">
        <v>0.46374503017884611</v>
      </c>
      <c r="NS16" s="35">
        <v>0.4491863965399755</v>
      </c>
      <c r="NT16" s="35">
        <v>1.8092229860637898</v>
      </c>
      <c r="NU16" s="35">
        <v>0.62676376877560303</v>
      </c>
      <c r="NV16" s="35">
        <v>0.31762274701016618</v>
      </c>
      <c r="NW16" s="35">
        <v>0.3010658590894742</v>
      </c>
      <c r="NX16" s="35">
        <v>1.283957340234521</v>
      </c>
      <c r="NY16" s="35">
        <v>0.52799903909371371</v>
      </c>
      <c r="NZ16" s="35">
        <v>0.21288571054592076</v>
      </c>
    </row>
    <row r="17" spans="1:390" s="4" customFormat="1" ht="14.25" x14ac:dyDescent="0.2">
      <c r="A17" s="4">
        <v>11</v>
      </c>
      <c r="B17" s="16" t="s">
        <v>666</v>
      </c>
      <c r="C17" s="16" t="s">
        <v>451</v>
      </c>
      <c r="D17" s="16" t="s">
        <v>121</v>
      </c>
      <c r="E17" s="16" t="s">
        <v>451</v>
      </c>
      <c r="F17" s="31" t="s">
        <v>219</v>
      </c>
      <c r="G17" s="31" t="s">
        <v>220</v>
      </c>
      <c r="H17" s="32">
        <v>-1</v>
      </c>
      <c r="I17" s="33">
        <v>28.11</v>
      </c>
      <c r="J17" s="34">
        <v>21.392299999999999</v>
      </c>
      <c r="K17" s="32" t="s">
        <v>221</v>
      </c>
      <c r="L17" s="16">
        <v>0</v>
      </c>
      <c r="M17" s="16">
        <v>2</v>
      </c>
      <c r="N17" s="16" t="s">
        <v>451</v>
      </c>
      <c r="O17" s="16">
        <v>0</v>
      </c>
      <c r="P17" s="16">
        <v>0</v>
      </c>
      <c r="Q17" s="16">
        <v>1</v>
      </c>
      <c r="R17" s="16">
        <v>4</v>
      </c>
      <c r="S17" s="16">
        <v>0</v>
      </c>
      <c r="T17" s="16">
        <v>40</v>
      </c>
      <c r="U17" s="16">
        <v>0</v>
      </c>
      <c r="V17" s="16">
        <v>40</v>
      </c>
      <c r="W17" s="16">
        <v>0</v>
      </c>
      <c r="X17" s="16" t="s">
        <v>451</v>
      </c>
      <c r="Y17" s="35">
        <v>892.66436635399998</v>
      </c>
      <c r="Z17" s="35">
        <v>874.65380635399993</v>
      </c>
      <c r="AA17" s="35">
        <v>892.66436635399998</v>
      </c>
      <c r="AB17" s="35">
        <v>874.65380635399993</v>
      </c>
      <c r="AC17" s="35">
        <v>1454.2977913539999</v>
      </c>
      <c r="AD17" s="35">
        <v>1436.2872266699999</v>
      </c>
      <c r="AE17" s="35">
        <v>1418.2766619859999</v>
      </c>
      <c r="AF17" s="35">
        <v>1400.2660973019999</v>
      </c>
      <c r="AG17" s="35">
        <v>1382.255532618</v>
      </c>
      <c r="AH17" s="35">
        <v>1292.2449679339998</v>
      </c>
      <c r="AI17" s="35">
        <v>1274.2344032499998</v>
      </c>
      <c r="AJ17" s="35">
        <v>1256.2238385659998</v>
      </c>
      <c r="AK17" s="35">
        <v>1238.2132738819998</v>
      </c>
      <c r="AL17" s="35">
        <v>1218.2081885015998</v>
      </c>
      <c r="AM17" s="35">
        <v>1200.1976238175998</v>
      </c>
      <c r="AN17" s="35">
        <v>1108.1502797011999</v>
      </c>
      <c r="AO17" s="35">
        <v>897.70308884239989</v>
      </c>
      <c r="AP17" s="35">
        <v>879.69252415839992</v>
      </c>
      <c r="AQ17" s="35">
        <v>861.68195947439995</v>
      </c>
      <c r="AR17" s="35">
        <v>843.67139479039997</v>
      </c>
      <c r="AS17" s="35">
        <v>823.66630940999994</v>
      </c>
      <c r="AT17" s="35">
        <v>805.65574472599997</v>
      </c>
      <c r="AU17" s="35">
        <v>787.64518004199999</v>
      </c>
      <c r="AV17" s="35">
        <v>769.63461535800002</v>
      </c>
      <c r="AW17" s="35">
        <v>751.62405067400005</v>
      </c>
      <c r="AX17" s="35">
        <v>735.6502654223998</v>
      </c>
      <c r="AY17" s="35">
        <v>717.63970073839982</v>
      </c>
      <c r="AZ17" s="35">
        <v>699.62913605439985</v>
      </c>
      <c r="BA17" s="35">
        <v>681.61857137039988</v>
      </c>
      <c r="BB17" s="35">
        <v>661.61348598999984</v>
      </c>
      <c r="BC17" s="35">
        <v>643.60292130599987</v>
      </c>
      <c r="BD17" s="35">
        <v>625.5923566219999</v>
      </c>
      <c r="BE17" s="35">
        <v>607.58179193799992</v>
      </c>
      <c r="BF17" s="35">
        <v>589.57122725399995</v>
      </c>
      <c r="BG17" s="35">
        <v>605.58727124159986</v>
      </c>
      <c r="BH17" s="35">
        <v>587.57670655759989</v>
      </c>
      <c r="BI17" s="35">
        <v>555.58687751160005</v>
      </c>
      <c r="BJ17" s="35">
        <v>573.59744219560002</v>
      </c>
      <c r="BK17" s="35">
        <v>903.75003903559991</v>
      </c>
      <c r="BL17" s="35">
        <v>885.73947435159994</v>
      </c>
      <c r="BM17" s="35">
        <v>867.72890966759996</v>
      </c>
      <c r="BN17" s="35">
        <v>849.71834498359999</v>
      </c>
      <c r="BO17" s="35">
        <v>829.71325960319996</v>
      </c>
      <c r="BP17" s="35">
        <v>811.70269491919998</v>
      </c>
      <c r="BQ17" s="35">
        <v>793.69213023520001</v>
      </c>
      <c r="BR17" s="35">
        <v>775.68156555120004</v>
      </c>
      <c r="BS17" s="35">
        <v>757.67100086720006</v>
      </c>
      <c r="BT17" s="35">
        <v>741.69721561559982</v>
      </c>
      <c r="BU17" s="35">
        <v>723.68665093159984</v>
      </c>
      <c r="BV17" s="35">
        <v>705.67608624759987</v>
      </c>
      <c r="BW17" s="35">
        <v>687.6655215635999</v>
      </c>
      <c r="BX17" s="35">
        <v>667.66043618319986</v>
      </c>
      <c r="BY17" s="35">
        <v>649.64987149919989</v>
      </c>
      <c r="BZ17" s="35">
        <v>631.63930681519992</v>
      </c>
      <c r="CA17" s="35">
        <v>613.62874213119994</v>
      </c>
      <c r="CB17" s="35">
        <v>595.61817744719997</v>
      </c>
      <c r="CC17" s="35">
        <v>611.63422143479988</v>
      </c>
      <c r="CD17" s="35">
        <v>593.62365675079991</v>
      </c>
      <c r="CE17" s="35">
        <v>549.53992731840003</v>
      </c>
      <c r="CF17" s="35">
        <v>567.55049200240001</v>
      </c>
      <c r="CG17" s="35">
        <v>163.06064842000001</v>
      </c>
      <c r="CH17" s="35">
        <v>255.10799253639999</v>
      </c>
      <c r="CI17" s="35">
        <v>237.09742785239999</v>
      </c>
      <c r="CJ17" s="35">
        <v>219.08686316839999</v>
      </c>
      <c r="CK17" s="35">
        <v>201.07629848439998</v>
      </c>
      <c r="CL17" s="35">
        <v>55.0547752254</v>
      </c>
      <c r="CM17" s="35">
        <v>57.070425289800006</v>
      </c>
      <c r="CN17" s="35">
        <v>69.070425289799999</v>
      </c>
      <c r="CO17" s="35">
        <v>71.086075354200005</v>
      </c>
      <c r="CP17" s="35">
        <v>81.070425289799999</v>
      </c>
      <c r="CQ17" s="35">
        <v>83.086075354200005</v>
      </c>
      <c r="CR17" s="35">
        <v>85.101725418599997</v>
      </c>
      <c r="CS17" s="35">
        <v>95.086075354200005</v>
      </c>
      <c r="CT17" s="35">
        <v>97.101725418599997</v>
      </c>
      <c r="CU17" s="35">
        <v>99.117375483000004</v>
      </c>
      <c r="CV17" s="35">
        <v>109.1017254186</v>
      </c>
      <c r="CW17" s="35">
        <v>111.117375483</v>
      </c>
      <c r="CX17" s="35">
        <v>113.13302554740001</v>
      </c>
      <c r="CY17" s="35">
        <v>123.117375483</v>
      </c>
      <c r="CZ17" s="35">
        <v>125.13302554740001</v>
      </c>
      <c r="DA17" s="35">
        <v>127.1486756118</v>
      </c>
      <c r="DB17" s="35">
        <v>137.1330255474</v>
      </c>
      <c r="DC17" s="35">
        <v>139.1486756118</v>
      </c>
      <c r="DD17" s="35">
        <v>141.16432567620001</v>
      </c>
      <c r="DE17" s="35">
        <v>151.1486756118</v>
      </c>
      <c r="DF17" s="35">
        <v>153.16432567620001</v>
      </c>
      <c r="DG17" s="35">
        <v>155.17997574060001</v>
      </c>
      <c r="DH17" s="35">
        <v>165.16432567620001</v>
      </c>
      <c r="DI17" s="35">
        <v>167.17997574060001</v>
      </c>
      <c r="DJ17" s="35">
        <v>169.19562580499999</v>
      </c>
      <c r="DK17" s="35">
        <v>179.17997574060001</v>
      </c>
      <c r="DL17" s="35">
        <v>181.19562580499999</v>
      </c>
      <c r="DM17" s="35">
        <v>183.2112758694</v>
      </c>
      <c r="DN17" s="35">
        <v>193.19562580499999</v>
      </c>
      <c r="DO17" s="35">
        <v>195.2112758694</v>
      </c>
      <c r="DP17" s="35">
        <v>197.2269259338</v>
      </c>
      <c r="DQ17" s="35">
        <v>207.2112758694</v>
      </c>
      <c r="DR17" s="35">
        <v>209.2269259338</v>
      </c>
      <c r="DS17" s="35">
        <v>211.24257599820001</v>
      </c>
      <c r="DT17" s="35">
        <v>221.2269259338</v>
      </c>
      <c r="DU17" s="35">
        <v>223.24257599820001</v>
      </c>
      <c r="DV17" s="35">
        <v>225.25822606260002</v>
      </c>
      <c r="DW17" s="35">
        <v>235.24257599820001</v>
      </c>
      <c r="DX17" s="35">
        <v>237.25822606260002</v>
      </c>
      <c r="DY17" s="35">
        <v>239.27387612699999</v>
      </c>
      <c r="DZ17" s="35">
        <v>249.25822606260002</v>
      </c>
      <c r="EA17" s="35">
        <v>251.27387612699999</v>
      </c>
      <c r="EB17" s="35">
        <v>253.2895261914</v>
      </c>
      <c r="EC17" s="35">
        <v>263.27387612699999</v>
      </c>
      <c r="ED17" s="35">
        <v>265.2895261914</v>
      </c>
      <c r="EE17" s="35">
        <v>267.30517625580001</v>
      </c>
      <c r="EF17" s="35">
        <v>277.2895261914</v>
      </c>
      <c r="EG17" s="35">
        <v>279.30517625580001</v>
      </c>
      <c r="EH17" s="35">
        <v>281.32082632020001</v>
      </c>
      <c r="EI17" s="35">
        <v>291.30517625580001</v>
      </c>
      <c r="EJ17" s="35">
        <v>293.32082632020001</v>
      </c>
      <c r="EK17" s="35">
        <v>295.33647638460002</v>
      </c>
      <c r="EL17" s="35">
        <v>305.32082632020001</v>
      </c>
      <c r="EM17" s="35">
        <v>307.33647638460002</v>
      </c>
      <c r="EN17" s="35">
        <v>309.35212644900002</v>
      </c>
      <c r="EO17" s="35">
        <v>319.33647638460002</v>
      </c>
      <c r="EP17" s="35">
        <v>321.35212644900002</v>
      </c>
      <c r="EQ17" s="35">
        <v>323.36777651340003</v>
      </c>
      <c r="ER17" s="35">
        <v>333.35212644900002</v>
      </c>
      <c r="ES17" s="35">
        <v>335.36777651340003</v>
      </c>
      <c r="ET17" s="35">
        <v>55.0547752254</v>
      </c>
      <c r="EU17" s="35">
        <v>57.070425289800006</v>
      </c>
      <c r="EV17" s="35">
        <v>69.070425289799999</v>
      </c>
      <c r="EW17" s="35">
        <v>71.086075354200005</v>
      </c>
      <c r="EX17" s="35">
        <v>81.070425289799999</v>
      </c>
      <c r="EY17" s="35">
        <v>83.086075354200005</v>
      </c>
      <c r="EZ17" s="35">
        <v>85.101725418599997</v>
      </c>
      <c r="FA17" s="35">
        <v>95.086075354200005</v>
      </c>
      <c r="FB17" s="35">
        <v>97.101725418599997</v>
      </c>
      <c r="FC17" s="35">
        <v>99.117375483000004</v>
      </c>
      <c r="FD17" s="35">
        <v>109.1017254186</v>
      </c>
      <c r="FE17" s="35">
        <v>111.117375483</v>
      </c>
      <c r="FF17" s="35">
        <v>113.13302554740001</v>
      </c>
      <c r="FG17" s="35">
        <v>123.117375483</v>
      </c>
      <c r="FH17" s="35">
        <v>125.13302554740001</v>
      </c>
      <c r="FI17" s="35">
        <v>127.1486756118</v>
      </c>
      <c r="FJ17" s="35">
        <v>137.1330255474</v>
      </c>
      <c r="FK17" s="35">
        <v>139.1486756118</v>
      </c>
      <c r="FL17" s="35">
        <v>141.16432567620001</v>
      </c>
      <c r="FM17" s="35">
        <v>149.1330255474</v>
      </c>
      <c r="FN17" s="35">
        <v>151.1486756118</v>
      </c>
      <c r="FO17" s="35">
        <v>153.16432567620001</v>
      </c>
      <c r="FP17" s="35">
        <v>155.17997574060001</v>
      </c>
      <c r="FQ17" s="35">
        <v>163.1486756118</v>
      </c>
      <c r="FR17" s="35">
        <v>165.16432567620001</v>
      </c>
      <c r="FS17" s="35">
        <v>167.17997574060001</v>
      </c>
      <c r="FT17" s="35">
        <v>169.19562580499999</v>
      </c>
      <c r="FU17" s="35">
        <v>177.16432567620001</v>
      </c>
      <c r="FV17" s="35">
        <v>179.17997574060001</v>
      </c>
      <c r="FW17" s="35">
        <v>181.19562580499999</v>
      </c>
      <c r="FX17" s="35">
        <v>183.2112758694</v>
      </c>
      <c r="FY17" s="35">
        <v>191.17997574060001</v>
      </c>
      <c r="FZ17" s="35">
        <v>193.19562580499999</v>
      </c>
      <c r="GA17" s="35">
        <v>195.2112758694</v>
      </c>
      <c r="GB17" s="35">
        <v>197.2269259338</v>
      </c>
      <c r="GC17" s="35">
        <v>205.19562580499999</v>
      </c>
      <c r="GD17" s="35">
        <v>207.2112758694</v>
      </c>
      <c r="GE17" s="35">
        <v>209.2269259338</v>
      </c>
      <c r="GF17" s="35">
        <v>211.24257599820001</v>
      </c>
      <c r="GG17" s="35">
        <v>217.19562580499999</v>
      </c>
      <c r="GH17" s="35">
        <v>219.2112758694</v>
      </c>
      <c r="GI17" s="35">
        <v>221.2269259338</v>
      </c>
      <c r="GJ17" s="35">
        <v>223.24257599820001</v>
      </c>
      <c r="GK17" s="35">
        <v>225.25822606260002</v>
      </c>
      <c r="GL17" s="35">
        <v>231.2112758694</v>
      </c>
      <c r="GM17" s="35">
        <v>233.2269259338</v>
      </c>
      <c r="GN17" s="35">
        <v>235.24257599820001</v>
      </c>
      <c r="GO17" s="35">
        <v>237.25822606260002</v>
      </c>
      <c r="GP17" s="35">
        <v>239.27387612699999</v>
      </c>
      <c r="GQ17" s="35">
        <v>245.2269259338</v>
      </c>
      <c r="GR17" s="35">
        <v>247.24257599820001</v>
      </c>
      <c r="GS17" s="35">
        <v>249.25822606260002</v>
      </c>
      <c r="GT17" s="35">
        <v>251.27387612699999</v>
      </c>
      <c r="GU17" s="35">
        <v>253.2895261914</v>
      </c>
      <c r="GV17" s="35">
        <v>259.24257599819998</v>
      </c>
      <c r="GW17" s="35">
        <v>261.25822606259999</v>
      </c>
      <c r="GX17" s="35">
        <v>263.27387612699999</v>
      </c>
      <c r="GY17" s="35">
        <v>265.2895261914</v>
      </c>
      <c r="GZ17" s="35">
        <v>267.30517625580001</v>
      </c>
      <c r="HA17" s="35">
        <v>273.25822606259999</v>
      </c>
      <c r="HB17" s="35">
        <v>123.80494999999999</v>
      </c>
      <c r="HC17" s="35">
        <v>12.380495</v>
      </c>
      <c r="HD17" s="35">
        <v>12.380495</v>
      </c>
      <c r="HE17" s="35">
        <v>18.570742500000001</v>
      </c>
      <c r="HF17" s="35">
        <v>27.856113750000002</v>
      </c>
      <c r="HG17" s="35">
        <v>61.902474999999995</v>
      </c>
      <c r="HH17" s="35">
        <v>7.7378093749999994</v>
      </c>
      <c r="HI17" s="35">
        <v>0.96722617187499993</v>
      </c>
      <c r="HJ17" s="35">
        <v>0.48361308593749996</v>
      </c>
      <c r="HK17" s="36">
        <v>3.9321600000000023</v>
      </c>
      <c r="HL17" s="36">
        <v>2</v>
      </c>
      <c r="HM17" s="35">
        <v>0</v>
      </c>
      <c r="HN17" s="35">
        <v>12.288000000000006</v>
      </c>
      <c r="HO17" s="35">
        <v>6.8266666666666698</v>
      </c>
      <c r="HP17" s="35">
        <v>4.7786666666666688</v>
      </c>
      <c r="HQ17" s="35">
        <v>1.5928888888888897</v>
      </c>
      <c r="HR17" s="35">
        <v>26.244000000000007</v>
      </c>
      <c r="HS17" s="35">
        <v>26.244000000000007</v>
      </c>
      <c r="HT17" s="35">
        <v>13.122000000000003</v>
      </c>
      <c r="HU17" s="35">
        <v>26.244000000000007</v>
      </c>
      <c r="HV17" s="35">
        <v>5.248800000000001</v>
      </c>
      <c r="HW17" s="35">
        <v>14.336000000000006</v>
      </c>
      <c r="HX17" s="35">
        <v>7.9644444444444478</v>
      </c>
      <c r="HY17" s="35">
        <v>5.5751111111111129</v>
      </c>
      <c r="HZ17" s="35">
        <v>1.8583703703703709</v>
      </c>
      <c r="IA17" s="35">
        <v>26.244000000000007</v>
      </c>
      <c r="IB17" s="35">
        <v>26.244000000000007</v>
      </c>
      <c r="IC17" s="35">
        <v>13.122000000000003</v>
      </c>
      <c r="ID17" s="35">
        <v>26.244000000000007</v>
      </c>
      <c r="IE17" s="35">
        <v>5.248800000000001</v>
      </c>
      <c r="IF17" s="35">
        <v>15</v>
      </c>
      <c r="IG17" s="35">
        <v>3.75</v>
      </c>
      <c r="IH17" s="35">
        <v>21.599999999999998</v>
      </c>
      <c r="II17" s="35">
        <v>10.799999999999999</v>
      </c>
      <c r="IJ17" s="35">
        <v>48</v>
      </c>
      <c r="IK17" s="35">
        <v>26.666666666666664</v>
      </c>
      <c r="IL17" s="35">
        <v>18.666666666666664</v>
      </c>
      <c r="IM17" s="35">
        <v>6.2222222222222214</v>
      </c>
      <c r="IN17" s="35">
        <v>36</v>
      </c>
      <c r="IO17" s="35">
        <v>36</v>
      </c>
      <c r="IP17" s="35">
        <v>18</v>
      </c>
      <c r="IQ17" s="35">
        <v>36</v>
      </c>
      <c r="IR17" s="35">
        <v>7.2</v>
      </c>
      <c r="IS17" s="35">
        <v>56</v>
      </c>
      <c r="IT17" s="35">
        <v>31.111111111111111</v>
      </c>
      <c r="IU17" s="35">
        <v>21.777777777777775</v>
      </c>
      <c r="IV17" s="35">
        <v>7.2592592592592586</v>
      </c>
      <c r="IW17" s="35">
        <v>36</v>
      </c>
      <c r="IX17" s="35">
        <v>36</v>
      </c>
      <c r="IY17" s="35">
        <v>18</v>
      </c>
      <c r="IZ17" s="35">
        <v>36</v>
      </c>
      <c r="JA17" s="35">
        <v>7.2</v>
      </c>
      <c r="JB17" s="35">
        <v>15</v>
      </c>
      <c r="JC17" s="35">
        <v>3.75</v>
      </c>
      <c r="JD17" s="35">
        <v>14.929919999999999</v>
      </c>
      <c r="JE17" s="35">
        <v>7.4649599999999996</v>
      </c>
      <c r="JF17" s="35">
        <v>0</v>
      </c>
      <c r="JG17" s="35">
        <v>60</v>
      </c>
      <c r="JH17" s="35">
        <v>30</v>
      </c>
      <c r="JI17" s="35">
        <v>30</v>
      </c>
      <c r="JJ17" s="35">
        <v>40</v>
      </c>
      <c r="JK17" s="35">
        <v>1.831817626953125</v>
      </c>
      <c r="JL17" s="35">
        <v>3.9085542785616756</v>
      </c>
      <c r="JM17" s="35">
        <v>5.5902637541294098</v>
      </c>
      <c r="JN17" s="35">
        <v>6.6844560764679102</v>
      </c>
      <c r="JO17" s="35">
        <v>4.1731095314025879</v>
      </c>
      <c r="JP17" s="35">
        <v>13.910365104675293</v>
      </c>
      <c r="JQ17" s="35">
        <v>8.2393747155211656</v>
      </c>
      <c r="JR17" s="35">
        <v>10.523023046553135</v>
      </c>
      <c r="JS17" s="35">
        <v>47.488933104557965</v>
      </c>
      <c r="JT17" s="35">
        <v>3.5747610377787895</v>
      </c>
      <c r="JU17" s="35">
        <v>23.447265625</v>
      </c>
      <c r="JV17" s="35">
        <v>58.6181640625</v>
      </c>
      <c r="JW17" s="35">
        <v>2.9420658852981334</v>
      </c>
      <c r="JX17" s="35">
        <v>18.340553474863764</v>
      </c>
      <c r="JY17" s="35">
        <v>47.488933104557965</v>
      </c>
      <c r="JZ17" s="35">
        <v>3.3427401001365502</v>
      </c>
      <c r="KA17" s="35">
        <v>14.218460218992666</v>
      </c>
      <c r="KB17" s="35">
        <v>38.179198736184006</v>
      </c>
      <c r="KC17" s="35">
        <v>3.7782345243513888</v>
      </c>
      <c r="KD17" s="35">
        <v>10.917410842418233</v>
      </c>
      <c r="KE17" s="35">
        <v>30.44278023366623</v>
      </c>
      <c r="KF17" s="35">
        <v>4.25</v>
      </c>
      <c r="KG17" s="35">
        <v>8.296334973198956</v>
      </c>
      <c r="KH17" s="35">
        <v>24.059371422276975</v>
      </c>
      <c r="KI17" s="35">
        <v>3.7782345243513888</v>
      </c>
      <c r="KJ17" s="35">
        <v>6.2342599931508875</v>
      </c>
      <c r="KK17" s="35">
        <v>18.832660395976639</v>
      </c>
      <c r="KL17" s="35">
        <v>3.3427401001365502</v>
      </c>
      <c r="KM17" s="35">
        <v>4.6280822675183844</v>
      </c>
      <c r="KN17" s="35">
        <v>14.588520191090559</v>
      </c>
      <c r="KO17" s="35">
        <v>2.9420658852981334</v>
      </c>
      <c r="KP17" s="35">
        <v>3.3905096428567076</v>
      </c>
      <c r="KQ17" s="35">
        <v>11.173270413959607</v>
      </c>
      <c r="KR17" s="35">
        <v>2.5747610377787895</v>
      </c>
      <c r="KS17" s="35">
        <v>2.4481683623978912</v>
      </c>
      <c r="KT17" s="35">
        <v>8.4520098225641469</v>
      </c>
      <c r="KU17" s="35">
        <v>2.2393747155211652</v>
      </c>
      <c r="KV17" s="35">
        <v>1.7398675481714156</v>
      </c>
      <c r="KW17" s="35">
        <v>6.30701986212138</v>
      </c>
      <c r="KX17" s="35">
        <v>1.9344560764679104</v>
      </c>
      <c r="KY17" s="35">
        <v>1.2150143991512878</v>
      </c>
      <c r="KZ17" s="35">
        <v>4.6362391546562289</v>
      </c>
      <c r="LA17" s="35">
        <v>1.6585542785616756</v>
      </c>
      <c r="LB17" s="35">
        <v>0.83217325470098846</v>
      </c>
      <c r="LC17" s="35">
        <v>3.3518089425456479</v>
      </c>
      <c r="LD17" s="35">
        <v>1.4102184797451067</v>
      </c>
      <c r="LE17" s="35">
        <v>0.55776167258782994</v>
      </c>
      <c r="LF17" s="35">
        <v>2.3786894860363308</v>
      </c>
      <c r="LG17" s="35">
        <v>1.1879978379608558</v>
      </c>
      <c r="LH17" s="35">
        <v>0.36487667083827779</v>
      </c>
      <c r="LI17" s="35">
        <v>1.6533474147359464</v>
      </c>
      <c r="LJ17" s="35">
        <v>0.99044151115157042</v>
      </c>
      <c r="LK17" s="35">
        <v>0.23224428270574216</v>
      </c>
      <c r="LL17" s="35">
        <v>1.1225140330777554</v>
      </c>
      <c r="LM17" s="35">
        <v>0.81609865725989961</v>
      </c>
      <c r="LN17" s="35">
        <v>0.14328557402237305</v>
      </c>
      <c r="LO17" s="35">
        <v>0.74201457975871821</v>
      </c>
      <c r="LP17" s="35">
        <v>0.66351843422849333</v>
      </c>
      <c r="LQ17" s="35">
        <v>8.5292272206392447E-2</v>
      </c>
      <c r="LR17" s="35">
        <v>0.47566844115103485</v>
      </c>
      <c r="LS17" s="35">
        <v>0.1953125</v>
      </c>
      <c r="LT17" s="35">
        <v>1.3453686845698682</v>
      </c>
      <c r="LU17" s="35">
        <v>0.59604644775390625</v>
      </c>
      <c r="LV17" s="35">
        <v>1.5495129722348657</v>
      </c>
      <c r="LW17" s="35">
        <v>0.4449462890625</v>
      </c>
      <c r="LX17" s="35">
        <v>1.483154296875</v>
      </c>
      <c r="LY17" s="35">
        <v>1.6782999544833865</v>
      </c>
      <c r="LZ17" s="35">
        <v>1.1219882965087891</v>
      </c>
      <c r="MA17" s="35">
        <v>5.0633764576288378</v>
      </c>
      <c r="MB17" s="35">
        <v>1.4119617660446062</v>
      </c>
      <c r="MC17" s="35">
        <v>2.5</v>
      </c>
      <c r="MD17" s="35">
        <v>6.25</v>
      </c>
      <c r="ME17" s="35">
        <v>0.47073054164770134</v>
      </c>
      <c r="MF17" s="35">
        <v>1.9555109077738959</v>
      </c>
      <c r="MG17" s="35">
        <v>5.0633764576288378</v>
      </c>
      <c r="MH17" s="35">
        <v>0.53483841602184801</v>
      </c>
      <c r="MI17" s="35">
        <v>1.5160040883224166</v>
      </c>
      <c r="MJ17" s="35">
        <v>4.0707517186435256</v>
      </c>
      <c r="MK17" s="35">
        <v>0.60451752389622226</v>
      </c>
      <c r="ML17" s="35">
        <v>1.0719767711593104</v>
      </c>
      <c r="MM17" s="35">
        <v>1.1640388070216858</v>
      </c>
      <c r="MN17" s="35">
        <v>3.2458774426566244</v>
      </c>
      <c r="MO17" s="35">
        <v>0.68</v>
      </c>
      <c r="MP17" s="35">
        <v>0.82309973400933301</v>
      </c>
      <c r="MQ17" s="35">
        <v>0.88457382471425772</v>
      </c>
      <c r="MR17" s="35">
        <v>2.5652640916713478</v>
      </c>
      <c r="MS17" s="35">
        <v>0.60451752389622226</v>
      </c>
      <c r="MT17" s="35">
        <v>0.625488149915572</v>
      </c>
      <c r="MU17" s="35">
        <v>0.66471076978201882</v>
      </c>
      <c r="MV17" s="35">
        <v>2.0079804503831817</v>
      </c>
      <c r="MW17" s="35">
        <v>0.53483841602184801</v>
      </c>
      <c r="MX17" s="35">
        <v>0.47002149284059552</v>
      </c>
      <c r="MY17" s="35">
        <v>0.49345650165960286</v>
      </c>
      <c r="MZ17" s="35">
        <v>1.5554607117530959</v>
      </c>
      <c r="NA17" s="35">
        <v>0.47073054164770134</v>
      </c>
      <c r="NB17" s="35">
        <v>0.348926438544096</v>
      </c>
      <c r="NC17" s="35">
        <v>0.36150373534832037</v>
      </c>
      <c r="ND17" s="35">
        <v>1.1913191278524196</v>
      </c>
      <c r="NE17" s="35">
        <v>0.41196176604460633</v>
      </c>
      <c r="NF17" s="35">
        <v>0.25562174268906435</v>
      </c>
      <c r="NG17" s="35">
        <v>0.84238983386168942</v>
      </c>
      <c r="NH17" s="35">
        <v>0.26102919649057066</v>
      </c>
      <c r="NI17" s="35">
        <v>0.90117222597935098</v>
      </c>
      <c r="NJ17" s="35">
        <v>0.35829995448338642</v>
      </c>
      <c r="NK17" s="35">
        <v>0.18457551492615826</v>
      </c>
      <c r="NL17" s="35">
        <v>0.6372249920069748</v>
      </c>
      <c r="NM17" s="35">
        <v>0.1855085765647157</v>
      </c>
      <c r="NN17" s="35">
        <v>0.67246859004709425</v>
      </c>
      <c r="NO17" s="35">
        <v>0.30951297223486568</v>
      </c>
      <c r="NP17" s="35">
        <v>0.13117437245717431</v>
      </c>
      <c r="NQ17" s="35">
        <v>0.47550710015725678</v>
      </c>
      <c r="NR17" s="35">
        <v>0.12954755776040386</v>
      </c>
      <c r="NS17" s="35">
        <v>0.49432620724364623</v>
      </c>
      <c r="NT17" s="35">
        <v>0.26536868456986812</v>
      </c>
      <c r="NU17" s="35">
        <v>9.160395657853751E-2</v>
      </c>
      <c r="NV17" s="35">
        <v>0.34954141326020888</v>
      </c>
      <c r="NW17" s="35">
        <v>8.8728177094316144E-2</v>
      </c>
      <c r="NX17" s="35">
        <v>0.35737737996321772</v>
      </c>
      <c r="NY17" s="35">
        <v>0.22563495675921708</v>
      </c>
      <c r="NZ17" s="35">
        <v>6.2740295705711838E-2</v>
      </c>
    </row>
    <row r="18" spans="1:390" s="4" customFormat="1" ht="14.25" x14ac:dyDescent="0.2">
      <c r="A18" s="4">
        <v>12</v>
      </c>
      <c r="B18" s="16" t="s">
        <v>667</v>
      </c>
      <c r="C18" s="16" t="s">
        <v>452</v>
      </c>
      <c r="D18" s="16" t="s">
        <v>122</v>
      </c>
      <c r="E18" s="16" t="s">
        <v>452</v>
      </c>
      <c r="F18" s="31" t="s">
        <v>222</v>
      </c>
      <c r="G18" s="31" t="s">
        <v>223</v>
      </c>
      <c r="H18" s="32">
        <v>-1</v>
      </c>
      <c r="I18" s="33">
        <v>28.69</v>
      </c>
      <c r="J18" s="34">
        <v>21.002199999999998</v>
      </c>
      <c r="K18" s="32" t="s">
        <v>224</v>
      </c>
      <c r="L18" s="16">
        <v>0</v>
      </c>
      <c r="M18" s="16">
        <v>2</v>
      </c>
      <c r="N18" s="16" t="s">
        <v>452</v>
      </c>
      <c r="O18" s="16">
        <v>0</v>
      </c>
      <c r="P18" s="16">
        <v>0</v>
      </c>
      <c r="Q18" s="16">
        <v>3</v>
      </c>
      <c r="R18" s="16">
        <v>3</v>
      </c>
      <c r="S18" s="16">
        <v>0</v>
      </c>
      <c r="T18" s="16">
        <v>40</v>
      </c>
      <c r="U18" s="16">
        <v>0</v>
      </c>
      <c r="V18" s="16">
        <v>40</v>
      </c>
      <c r="W18" s="16">
        <v>0</v>
      </c>
      <c r="X18" s="16" t="s">
        <v>452</v>
      </c>
      <c r="Y18" s="35">
        <v>890.64871628959997</v>
      </c>
      <c r="Z18" s="35">
        <v>872.63815628959992</v>
      </c>
      <c r="AA18" s="35">
        <v>890.64871628959997</v>
      </c>
      <c r="AB18" s="35">
        <v>872.63815628959992</v>
      </c>
      <c r="AC18" s="35">
        <v>1452.2821412895998</v>
      </c>
      <c r="AD18" s="35">
        <v>1434.2715766055999</v>
      </c>
      <c r="AE18" s="35">
        <v>1416.2610119215999</v>
      </c>
      <c r="AF18" s="35">
        <v>1398.2504472375999</v>
      </c>
      <c r="AG18" s="35">
        <v>1380.2398825536</v>
      </c>
      <c r="AH18" s="35">
        <v>1290.2293178695998</v>
      </c>
      <c r="AI18" s="35">
        <v>1272.2187531855998</v>
      </c>
      <c r="AJ18" s="35">
        <v>1254.2081885015998</v>
      </c>
      <c r="AK18" s="35">
        <v>1236.1976238175998</v>
      </c>
      <c r="AL18" s="35">
        <v>1216.1925384371998</v>
      </c>
      <c r="AM18" s="35">
        <v>1198.1819737531998</v>
      </c>
      <c r="AN18" s="35">
        <v>1106.1346296367999</v>
      </c>
      <c r="AO18" s="35">
        <v>899.7187389067999</v>
      </c>
      <c r="AP18" s="35">
        <v>881.70817422279993</v>
      </c>
      <c r="AQ18" s="35">
        <v>863.69760953879995</v>
      </c>
      <c r="AR18" s="35">
        <v>845.68704485479998</v>
      </c>
      <c r="AS18" s="35">
        <v>825.68195947439995</v>
      </c>
      <c r="AT18" s="35">
        <v>807.67139479039997</v>
      </c>
      <c r="AU18" s="35">
        <v>789.6608301064</v>
      </c>
      <c r="AV18" s="35">
        <v>771.65026542240003</v>
      </c>
      <c r="AW18" s="35">
        <v>753.63970073840005</v>
      </c>
      <c r="AX18" s="35">
        <v>737.6659154867998</v>
      </c>
      <c r="AY18" s="35">
        <v>719.65535080279983</v>
      </c>
      <c r="AZ18" s="35">
        <v>701.64478611879986</v>
      </c>
      <c r="BA18" s="35">
        <v>683.63422143479988</v>
      </c>
      <c r="BB18" s="35">
        <v>663.62913605439985</v>
      </c>
      <c r="BC18" s="35">
        <v>645.61857137039988</v>
      </c>
      <c r="BD18" s="35">
        <v>627.6080066863999</v>
      </c>
      <c r="BE18" s="35">
        <v>609.59744200239993</v>
      </c>
      <c r="BF18" s="35">
        <v>591.58687731839996</v>
      </c>
      <c r="BG18" s="35">
        <v>607.60292130599987</v>
      </c>
      <c r="BH18" s="35">
        <v>589.5923566219999</v>
      </c>
      <c r="BI18" s="35">
        <v>553.57122738280009</v>
      </c>
      <c r="BJ18" s="35">
        <v>571.58179206680006</v>
      </c>
      <c r="BK18" s="35">
        <v>899.7187389067999</v>
      </c>
      <c r="BL18" s="35">
        <v>881.70817422279993</v>
      </c>
      <c r="BM18" s="35">
        <v>863.69760953879995</v>
      </c>
      <c r="BN18" s="35">
        <v>845.68704485479998</v>
      </c>
      <c r="BO18" s="35">
        <v>825.68195947439995</v>
      </c>
      <c r="BP18" s="35">
        <v>807.67139479039997</v>
      </c>
      <c r="BQ18" s="35">
        <v>789.6608301064</v>
      </c>
      <c r="BR18" s="35">
        <v>771.65026542240003</v>
      </c>
      <c r="BS18" s="35">
        <v>753.63970073840005</v>
      </c>
      <c r="BT18" s="35">
        <v>737.6659154867998</v>
      </c>
      <c r="BU18" s="35">
        <v>719.65535080279983</v>
      </c>
      <c r="BV18" s="35">
        <v>701.64478611879986</v>
      </c>
      <c r="BW18" s="35">
        <v>683.63422143479988</v>
      </c>
      <c r="BX18" s="35">
        <v>663.62913605439985</v>
      </c>
      <c r="BY18" s="35">
        <v>645.61857137039988</v>
      </c>
      <c r="BZ18" s="35">
        <v>627.6080066863999</v>
      </c>
      <c r="CA18" s="35">
        <v>609.59744200239993</v>
      </c>
      <c r="CB18" s="35">
        <v>591.58687731839996</v>
      </c>
      <c r="CC18" s="35">
        <v>607.60292130599987</v>
      </c>
      <c r="CD18" s="35">
        <v>589.5923566219999</v>
      </c>
      <c r="CE18" s="35">
        <v>551.55557738280004</v>
      </c>
      <c r="CF18" s="35">
        <v>569.56614206680001</v>
      </c>
      <c r="CG18" s="35">
        <v>163.06064842000001</v>
      </c>
      <c r="CH18" s="35">
        <v>255.10799253639999</v>
      </c>
      <c r="CI18" s="35">
        <v>237.09742785239999</v>
      </c>
      <c r="CJ18" s="35">
        <v>219.08686316839999</v>
      </c>
      <c r="CK18" s="35">
        <v>201.07629848439998</v>
      </c>
      <c r="CL18" s="35">
        <v>55.0547752254</v>
      </c>
      <c r="CM18" s="35">
        <v>57.070425289800006</v>
      </c>
      <c r="CN18" s="35">
        <v>69.070425289799999</v>
      </c>
      <c r="CO18" s="35">
        <v>71.086075354200005</v>
      </c>
      <c r="CP18" s="35">
        <v>81.070425289799999</v>
      </c>
      <c r="CQ18" s="35">
        <v>83.086075354200005</v>
      </c>
      <c r="CR18" s="35">
        <v>85.101725418599997</v>
      </c>
      <c r="CS18" s="35">
        <v>95.086075354200005</v>
      </c>
      <c r="CT18" s="35">
        <v>97.101725418599997</v>
      </c>
      <c r="CU18" s="35">
        <v>99.117375483000004</v>
      </c>
      <c r="CV18" s="35">
        <v>109.1017254186</v>
      </c>
      <c r="CW18" s="35">
        <v>111.117375483</v>
      </c>
      <c r="CX18" s="35">
        <v>113.13302554740001</v>
      </c>
      <c r="CY18" s="35">
        <v>123.117375483</v>
      </c>
      <c r="CZ18" s="35">
        <v>125.13302554740001</v>
      </c>
      <c r="DA18" s="35">
        <v>127.1486756118</v>
      </c>
      <c r="DB18" s="35">
        <v>137.1330255474</v>
      </c>
      <c r="DC18" s="35">
        <v>139.1486756118</v>
      </c>
      <c r="DD18" s="35">
        <v>141.16432567620001</v>
      </c>
      <c r="DE18" s="35">
        <v>149.1330255474</v>
      </c>
      <c r="DF18" s="35">
        <v>151.1486756118</v>
      </c>
      <c r="DG18" s="35">
        <v>153.16432567620001</v>
      </c>
      <c r="DH18" s="35">
        <v>155.17997574060001</v>
      </c>
      <c r="DI18" s="35">
        <v>163.1486756118</v>
      </c>
      <c r="DJ18" s="35">
        <v>165.16432567620001</v>
      </c>
      <c r="DK18" s="35">
        <v>167.17997574060001</v>
      </c>
      <c r="DL18" s="35">
        <v>169.19562580499999</v>
      </c>
      <c r="DM18" s="35">
        <v>177.16432567620001</v>
      </c>
      <c r="DN18" s="35">
        <v>179.17997574060001</v>
      </c>
      <c r="DO18" s="35">
        <v>181.19562580499999</v>
      </c>
      <c r="DP18" s="35">
        <v>183.2112758694</v>
      </c>
      <c r="DQ18" s="35">
        <v>191.17997574060001</v>
      </c>
      <c r="DR18" s="35">
        <v>193.19562580499999</v>
      </c>
      <c r="DS18" s="35">
        <v>195.2112758694</v>
      </c>
      <c r="DT18" s="35">
        <v>197.2269259338</v>
      </c>
      <c r="DU18" s="35">
        <v>205.19562580499999</v>
      </c>
      <c r="DV18" s="35">
        <v>207.2112758694</v>
      </c>
      <c r="DW18" s="35">
        <v>209.2269259338</v>
      </c>
      <c r="DX18" s="35">
        <v>211.24257599820001</v>
      </c>
      <c r="DY18" s="35">
        <v>217.19562580499999</v>
      </c>
      <c r="DZ18" s="35">
        <v>219.2112758694</v>
      </c>
      <c r="EA18" s="35">
        <v>221.2269259338</v>
      </c>
      <c r="EB18" s="35">
        <v>223.24257599820001</v>
      </c>
      <c r="EC18" s="35">
        <v>225.25822606260002</v>
      </c>
      <c r="ED18" s="35">
        <v>231.2112758694</v>
      </c>
      <c r="EE18" s="35">
        <v>233.2269259338</v>
      </c>
      <c r="EF18" s="35">
        <v>235.24257599820001</v>
      </c>
      <c r="EG18" s="35">
        <v>237.25822606260002</v>
      </c>
      <c r="EH18" s="35">
        <v>239.27387612699999</v>
      </c>
      <c r="EI18" s="35">
        <v>245.2269259338</v>
      </c>
      <c r="EJ18" s="35">
        <v>247.24257599820001</v>
      </c>
      <c r="EK18" s="35">
        <v>249.25822606260002</v>
      </c>
      <c r="EL18" s="35">
        <v>251.27387612699999</v>
      </c>
      <c r="EM18" s="35">
        <v>253.2895261914</v>
      </c>
      <c r="EN18" s="35">
        <v>259.24257599819998</v>
      </c>
      <c r="EO18" s="35">
        <v>261.25822606259999</v>
      </c>
      <c r="EP18" s="35">
        <v>263.27387612699999</v>
      </c>
      <c r="EQ18" s="35">
        <v>265.2895261914</v>
      </c>
      <c r="ER18" s="35">
        <v>267.30517625580001</v>
      </c>
      <c r="ES18" s="35">
        <v>273.25822606259999</v>
      </c>
      <c r="ET18" s="35">
        <v>55.0547752254</v>
      </c>
      <c r="EU18" s="35">
        <v>57.070425289800006</v>
      </c>
      <c r="EV18" s="35">
        <v>69.070425289799999</v>
      </c>
      <c r="EW18" s="35">
        <v>71.086075354200005</v>
      </c>
      <c r="EX18" s="35">
        <v>81.070425289799999</v>
      </c>
      <c r="EY18" s="35">
        <v>83.086075354200005</v>
      </c>
      <c r="EZ18" s="35">
        <v>85.101725418599997</v>
      </c>
      <c r="FA18" s="35">
        <v>95.086075354200005</v>
      </c>
      <c r="FB18" s="35">
        <v>97.101725418599997</v>
      </c>
      <c r="FC18" s="35">
        <v>99.117375483000004</v>
      </c>
      <c r="FD18" s="35">
        <v>109.1017254186</v>
      </c>
      <c r="FE18" s="35">
        <v>111.117375483</v>
      </c>
      <c r="FF18" s="35">
        <v>113.13302554740001</v>
      </c>
      <c r="FG18" s="35">
        <v>123.117375483</v>
      </c>
      <c r="FH18" s="35">
        <v>125.13302554740001</v>
      </c>
      <c r="FI18" s="35">
        <v>127.1486756118</v>
      </c>
      <c r="FJ18" s="35">
        <v>137.1330255474</v>
      </c>
      <c r="FK18" s="35">
        <v>139.1486756118</v>
      </c>
      <c r="FL18" s="35">
        <v>141.16432567620001</v>
      </c>
      <c r="FM18" s="35">
        <v>149.1330255474</v>
      </c>
      <c r="FN18" s="35">
        <v>151.1486756118</v>
      </c>
      <c r="FO18" s="35">
        <v>153.16432567620001</v>
      </c>
      <c r="FP18" s="35">
        <v>155.17997574060001</v>
      </c>
      <c r="FQ18" s="35">
        <v>163.1486756118</v>
      </c>
      <c r="FR18" s="35">
        <v>165.16432567620001</v>
      </c>
      <c r="FS18" s="35">
        <v>167.17997574060001</v>
      </c>
      <c r="FT18" s="35">
        <v>169.19562580499999</v>
      </c>
      <c r="FU18" s="35">
        <v>177.16432567620001</v>
      </c>
      <c r="FV18" s="35">
        <v>179.17997574060001</v>
      </c>
      <c r="FW18" s="35">
        <v>181.19562580499999</v>
      </c>
      <c r="FX18" s="35">
        <v>183.2112758694</v>
      </c>
      <c r="FY18" s="35">
        <v>191.17997574060001</v>
      </c>
      <c r="FZ18" s="35">
        <v>193.19562580499999</v>
      </c>
      <c r="GA18" s="35">
        <v>195.2112758694</v>
      </c>
      <c r="GB18" s="35">
        <v>197.2269259338</v>
      </c>
      <c r="GC18" s="35">
        <v>205.19562580499999</v>
      </c>
      <c r="GD18" s="35">
        <v>207.2112758694</v>
      </c>
      <c r="GE18" s="35">
        <v>209.2269259338</v>
      </c>
      <c r="GF18" s="35">
        <v>211.24257599820001</v>
      </c>
      <c r="GG18" s="35">
        <v>217.19562580499999</v>
      </c>
      <c r="GH18" s="35">
        <v>219.2112758694</v>
      </c>
      <c r="GI18" s="35">
        <v>221.2269259338</v>
      </c>
      <c r="GJ18" s="35">
        <v>223.24257599820001</v>
      </c>
      <c r="GK18" s="35">
        <v>225.25822606260002</v>
      </c>
      <c r="GL18" s="35">
        <v>231.2112758694</v>
      </c>
      <c r="GM18" s="35">
        <v>233.2269259338</v>
      </c>
      <c r="GN18" s="35">
        <v>235.24257599820001</v>
      </c>
      <c r="GO18" s="35">
        <v>237.25822606260002</v>
      </c>
      <c r="GP18" s="35">
        <v>239.27387612699999</v>
      </c>
      <c r="GQ18" s="35">
        <v>245.2269259338</v>
      </c>
      <c r="GR18" s="35">
        <v>247.24257599820001</v>
      </c>
      <c r="GS18" s="35">
        <v>249.25822606260002</v>
      </c>
      <c r="GT18" s="35">
        <v>251.27387612699999</v>
      </c>
      <c r="GU18" s="35">
        <v>253.2895261914</v>
      </c>
      <c r="GV18" s="35">
        <v>259.24257599819998</v>
      </c>
      <c r="GW18" s="35">
        <v>261.25822606259999</v>
      </c>
      <c r="GX18" s="35">
        <v>263.27387612699999</v>
      </c>
      <c r="GY18" s="35">
        <v>265.2895261914</v>
      </c>
      <c r="GZ18" s="35">
        <v>267.30517625580001</v>
      </c>
      <c r="HA18" s="35">
        <v>273.25822606259999</v>
      </c>
      <c r="HB18" s="35">
        <v>117.61470249999999</v>
      </c>
      <c r="HC18" s="35">
        <v>11.761470249999999</v>
      </c>
      <c r="HD18" s="35">
        <v>11.761470249999999</v>
      </c>
      <c r="HE18" s="35">
        <v>17.642205374999996</v>
      </c>
      <c r="HF18" s="35">
        <v>26.463308062499994</v>
      </c>
      <c r="HG18" s="35">
        <v>58.807351249999996</v>
      </c>
      <c r="HH18" s="35">
        <v>7.3509189062499996</v>
      </c>
      <c r="HI18" s="35">
        <v>0.91886486328124994</v>
      </c>
      <c r="HJ18" s="35">
        <v>0.45943243164062497</v>
      </c>
      <c r="HK18" s="36">
        <v>3.1457280000000019</v>
      </c>
      <c r="HL18" s="36">
        <v>2</v>
      </c>
      <c r="HM18" s="35">
        <v>0</v>
      </c>
      <c r="HN18" s="35">
        <v>30.720000000000006</v>
      </c>
      <c r="HO18" s="35">
        <v>17.06666666666667</v>
      </c>
      <c r="HP18" s="35">
        <v>11.946666666666669</v>
      </c>
      <c r="HQ18" s="35">
        <v>3.982222222222223</v>
      </c>
      <c r="HR18" s="35">
        <v>29.160000000000004</v>
      </c>
      <c r="HS18" s="35">
        <v>29.160000000000004</v>
      </c>
      <c r="HT18" s="35">
        <v>14.580000000000002</v>
      </c>
      <c r="HU18" s="35">
        <v>29.160000000000004</v>
      </c>
      <c r="HV18" s="35">
        <v>5.8320000000000007</v>
      </c>
      <c r="HW18" s="35">
        <v>35.840000000000011</v>
      </c>
      <c r="HX18" s="35">
        <v>19.911111111111115</v>
      </c>
      <c r="HY18" s="35">
        <v>13.93777777777778</v>
      </c>
      <c r="HZ18" s="35">
        <v>4.6459259259259271</v>
      </c>
      <c r="IA18" s="35">
        <v>29.160000000000004</v>
      </c>
      <c r="IB18" s="35">
        <v>29.160000000000004</v>
      </c>
      <c r="IC18" s="35">
        <v>14.580000000000002</v>
      </c>
      <c r="ID18" s="35">
        <v>29.160000000000004</v>
      </c>
      <c r="IE18" s="35">
        <v>5.8320000000000007</v>
      </c>
      <c r="IF18" s="35">
        <v>15</v>
      </c>
      <c r="IG18" s="35">
        <v>3.75</v>
      </c>
      <c r="IH18" s="35">
        <v>31.103999999999999</v>
      </c>
      <c r="II18" s="35">
        <v>15.552</v>
      </c>
      <c r="IJ18" s="35">
        <v>30.720000000000006</v>
      </c>
      <c r="IK18" s="35">
        <v>17.06666666666667</v>
      </c>
      <c r="IL18" s="35">
        <v>11.946666666666669</v>
      </c>
      <c r="IM18" s="35">
        <v>3.982222222222223</v>
      </c>
      <c r="IN18" s="35">
        <v>29.160000000000004</v>
      </c>
      <c r="IO18" s="35">
        <v>29.160000000000004</v>
      </c>
      <c r="IP18" s="35">
        <v>14.580000000000002</v>
      </c>
      <c r="IQ18" s="35">
        <v>29.160000000000004</v>
      </c>
      <c r="IR18" s="35">
        <v>5.8320000000000007</v>
      </c>
      <c r="IS18" s="35">
        <v>35.840000000000011</v>
      </c>
      <c r="IT18" s="35">
        <v>19.911111111111115</v>
      </c>
      <c r="IU18" s="35">
        <v>13.93777777777778</v>
      </c>
      <c r="IV18" s="35">
        <v>4.6459259259259271</v>
      </c>
      <c r="IW18" s="35">
        <v>29.160000000000004</v>
      </c>
      <c r="IX18" s="35">
        <v>29.160000000000004</v>
      </c>
      <c r="IY18" s="35">
        <v>14.580000000000002</v>
      </c>
      <c r="IZ18" s="35">
        <v>29.160000000000004</v>
      </c>
      <c r="JA18" s="35">
        <v>5.8320000000000007</v>
      </c>
      <c r="JB18" s="35">
        <v>15</v>
      </c>
      <c r="JC18" s="35">
        <v>3.75</v>
      </c>
      <c r="JD18" s="35">
        <v>31.103999999999999</v>
      </c>
      <c r="JE18" s="35">
        <v>15.552</v>
      </c>
      <c r="JF18" s="35">
        <v>0</v>
      </c>
      <c r="JG18" s="35">
        <v>60</v>
      </c>
      <c r="JH18" s="35">
        <v>30</v>
      </c>
      <c r="JI18" s="35">
        <v>30</v>
      </c>
      <c r="JJ18" s="35">
        <v>40</v>
      </c>
      <c r="JK18" s="35">
        <v>0.476837158203125</v>
      </c>
      <c r="JL18" s="35">
        <v>1.5708885696404189</v>
      </c>
      <c r="JM18" s="35">
        <v>1.4551915228366852</v>
      </c>
      <c r="JN18" s="35">
        <v>1.9523640191169775</v>
      </c>
      <c r="JO18" s="35">
        <v>1.0862946510314941</v>
      </c>
      <c r="JP18" s="35">
        <v>3.6209821701049805</v>
      </c>
      <c r="JQ18" s="35">
        <v>2.1848436788802914</v>
      </c>
      <c r="JR18" s="35">
        <v>2.7392292395234108</v>
      </c>
      <c r="JS18" s="35">
        <v>12.361758929757904</v>
      </c>
      <c r="JT18" s="35">
        <v>1.6436902594446974</v>
      </c>
      <c r="JU18" s="35">
        <v>6.103515625</v>
      </c>
      <c r="JV18" s="35">
        <v>15.2587890625</v>
      </c>
      <c r="JW18" s="35">
        <v>0.73551647132453335</v>
      </c>
      <c r="JX18" s="35">
        <v>4.7741965521823628</v>
      </c>
      <c r="JY18" s="35">
        <v>12.361758929757904</v>
      </c>
      <c r="JZ18" s="35">
        <v>0.83568502503413755</v>
      </c>
      <c r="KA18" s="35">
        <v>3.7011818562559</v>
      </c>
      <c r="KB18" s="35">
        <v>9.938358688094544</v>
      </c>
      <c r="KC18" s="35">
        <v>0.94455863108784721</v>
      </c>
      <c r="KD18" s="35">
        <v>2.6171307889631601</v>
      </c>
      <c r="KE18" s="35">
        <v>2.8418916187052878</v>
      </c>
      <c r="KF18" s="35">
        <v>7.9245054752358994</v>
      </c>
      <c r="KG18" s="35">
        <v>1.0625</v>
      </c>
      <c r="KH18" s="35">
        <v>2.0095208349837232</v>
      </c>
      <c r="KI18" s="35">
        <v>2.1596040642437933</v>
      </c>
      <c r="KJ18" s="35">
        <v>6.2628517863070012</v>
      </c>
      <c r="KK18" s="35">
        <v>0.94455863108784721</v>
      </c>
      <c r="KL18" s="35">
        <v>1.5270706785048145</v>
      </c>
      <c r="KM18" s="35">
        <v>1.6228290277881319</v>
      </c>
      <c r="KN18" s="35">
        <v>4.9022960214433144</v>
      </c>
      <c r="KO18" s="35">
        <v>0.83568502503413755</v>
      </c>
      <c r="KP18" s="35">
        <v>1.1475134102553601</v>
      </c>
      <c r="KQ18" s="35">
        <v>1.2047277872548898</v>
      </c>
      <c r="KR18" s="35">
        <v>3.7975115033034568</v>
      </c>
      <c r="KS18" s="35">
        <v>0.73551647132453335</v>
      </c>
      <c r="KT18" s="35">
        <v>0.85187118785179694</v>
      </c>
      <c r="KU18" s="35">
        <v>0.8825774788777353</v>
      </c>
      <c r="KV18" s="35">
        <v>2.908493964483446</v>
      </c>
      <c r="KW18" s="35">
        <v>0.64369025944469738</v>
      </c>
      <c r="KX18" s="35">
        <v>0.62407652023697346</v>
      </c>
      <c r="KY18" s="35">
        <v>2.0566158053263899</v>
      </c>
      <c r="KZ18" s="35">
        <v>0.63727831174455729</v>
      </c>
      <c r="LA18" s="35">
        <v>2.2001275048323996</v>
      </c>
      <c r="LB18" s="35">
        <v>0.5598436788802913</v>
      </c>
      <c r="LC18" s="35">
        <v>0.45062381573769106</v>
      </c>
      <c r="LD18" s="35">
        <v>1.5557250781420282</v>
      </c>
      <c r="LE18" s="35">
        <v>0.45290179825370042</v>
      </c>
      <c r="LF18" s="35">
        <v>1.6417690186696638</v>
      </c>
      <c r="LG18" s="35">
        <v>0.4836140191169776</v>
      </c>
      <c r="LH18" s="35">
        <v>0.32024993275677321</v>
      </c>
      <c r="LI18" s="35">
        <v>1.1609060062433028</v>
      </c>
      <c r="LJ18" s="35">
        <v>0.31627821718848598</v>
      </c>
      <c r="LK18" s="35">
        <v>1.2068510919034332</v>
      </c>
      <c r="LL18" s="35">
        <v>0.4146385696404189</v>
      </c>
      <c r="LM18" s="35">
        <v>0.22364247211557009</v>
      </c>
      <c r="LN18" s="35">
        <v>0.85337259096730689</v>
      </c>
      <c r="LO18" s="35">
        <v>0.21662152610917026</v>
      </c>
      <c r="LP18" s="35">
        <v>0.8725033690508246</v>
      </c>
      <c r="LQ18" s="35">
        <v>0.35255461993627668</v>
      </c>
      <c r="LR18" s="35">
        <v>0.15317455006277303</v>
      </c>
      <c r="LS18" s="35">
        <v>0.476837158203125</v>
      </c>
      <c r="LT18" s="35">
        <v>1.5708885696404189</v>
      </c>
      <c r="LU18" s="35">
        <v>1.4551915228366852</v>
      </c>
      <c r="LV18" s="35">
        <v>1.9523640191169775</v>
      </c>
      <c r="LW18" s="35">
        <v>1.0862946510314941</v>
      </c>
      <c r="LX18" s="35">
        <v>3.6209821701049805</v>
      </c>
      <c r="LY18" s="35">
        <v>2.1848436788802914</v>
      </c>
      <c r="LZ18" s="35">
        <v>2.7392292395234108</v>
      </c>
      <c r="MA18" s="35">
        <v>12.361758929757904</v>
      </c>
      <c r="MB18" s="35">
        <v>1.6436902594446974</v>
      </c>
      <c r="MC18" s="35">
        <v>6.103515625</v>
      </c>
      <c r="MD18" s="35">
        <v>15.2587890625</v>
      </c>
      <c r="ME18" s="35">
        <v>0.73551647132453335</v>
      </c>
      <c r="MF18" s="35">
        <v>4.7741965521823628</v>
      </c>
      <c r="MG18" s="35">
        <v>12.361758929757904</v>
      </c>
      <c r="MH18" s="35">
        <v>0.83568502503413755</v>
      </c>
      <c r="MI18" s="35">
        <v>3.7011818562559</v>
      </c>
      <c r="MJ18" s="35">
        <v>9.938358688094544</v>
      </c>
      <c r="MK18" s="35">
        <v>0.94455863108784721</v>
      </c>
      <c r="ML18" s="35">
        <v>2.6171307889631601</v>
      </c>
      <c r="MM18" s="35">
        <v>2.8418916187052878</v>
      </c>
      <c r="MN18" s="35">
        <v>7.9245054752358994</v>
      </c>
      <c r="MO18" s="35">
        <v>1.0625</v>
      </c>
      <c r="MP18" s="35">
        <v>2.0095208349837232</v>
      </c>
      <c r="MQ18" s="35">
        <v>2.1596040642437933</v>
      </c>
      <c r="MR18" s="35">
        <v>6.2628517863070012</v>
      </c>
      <c r="MS18" s="35">
        <v>0.94455863108784721</v>
      </c>
      <c r="MT18" s="35">
        <v>1.5270706785048145</v>
      </c>
      <c r="MU18" s="35">
        <v>1.6228290277881319</v>
      </c>
      <c r="MV18" s="35">
        <v>4.9022960214433144</v>
      </c>
      <c r="MW18" s="35">
        <v>0.83568502503413755</v>
      </c>
      <c r="MX18" s="35">
        <v>1.1475134102553601</v>
      </c>
      <c r="MY18" s="35">
        <v>1.2047277872548898</v>
      </c>
      <c r="MZ18" s="35">
        <v>3.7975115033034568</v>
      </c>
      <c r="NA18" s="35">
        <v>0.73551647132453335</v>
      </c>
      <c r="NB18" s="35">
        <v>0.85187118785179694</v>
      </c>
      <c r="NC18" s="35">
        <v>0.8825774788777353</v>
      </c>
      <c r="ND18" s="35">
        <v>2.908493964483446</v>
      </c>
      <c r="NE18" s="35">
        <v>0.64369025944469738</v>
      </c>
      <c r="NF18" s="35">
        <v>0.62407652023697346</v>
      </c>
      <c r="NG18" s="35">
        <v>2.0566158053263899</v>
      </c>
      <c r="NH18" s="35">
        <v>0.63727831174455729</v>
      </c>
      <c r="NI18" s="35">
        <v>2.2001275048323996</v>
      </c>
      <c r="NJ18" s="35">
        <v>0.5598436788802913</v>
      </c>
      <c r="NK18" s="35">
        <v>0.45062381573769106</v>
      </c>
      <c r="NL18" s="35">
        <v>1.5557250781420282</v>
      </c>
      <c r="NM18" s="35">
        <v>0.45290179825370042</v>
      </c>
      <c r="NN18" s="35">
        <v>1.6417690186696638</v>
      </c>
      <c r="NO18" s="35">
        <v>0.4836140191169776</v>
      </c>
      <c r="NP18" s="35">
        <v>0.32024993275677321</v>
      </c>
      <c r="NQ18" s="35">
        <v>1.1609060062433028</v>
      </c>
      <c r="NR18" s="35">
        <v>0.31627821718848598</v>
      </c>
      <c r="NS18" s="35">
        <v>1.2068510919034332</v>
      </c>
      <c r="NT18" s="35">
        <v>0.4146385696404189</v>
      </c>
      <c r="NU18" s="35">
        <v>0.22364247211557009</v>
      </c>
      <c r="NV18" s="35">
        <v>0.85337259096730689</v>
      </c>
      <c r="NW18" s="35">
        <v>0.21662152610917026</v>
      </c>
      <c r="NX18" s="35">
        <v>0.8725033690508246</v>
      </c>
      <c r="NY18" s="35">
        <v>0.35255461993627668</v>
      </c>
      <c r="NZ18" s="35">
        <v>0.15317455006277303</v>
      </c>
    </row>
    <row r="19" spans="1:390" s="26" customFormat="1" ht="14.25" x14ac:dyDescent="0.2">
      <c r="A19" s="26">
        <v>13</v>
      </c>
      <c r="B19" s="26" t="s">
        <v>667</v>
      </c>
      <c r="C19" s="26" t="s">
        <v>453</v>
      </c>
      <c r="D19" s="26" t="s">
        <v>122</v>
      </c>
      <c r="E19" s="26" t="s">
        <v>453</v>
      </c>
      <c r="F19" s="31" t="s">
        <v>225</v>
      </c>
      <c r="G19" s="31" t="s">
        <v>226</v>
      </c>
      <c r="H19" s="32">
        <v>-1</v>
      </c>
      <c r="I19" s="33">
        <v>28.54</v>
      </c>
      <c r="J19" s="34">
        <v>21.002199999999998</v>
      </c>
      <c r="K19" s="32" t="s">
        <v>227</v>
      </c>
      <c r="L19" s="26">
        <v>0</v>
      </c>
      <c r="M19" s="26">
        <v>2</v>
      </c>
      <c r="N19" s="26" t="s">
        <v>453</v>
      </c>
      <c r="O19" s="26">
        <v>0</v>
      </c>
      <c r="P19" s="26">
        <v>0</v>
      </c>
      <c r="Q19" s="26">
        <v>2</v>
      </c>
      <c r="R19" s="26">
        <v>4</v>
      </c>
      <c r="S19" s="26">
        <v>0</v>
      </c>
      <c r="T19" s="26">
        <v>40</v>
      </c>
      <c r="U19" s="26">
        <v>0</v>
      </c>
      <c r="V19" s="26">
        <v>40</v>
      </c>
      <c r="W19" s="26">
        <v>0</v>
      </c>
      <c r="X19" s="26" t="s">
        <v>453</v>
      </c>
      <c r="Y19" s="37">
        <v>890.64871628959997</v>
      </c>
      <c r="Z19" s="37">
        <v>872.63815628959992</v>
      </c>
      <c r="AA19" s="37">
        <v>890.64871628959997</v>
      </c>
      <c r="AB19" s="37">
        <v>872.63815628959992</v>
      </c>
      <c r="AC19" s="37">
        <v>1452.2821412895998</v>
      </c>
      <c r="AD19" s="37">
        <v>1434.2715766055999</v>
      </c>
      <c r="AE19" s="37">
        <v>1416.2610119215999</v>
      </c>
      <c r="AF19" s="37">
        <v>1398.2504472375999</v>
      </c>
      <c r="AG19" s="37">
        <v>1380.2398825536</v>
      </c>
      <c r="AH19" s="37">
        <v>1290.2293178695998</v>
      </c>
      <c r="AI19" s="37">
        <v>1272.2187531855998</v>
      </c>
      <c r="AJ19" s="37">
        <v>1254.2081885015998</v>
      </c>
      <c r="AK19" s="37">
        <v>1236.1976238175998</v>
      </c>
      <c r="AL19" s="37">
        <v>1216.1925384371998</v>
      </c>
      <c r="AM19" s="37">
        <v>1198.1819737531998</v>
      </c>
      <c r="AN19" s="37">
        <v>1106.1346296367999</v>
      </c>
      <c r="AO19" s="37">
        <v>897.70308884239989</v>
      </c>
      <c r="AP19" s="37">
        <v>879.69252415839992</v>
      </c>
      <c r="AQ19" s="37">
        <v>861.68195947439995</v>
      </c>
      <c r="AR19" s="37">
        <v>843.67139479039997</v>
      </c>
      <c r="AS19" s="37">
        <v>823.66630940999994</v>
      </c>
      <c r="AT19" s="37">
        <v>805.65574472599997</v>
      </c>
      <c r="AU19" s="37">
        <v>787.64518004199999</v>
      </c>
      <c r="AV19" s="37">
        <v>769.63461535800002</v>
      </c>
      <c r="AW19" s="37">
        <v>751.62405067400005</v>
      </c>
      <c r="AX19" s="37">
        <v>735.6502654223998</v>
      </c>
      <c r="AY19" s="37">
        <v>717.63970073839982</v>
      </c>
      <c r="AZ19" s="37">
        <v>699.62913605439985</v>
      </c>
      <c r="BA19" s="37">
        <v>681.61857137039988</v>
      </c>
      <c r="BB19" s="37">
        <v>661.61348598999984</v>
      </c>
      <c r="BC19" s="37">
        <v>643.60292130599987</v>
      </c>
      <c r="BD19" s="37">
        <v>625.5923566219999</v>
      </c>
      <c r="BE19" s="37">
        <v>607.58179193799992</v>
      </c>
      <c r="BF19" s="37">
        <v>589.57122725399995</v>
      </c>
      <c r="BG19" s="37">
        <v>605.58727124159986</v>
      </c>
      <c r="BH19" s="37">
        <v>587.57670655759989</v>
      </c>
      <c r="BI19" s="37">
        <v>553.57122744720004</v>
      </c>
      <c r="BJ19" s="37">
        <v>571.58179213120002</v>
      </c>
      <c r="BK19" s="37">
        <v>901.73438897119991</v>
      </c>
      <c r="BL19" s="37">
        <v>883.72382428719993</v>
      </c>
      <c r="BM19" s="37">
        <v>865.71325960319996</v>
      </c>
      <c r="BN19" s="37">
        <v>847.70269491919998</v>
      </c>
      <c r="BO19" s="37">
        <v>827.69760953879995</v>
      </c>
      <c r="BP19" s="37">
        <v>809.68704485479998</v>
      </c>
      <c r="BQ19" s="37">
        <v>791.6764801708</v>
      </c>
      <c r="BR19" s="37">
        <v>773.66591548680003</v>
      </c>
      <c r="BS19" s="37">
        <v>755.65535080280006</v>
      </c>
      <c r="BT19" s="37">
        <v>739.68156555119981</v>
      </c>
      <c r="BU19" s="37">
        <v>721.67100086719984</v>
      </c>
      <c r="BV19" s="37">
        <v>703.66043618319986</v>
      </c>
      <c r="BW19" s="37">
        <v>685.64987149919989</v>
      </c>
      <c r="BX19" s="37">
        <v>665.64478611879986</v>
      </c>
      <c r="BY19" s="37">
        <v>647.63422143479988</v>
      </c>
      <c r="BZ19" s="37">
        <v>629.62365675079991</v>
      </c>
      <c r="CA19" s="37">
        <v>611.61309206679994</v>
      </c>
      <c r="CB19" s="37">
        <v>593.60252738279996</v>
      </c>
      <c r="CC19" s="37">
        <v>609.61857137039988</v>
      </c>
      <c r="CD19" s="37">
        <v>591.6080066863999</v>
      </c>
      <c r="CE19" s="37">
        <v>549.53992731840003</v>
      </c>
      <c r="CF19" s="37">
        <v>567.55049200240001</v>
      </c>
      <c r="CG19" s="37">
        <v>163.06064842000001</v>
      </c>
      <c r="CH19" s="37">
        <v>255.10799253639999</v>
      </c>
      <c r="CI19" s="37">
        <v>237.09742785239999</v>
      </c>
      <c r="CJ19" s="37">
        <v>219.08686316839999</v>
      </c>
      <c r="CK19" s="37">
        <v>201.07629848439998</v>
      </c>
      <c r="CL19" s="37">
        <v>55.0547752254</v>
      </c>
      <c r="CM19" s="37">
        <v>57.070425289800006</v>
      </c>
      <c r="CN19" s="37">
        <v>69.070425289799999</v>
      </c>
      <c r="CO19" s="37">
        <v>71.086075354200005</v>
      </c>
      <c r="CP19" s="37">
        <v>81.070425289799999</v>
      </c>
      <c r="CQ19" s="37">
        <v>83.086075354200005</v>
      </c>
      <c r="CR19" s="37">
        <v>85.101725418599997</v>
      </c>
      <c r="CS19" s="37">
        <v>95.086075354200005</v>
      </c>
      <c r="CT19" s="37">
        <v>97.101725418599997</v>
      </c>
      <c r="CU19" s="37">
        <v>99.117375483000004</v>
      </c>
      <c r="CV19" s="37">
        <v>109.1017254186</v>
      </c>
      <c r="CW19" s="37">
        <v>111.117375483</v>
      </c>
      <c r="CX19" s="37">
        <v>113.13302554740001</v>
      </c>
      <c r="CY19" s="37">
        <v>123.117375483</v>
      </c>
      <c r="CZ19" s="37">
        <v>125.13302554740001</v>
      </c>
      <c r="DA19" s="37">
        <v>127.1486756118</v>
      </c>
      <c r="DB19" s="37">
        <v>137.1330255474</v>
      </c>
      <c r="DC19" s="37">
        <v>139.1486756118</v>
      </c>
      <c r="DD19" s="37">
        <v>141.16432567620001</v>
      </c>
      <c r="DE19" s="37">
        <v>149.1330255474</v>
      </c>
      <c r="DF19" s="37">
        <v>151.1486756118</v>
      </c>
      <c r="DG19" s="37">
        <v>153.16432567620001</v>
      </c>
      <c r="DH19" s="37">
        <v>155.17997574060001</v>
      </c>
      <c r="DI19" s="37">
        <v>163.1486756118</v>
      </c>
      <c r="DJ19" s="37">
        <v>165.16432567620001</v>
      </c>
      <c r="DK19" s="37">
        <v>167.17997574060001</v>
      </c>
      <c r="DL19" s="37">
        <v>169.19562580499999</v>
      </c>
      <c r="DM19" s="37">
        <v>177.16432567620001</v>
      </c>
      <c r="DN19" s="37">
        <v>179.17997574060001</v>
      </c>
      <c r="DO19" s="37">
        <v>181.19562580499999</v>
      </c>
      <c r="DP19" s="37">
        <v>183.2112758694</v>
      </c>
      <c r="DQ19" s="37">
        <v>191.17997574060001</v>
      </c>
      <c r="DR19" s="37">
        <v>193.19562580499999</v>
      </c>
      <c r="DS19" s="37">
        <v>195.2112758694</v>
      </c>
      <c r="DT19" s="37">
        <v>197.2269259338</v>
      </c>
      <c r="DU19" s="37">
        <v>205.19562580499999</v>
      </c>
      <c r="DV19" s="37">
        <v>207.2112758694</v>
      </c>
      <c r="DW19" s="37">
        <v>209.2269259338</v>
      </c>
      <c r="DX19" s="37">
        <v>211.24257599820001</v>
      </c>
      <c r="DY19" s="37">
        <v>219.2112758694</v>
      </c>
      <c r="DZ19" s="37">
        <v>221.2269259338</v>
      </c>
      <c r="EA19" s="37">
        <v>223.24257599820001</v>
      </c>
      <c r="EB19" s="37">
        <v>225.25822606260002</v>
      </c>
      <c r="EC19" s="37">
        <v>233.2269259338</v>
      </c>
      <c r="ED19" s="37">
        <v>235.24257599820001</v>
      </c>
      <c r="EE19" s="37">
        <v>237.25822606260002</v>
      </c>
      <c r="EF19" s="37">
        <v>239.27387612699999</v>
      </c>
      <c r="EG19" s="37">
        <v>247.24257599820001</v>
      </c>
      <c r="EH19" s="37">
        <v>249.25822606260002</v>
      </c>
      <c r="EI19" s="37">
        <v>251.27387612699999</v>
      </c>
      <c r="EJ19" s="37">
        <v>253.2895261914</v>
      </c>
      <c r="EK19" s="37">
        <v>261.25822606259999</v>
      </c>
      <c r="EL19" s="37">
        <v>263.27387612699999</v>
      </c>
      <c r="EM19" s="37">
        <v>265.2895261914</v>
      </c>
      <c r="EN19" s="37">
        <v>267.30517625580001</v>
      </c>
      <c r="EO19" s="37">
        <v>275.27387612699999</v>
      </c>
      <c r="EP19" s="37">
        <v>277.2895261914</v>
      </c>
      <c r="EQ19" s="37">
        <v>279.30517625580001</v>
      </c>
      <c r="ER19" s="37">
        <v>281.32082632020001</v>
      </c>
      <c r="ES19" s="37">
        <v>289.2895261914</v>
      </c>
      <c r="ET19" s="37">
        <v>55.0547752254</v>
      </c>
      <c r="EU19" s="37">
        <v>57.070425289800006</v>
      </c>
      <c r="EV19" s="37">
        <v>69.070425289799999</v>
      </c>
      <c r="EW19" s="37">
        <v>71.086075354200005</v>
      </c>
      <c r="EX19" s="37">
        <v>81.070425289799999</v>
      </c>
      <c r="EY19" s="37">
        <v>83.086075354200005</v>
      </c>
      <c r="EZ19" s="37">
        <v>85.101725418599997</v>
      </c>
      <c r="FA19" s="37">
        <v>95.086075354200005</v>
      </c>
      <c r="FB19" s="37">
        <v>97.101725418599997</v>
      </c>
      <c r="FC19" s="37">
        <v>99.117375483000004</v>
      </c>
      <c r="FD19" s="37">
        <v>109.1017254186</v>
      </c>
      <c r="FE19" s="37">
        <v>111.117375483</v>
      </c>
      <c r="FF19" s="37">
        <v>113.13302554740001</v>
      </c>
      <c r="FG19" s="37">
        <v>123.117375483</v>
      </c>
      <c r="FH19" s="37">
        <v>125.13302554740001</v>
      </c>
      <c r="FI19" s="37">
        <v>127.1486756118</v>
      </c>
      <c r="FJ19" s="37">
        <v>137.1330255474</v>
      </c>
      <c r="FK19" s="37">
        <v>139.1486756118</v>
      </c>
      <c r="FL19" s="37">
        <v>141.16432567620001</v>
      </c>
      <c r="FM19" s="37">
        <v>149.1330255474</v>
      </c>
      <c r="FN19" s="37">
        <v>151.1486756118</v>
      </c>
      <c r="FO19" s="37">
        <v>153.16432567620001</v>
      </c>
      <c r="FP19" s="37">
        <v>155.17997574060001</v>
      </c>
      <c r="FQ19" s="37">
        <v>163.1486756118</v>
      </c>
      <c r="FR19" s="37">
        <v>165.16432567620001</v>
      </c>
      <c r="FS19" s="37">
        <v>167.17997574060001</v>
      </c>
      <c r="FT19" s="37">
        <v>169.19562580499999</v>
      </c>
      <c r="FU19" s="37">
        <v>177.16432567620001</v>
      </c>
      <c r="FV19" s="37">
        <v>179.17997574060001</v>
      </c>
      <c r="FW19" s="37">
        <v>181.19562580499999</v>
      </c>
      <c r="FX19" s="37">
        <v>183.2112758694</v>
      </c>
      <c r="FY19" s="37">
        <v>191.17997574060001</v>
      </c>
      <c r="FZ19" s="37">
        <v>193.19562580499999</v>
      </c>
      <c r="GA19" s="37">
        <v>195.2112758694</v>
      </c>
      <c r="GB19" s="37">
        <v>197.2269259338</v>
      </c>
      <c r="GC19" s="37">
        <v>205.19562580499999</v>
      </c>
      <c r="GD19" s="37">
        <v>207.2112758694</v>
      </c>
      <c r="GE19" s="37">
        <v>209.2269259338</v>
      </c>
      <c r="GF19" s="37">
        <v>211.24257599820001</v>
      </c>
      <c r="GG19" s="37">
        <v>217.19562580499999</v>
      </c>
      <c r="GH19" s="37">
        <v>219.2112758694</v>
      </c>
      <c r="GI19" s="37">
        <v>221.2269259338</v>
      </c>
      <c r="GJ19" s="37">
        <v>223.24257599820001</v>
      </c>
      <c r="GK19" s="37">
        <v>225.25822606260002</v>
      </c>
      <c r="GL19" s="37">
        <v>231.2112758694</v>
      </c>
      <c r="GM19" s="37">
        <v>233.2269259338</v>
      </c>
      <c r="GN19" s="37">
        <v>235.24257599820001</v>
      </c>
      <c r="GO19" s="37">
        <v>237.25822606260002</v>
      </c>
      <c r="GP19" s="37">
        <v>239.27387612699999</v>
      </c>
      <c r="GQ19" s="37">
        <v>245.2269259338</v>
      </c>
      <c r="GR19" s="37">
        <v>247.24257599820001</v>
      </c>
      <c r="GS19" s="37">
        <v>249.25822606260002</v>
      </c>
      <c r="GT19" s="37">
        <v>251.27387612699999</v>
      </c>
      <c r="GU19" s="37">
        <v>253.2895261914</v>
      </c>
      <c r="GV19" s="37">
        <v>259.24257599819998</v>
      </c>
      <c r="GW19" s="37">
        <v>261.25822606259999</v>
      </c>
      <c r="GX19" s="37">
        <v>263.27387612699999</v>
      </c>
      <c r="GY19" s="37">
        <v>265.2895261914</v>
      </c>
      <c r="GZ19" s="37">
        <v>267.30517625580001</v>
      </c>
      <c r="HA19" s="37">
        <v>273.25822606259999</v>
      </c>
      <c r="HB19" s="37">
        <v>117.61470249999999</v>
      </c>
      <c r="HC19" s="37">
        <v>11.761470249999999</v>
      </c>
      <c r="HD19" s="37">
        <v>11.761470249999999</v>
      </c>
      <c r="HE19" s="37">
        <v>17.642205374999996</v>
      </c>
      <c r="HF19" s="37">
        <v>26.463308062499994</v>
      </c>
      <c r="HG19" s="37">
        <v>58.807351249999996</v>
      </c>
      <c r="HH19" s="37">
        <v>7.3509189062499996</v>
      </c>
      <c r="HI19" s="37">
        <v>0.91886486328124994</v>
      </c>
      <c r="HJ19" s="37">
        <v>0.45943243164062497</v>
      </c>
      <c r="HK19" s="37">
        <v>3.1457280000000019</v>
      </c>
      <c r="HL19" s="37">
        <v>2</v>
      </c>
      <c r="HM19" s="37">
        <v>0</v>
      </c>
      <c r="HN19" s="37">
        <v>12.288000000000006</v>
      </c>
      <c r="HO19" s="37">
        <v>6.8266666666666698</v>
      </c>
      <c r="HP19" s="37">
        <v>4.7786666666666688</v>
      </c>
      <c r="HQ19" s="37">
        <v>1.5928888888888897</v>
      </c>
      <c r="HR19" s="37">
        <v>26.244000000000007</v>
      </c>
      <c r="HS19" s="37">
        <v>26.244000000000007</v>
      </c>
      <c r="HT19" s="37">
        <v>13.122000000000003</v>
      </c>
      <c r="HU19" s="37">
        <v>26.244000000000007</v>
      </c>
      <c r="HV19" s="37">
        <v>5.248800000000001</v>
      </c>
      <c r="HW19" s="37">
        <v>14.336000000000006</v>
      </c>
      <c r="HX19" s="37">
        <v>7.9644444444444478</v>
      </c>
      <c r="HY19" s="37">
        <v>5.5751111111111129</v>
      </c>
      <c r="HZ19" s="37">
        <v>1.8583703703703709</v>
      </c>
      <c r="IA19" s="37">
        <v>26.244000000000007</v>
      </c>
      <c r="IB19" s="37">
        <v>26.244000000000007</v>
      </c>
      <c r="IC19" s="37">
        <v>13.122000000000003</v>
      </c>
      <c r="ID19" s="37">
        <v>26.244000000000007</v>
      </c>
      <c r="IE19" s="37">
        <v>5.248800000000001</v>
      </c>
      <c r="IF19" s="37">
        <v>15</v>
      </c>
      <c r="IG19" s="37">
        <v>3.75</v>
      </c>
      <c r="IH19" s="37">
        <v>25.919999999999998</v>
      </c>
      <c r="II19" s="37">
        <v>12.959999999999999</v>
      </c>
      <c r="IJ19" s="37">
        <v>38.400000000000006</v>
      </c>
      <c r="IK19" s="37">
        <v>21.333333333333336</v>
      </c>
      <c r="IL19" s="37">
        <v>14.933333333333334</v>
      </c>
      <c r="IM19" s="37">
        <v>4.9777777777777779</v>
      </c>
      <c r="IN19" s="37">
        <v>32.400000000000006</v>
      </c>
      <c r="IO19" s="37">
        <v>32.400000000000006</v>
      </c>
      <c r="IP19" s="37">
        <v>16.200000000000003</v>
      </c>
      <c r="IQ19" s="37">
        <v>32.400000000000006</v>
      </c>
      <c r="IR19" s="37">
        <v>6.4800000000000013</v>
      </c>
      <c r="IS19" s="37">
        <v>44.800000000000011</v>
      </c>
      <c r="IT19" s="37">
        <v>24.888888888888893</v>
      </c>
      <c r="IU19" s="37">
        <v>17.422222222222224</v>
      </c>
      <c r="IV19" s="37">
        <v>5.8074074074074078</v>
      </c>
      <c r="IW19" s="37">
        <v>32.400000000000006</v>
      </c>
      <c r="IX19" s="37">
        <v>32.400000000000006</v>
      </c>
      <c r="IY19" s="37">
        <v>16.200000000000003</v>
      </c>
      <c r="IZ19" s="37">
        <v>32.400000000000006</v>
      </c>
      <c r="JA19" s="37">
        <v>6.4800000000000013</v>
      </c>
      <c r="JB19" s="37">
        <v>15</v>
      </c>
      <c r="JC19" s="37">
        <v>3.75</v>
      </c>
      <c r="JD19" s="37">
        <v>22.394879999999997</v>
      </c>
      <c r="JE19" s="37">
        <v>11.197439999999999</v>
      </c>
      <c r="JF19" s="37">
        <v>0</v>
      </c>
      <c r="JG19" s="37">
        <v>60</v>
      </c>
      <c r="JH19" s="37">
        <v>30</v>
      </c>
      <c r="JI19" s="37">
        <v>30</v>
      </c>
      <c r="JJ19" s="37">
        <v>40</v>
      </c>
      <c r="JK19" s="37">
        <v>0.98876953125</v>
      </c>
      <c r="JL19" s="37">
        <v>2.1075056052866707</v>
      </c>
      <c r="JM19" s="37">
        <v>3.0174851417541504</v>
      </c>
      <c r="JN19" s="37">
        <v>2.9708693673190716</v>
      </c>
      <c r="JO19" s="37">
        <v>2.2525405883789063</v>
      </c>
      <c r="JP19" s="37">
        <v>7.5084686279296875</v>
      </c>
      <c r="JQ19" s="37">
        <v>3.4767591328242213</v>
      </c>
      <c r="JR19" s="37">
        <v>5.6800657510757446</v>
      </c>
      <c r="JS19" s="37">
        <v>25.633343316745989</v>
      </c>
      <c r="JT19" s="37">
        <v>2.1443382390127956</v>
      </c>
      <c r="JU19" s="37">
        <v>12.65625</v>
      </c>
      <c r="JV19" s="37">
        <v>31.640625</v>
      </c>
      <c r="JW19" s="37">
        <v>1.3075848379102815</v>
      </c>
      <c r="JX19" s="37">
        <v>9.8997739706053487</v>
      </c>
      <c r="JY19" s="37">
        <v>25.633343316745989</v>
      </c>
      <c r="JZ19" s="37">
        <v>1.4856622667273556</v>
      </c>
      <c r="KA19" s="37">
        <v>7.6747706971322343</v>
      </c>
      <c r="KB19" s="37">
        <v>20.608180575632847</v>
      </c>
      <c r="KC19" s="37">
        <v>1.6792153441561728</v>
      </c>
      <c r="KD19" s="37">
        <v>5.4268824039940089</v>
      </c>
      <c r="KE19" s="37">
        <v>5.8929464605472841</v>
      </c>
      <c r="KF19" s="37">
        <v>16.432254553449162</v>
      </c>
      <c r="KG19" s="37">
        <v>1.8888888888888888</v>
      </c>
      <c r="KH19" s="37">
        <v>4.1669424034222482</v>
      </c>
      <c r="KI19" s="37">
        <v>4.4781549876159294</v>
      </c>
      <c r="KJ19" s="37">
        <v>12.986649464086197</v>
      </c>
      <c r="KK19" s="37">
        <v>1.6792153441561728</v>
      </c>
      <c r="KL19" s="37">
        <v>3.1665337589475833</v>
      </c>
      <c r="KM19" s="37">
        <v>3.3650982720214704</v>
      </c>
      <c r="KN19" s="37">
        <v>10.165401030064857</v>
      </c>
      <c r="KO19" s="37">
        <v>1.4856622667273556</v>
      </c>
      <c r="KP19" s="37">
        <v>2.3794838075055149</v>
      </c>
      <c r="KQ19" s="37">
        <v>2.4981235396517394</v>
      </c>
      <c r="KR19" s="37">
        <v>7.8745198532500478</v>
      </c>
      <c r="KS19" s="37">
        <v>1.3075848379102815</v>
      </c>
      <c r="KT19" s="37">
        <v>1.7664400951294859</v>
      </c>
      <c r="KU19" s="37">
        <v>1.8301126602008719</v>
      </c>
      <c r="KV19" s="37">
        <v>6.031053084752874</v>
      </c>
      <c r="KW19" s="37">
        <v>1.1443382390127954</v>
      </c>
      <c r="KX19" s="37">
        <v>1.2940850723633883</v>
      </c>
      <c r="KY19" s="37">
        <v>1.321460307233514</v>
      </c>
      <c r="KZ19" s="37">
        <v>4.5621843940204645</v>
      </c>
      <c r="LA19" s="37">
        <v>0.99527765134274004</v>
      </c>
      <c r="LB19" s="37">
        <v>0.93441354431367618</v>
      </c>
      <c r="LC19" s="37">
        <v>0.93913716885887322</v>
      </c>
      <c r="LD19" s="37">
        <v>3.4043722371134146</v>
      </c>
      <c r="LE19" s="37">
        <v>0.8597582562079602</v>
      </c>
      <c r="LF19" s="37">
        <v>0.66407026056444496</v>
      </c>
      <c r="LG19" s="37">
        <v>0.6558345111620445</v>
      </c>
      <c r="LH19" s="37">
        <v>2.5025264241709593</v>
      </c>
      <c r="LI19" s="37">
        <v>0.73713523491630029</v>
      </c>
      <c r="LJ19" s="37">
        <v>0.46374503017884611</v>
      </c>
      <c r="LK19" s="37">
        <v>0.4491863965399755</v>
      </c>
      <c r="LL19" s="37">
        <v>1.8092229860637898</v>
      </c>
      <c r="LM19" s="37">
        <v>0.62676376877560303</v>
      </c>
      <c r="LN19" s="37">
        <v>0.31762274701016618</v>
      </c>
      <c r="LO19" s="37">
        <v>0.3010658590894742</v>
      </c>
      <c r="LP19" s="37">
        <v>1.283957340234521</v>
      </c>
      <c r="LQ19" s="37">
        <v>0.52799903909371371</v>
      </c>
      <c r="LR19" s="37">
        <v>0.21288571054592076</v>
      </c>
      <c r="LS19" s="37">
        <v>0.1953125</v>
      </c>
      <c r="LT19" s="37">
        <v>1.3453686845698682</v>
      </c>
      <c r="LU19" s="37">
        <v>0.59604644775390625</v>
      </c>
      <c r="LV19" s="37">
        <v>1.5495129722348657</v>
      </c>
      <c r="LW19" s="37">
        <v>0.4449462890625</v>
      </c>
      <c r="LX19" s="37">
        <v>1.483154296875</v>
      </c>
      <c r="LY19" s="37">
        <v>1.6782999544833865</v>
      </c>
      <c r="LZ19" s="37">
        <v>1.1219882965087891</v>
      </c>
      <c r="MA19" s="37">
        <v>5.0633764576288378</v>
      </c>
      <c r="MB19" s="37">
        <v>1.4119617660446062</v>
      </c>
      <c r="MC19" s="37">
        <v>2.5</v>
      </c>
      <c r="MD19" s="37">
        <v>6.25</v>
      </c>
      <c r="ME19" s="37">
        <v>0.47073054164770134</v>
      </c>
      <c r="MF19" s="37">
        <v>1.9555109077738959</v>
      </c>
      <c r="MG19" s="37">
        <v>5.0633764576288378</v>
      </c>
      <c r="MH19" s="37">
        <v>0.53483841602184801</v>
      </c>
      <c r="MI19" s="37">
        <v>1.5160040883224166</v>
      </c>
      <c r="MJ19" s="37">
        <v>4.0707517186435256</v>
      </c>
      <c r="MK19" s="37">
        <v>0.60451752389622226</v>
      </c>
      <c r="ML19" s="37">
        <v>1.0719767711593104</v>
      </c>
      <c r="MM19" s="37">
        <v>1.1640388070216858</v>
      </c>
      <c r="MN19" s="37">
        <v>3.2458774426566244</v>
      </c>
      <c r="MO19" s="37">
        <v>0.68</v>
      </c>
      <c r="MP19" s="37">
        <v>0.82309973400933301</v>
      </c>
      <c r="MQ19" s="37">
        <v>0.88457382471425772</v>
      </c>
      <c r="MR19" s="37">
        <v>2.5652640916713478</v>
      </c>
      <c r="MS19" s="37">
        <v>0.60451752389622226</v>
      </c>
      <c r="MT19" s="37">
        <v>0.625488149915572</v>
      </c>
      <c r="MU19" s="37">
        <v>0.66471076978201882</v>
      </c>
      <c r="MV19" s="37">
        <v>2.0079804503831817</v>
      </c>
      <c r="MW19" s="37">
        <v>0.53483841602184801</v>
      </c>
      <c r="MX19" s="37">
        <v>0.47002149284059552</v>
      </c>
      <c r="MY19" s="37">
        <v>0.49345650165960286</v>
      </c>
      <c r="MZ19" s="37">
        <v>1.5554607117530959</v>
      </c>
      <c r="NA19" s="37">
        <v>0.47073054164770134</v>
      </c>
      <c r="NB19" s="37">
        <v>0.348926438544096</v>
      </c>
      <c r="NC19" s="37">
        <v>0.36150373534832037</v>
      </c>
      <c r="ND19" s="37">
        <v>1.1913191278524196</v>
      </c>
      <c r="NE19" s="37">
        <v>0.41196176604460633</v>
      </c>
      <c r="NF19" s="37">
        <v>0.25562174268906435</v>
      </c>
      <c r="NG19" s="37">
        <v>0.84238983386168942</v>
      </c>
      <c r="NH19" s="37">
        <v>0.26102919649057066</v>
      </c>
      <c r="NI19" s="37">
        <v>0.90117222597935098</v>
      </c>
      <c r="NJ19" s="37">
        <v>0.35829995448338642</v>
      </c>
      <c r="NK19" s="37">
        <v>0.18457551492615826</v>
      </c>
      <c r="NL19" s="37">
        <v>0.6372249920069748</v>
      </c>
      <c r="NM19" s="37">
        <v>0.1855085765647157</v>
      </c>
      <c r="NN19" s="37">
        <v>0.67246859004709425</v>
      </c>
      <c r="NO19" s="37">
        <v>0.30951297223486568</v>
      </c>
      <c r="NP19" s="37">
        <v>0.13117437245717431</v>
      </c>
      <c r="NQ19" s="37">
        <v>0.47550710015725678</v>
      </c>
      <c r="NR19" s="37">
        <v>0.12954755776040386</v>
      </c>
      <c r="NS19" s="37">
        <v>0.49432620724364623</v>
      </c>
      <c r="NT19" s="37">
        <v>0.26536868456986812</v>
      </c>
      <c r="NU19" s="37">
        <v>9.160395657853751E-2</v>
      </c>
      <c r="NV19" s="37">
        <v>0.34954141326020888</v>
      </c>
      <c r="NW19" s="37">
        <v>8.8728177094316144E-2</v>
      </c>
      <c r="NX19" s="37">
        <v>0.35737737996321772</v>
      </c>
      <c r="NY19" s="37">
        <v>0.22563495675921708</v>
      </c>
      <c r="NZ19" s="37">
        <v>6.2740295705711838E-2</v>
      </c>
    </row>
    <row r="20" spans="1:390" s="4" customFormat="1" ht="14.25" x14ac:dyDescent="0.2">
      <c r="A20" s="4">
        <v>14</v>
      </c>
      <c r="B20" s="16" t="s">
        <v>668</v>
      </c>
      <c r="C20" s="16" t="s">
        <v>228</v>
      </c>
      <c r="D20" s="16" t="s">
        <v>123</v>
      </c>
      <c r="E20" s="16" t="s">
        <v>228</v>
      </c>
      <c r="F20" s="31" t="s">
        <v>229</v>
      </c>
      <c r="G20" s="31" t="s">
        <v>230</v>
      </c>
      <c r="H20" s="32">
        <v>-1</v>
      </c>
      <c r="I20" s="33">
        <v>29.3</v>
      </c>
      <c r="J20" s="34">
        <v>20.612100000000002</v>
      </c>
      <c r="K20" s="32" t="s">
        <v>231</v>
      </c>
      <c r="L20" s="16">
        <v>0</v>
      </c>
      <c r="M20" s="16">
        <v>2</v>
      </c>
      <c r="N20" s="16" t="s">
        <v>228</v>
      </c>
      <c r="O20" s="16">
        <v>0</v>
      </c>
      <c r="P20" s="16">
        <v>0</v>
      </c>
      <c r="Q20" s="16">
        <v>3</v>
      </c>
      <c r="R20" s="16">
        <v>4</v>
      </c>
      <c r="S20" s="16">
        <v>0</v>
      </c>
      <c r="T20" s="16">
        <v>40</v>
      </c>
      <c r="U20" s="16">
        <v>0</v>
      </c>
      <c r="V20" s="16">
        <v>40</v>
      </c>
      <c r="W20" s="16">
        <v>0</v>
      </c>
      <c r="X20" s="16" t="s">
        <v>228</v>
      </c>
      <c r="Y20" s="35">
        <v>888.63306622519997</v>
      </c>
      <c r="Z20" s="35">
        <v>870.62250622519991</v>
      </c>
      <c r="AA20" s="35">
        <v>888.63306622519997</v>
      </c>
      <c r="AB20" s="35">
        <v>870.62250622519991</v>
      </c>
      <c r="AC20" s="35">
        <v>1450.2664912251998</v>
      </c>
      <c r="AD20" s="35">
        <v>1432.2559265411999</v>
      </c>
      <c r="AE20" s="35">
        <v>1414.2453618571999</v>
      </c>
      <c r="AF20" s="35">
        <v>1396.2347971731999</v>
      </c>
      <c r="AG20" s="35">
        <v>1378.2242324891999</v>
      </c>
      <c r="AH20" s="35">
        <v>1288.2136678051997</v>
      </c>
      <c r="AI20" s="35">
        <v>1270.2031031211998</v>
      </c>
      <c r="AJ20" s="35">
        <v>1252.1925384371998</v>
      </c>
      <c r="AK20" s="35">
        <v>1234.1819737531998</v>
      </c>
      <c r="AL20" s="35">
        <v>1214.1768883727998</v>
      </c>
      <c r="AM20" s="35">
        <v>1196.1663236887998</v>
      </c>
      <c r="AN20" s="35">
        <v>1104.1189795723999</v>
      </c>
      <c r="AO20" s="35">
        <v>897.70308884239989</v>
      </c>
      <c r="AP20" s="35">
        <v>879.69252415839992</v>
      </c>
      <c r="AQ20" s="35">
        <v>861.68195947439995</v>
      </c>
      <c r="AR20" s="35">
        <v>843.67139479039997</v>
      </c>
      <c r="AS20" s="35">
        <v>823.66630940999994</v>
      </c>
      <c r="AT20" s="35">
        <v>805.65574472599997</v>
      </c>
      <c r="AU20" s="35">
        <v>787.64518004199999</v>
      </c>
      <c r="AV20" s="35">
        <v>769.63461535800002</v>
      </c>
      <c r="AW20" s="35">
        <v>751.62405067400005</v>
      </c>
      <c r="AX20" s="35">
        <v>735.6502654223998</v>
      </c>
      <c r="AY20" s="35">
        <v>717.63970073839982</v>
      </c>
      <c r="AZ20" s="35">
        <v>699.62913605439985</v>
      </c>
      <c r="BA20" s="35">
        <v>681.61857137039988</v>
      </c>
      <c r="BB20" s="35">
        <v>661.61348598999984</v>
      </c>
      <c r="BC20" s="35">
        <v>643.60292130599987</v>
      </c>
      <c r="BD20" s="35">
        <v>625.5923566219999</v>
      </c>
      <c r="BE20" s="35">
        <v>607.58179193799992</v>
      </c>
      <c r="BF20" s="35">
        <v>589.57122725399995</v>
      </c>
      <c r="BG20" s="35">
        <v>605.58727124159986</v>
      </c>
      <c r="BH20" s="35">
        <v>587.57670655759989</v>
      </c>
      <c r="BI20" s="35">
        <v>551.55557738280004</v>
      </c>
      <c r="BJ20" s="35">
        <v>569.56614206680001</v>
      </c>
      <c r="BK20" s="35">
        <v>899.7187389067999</v>
      </c>
      <c r="BL20" s="35">
        <v>881.70817422279993</v>
      </c>
      <c r="BM20" s="35">
        <v>863.69760953879995</v>
      </c>
      <c r="BN20" s="35">
        <v>845.68704485479998</v>
      </c>
      <c r="BO20" s="35">
        <v>825.68195947439995</v>
      </c>
      <c r="BP20" s="35">
        <v>807.67139479039997</v>
      </c>
      <c r="BQ20" s="35">
        <v>789.6608301064</v>
      </c>
      <c r="BR20" s="35">
        <v>771.65026542240003</v>
      </c>
      <c r="BS20" s="35">
        <v>753.63970073840005</v>
      </c>
      <c r="BT20" s="35">
        <v>737.6659154867998</v>
      </c>
      <c r="BU20" s="35">
        <v>719.65535080279983</v>
      </c>
      <c r="BV20" s="35">
        <v>701.64478611879986</v>
      </c>
      <c r="BW20" s="35">
        <v>683.63422143479988</v>
      </c>
      <c r="BX20" s="35">
        <v>663.62913605439985</v>
      </c>
      <c r="BY20" s="35">
        <v>645.61857137039988</v>
      </c>
      <c r="BZ20" s="35">
        <v>627.6080066863999</v>
      </c>
      <c r="CA20" s="35">
        <v>609.59744200239993</v>
      </c>
      <c r="CB20" s="35">
        <v>591.58687731839996</v>
      </c>
      <c r="CC20" s="35">
        <v>607.60292130599987</v>
      </c>
      <c r="CD20" s="35">
        <v>589.5923566219999</v>
      </c>
      <c r="CE20" s="35">
        <v>549.53992731840003</v>
      </c>
      <c r="CF20" s="35">
        <v>567.55049200240001</v>
      </c>
      <c r="CG20" s="35">
        <v>163.06064842000001</v>
      </c>
      <c r="CH20" s="35">
        <v>255.10799253639999</v>
      </c>
      <c r="CI20" s="35">
        <v>237.09742785239999</v>
      </c>
      <c r="CJ20" s="35">
        <v>219.08686316839999</v>
      </c>
      <c r="CK20" s="35">
        <v>201.07629848439998</v>
      </c>
      <c r="CL20" s="35">
        <v>55.0547752254</v>
      </c>
      <c r="CM20" s="35">
        <v>57.070425289800006</v>
      </c>
      <c r="CN20" s="35">
        <v>69.070425289799999</v>
      </c>
      <c r="CO20" s="35">
        <v>71.086075354200005</v>
      </c>
      <c r="CP20" s="35">
        <v>81.070425289799999</v>
      </c>
      <c r="CQ20" s="35">
        <v>83.086075354200005</v>
      </c>
      <c r="CR20" s="35">
        <v>85.101725418599997</v>
      </c>
      <c r="CS20" s="35">
        <v>95.086075354200005</v>
      </c>
      <c r="CT20" s="35">
        <v>97.101725418599997</v>
      </c>
      <c r="CU20" s="35">
        <v>99.117375483000004</v>
      </c>
      <c r="CV20" s="35">
        <v>109.1017254186</v>
      </c>
      <c r="CW20" s="35">
        <v>111.117375483</v>
      </c>
      <c r="CX20" s="35">
        <v>113.13302554740001</v>
      </c>
      <c r="CY20" s="35">
        <v>123.117375483</v>
      </c>
      <c r="CZ20" s="35">
        <v>125.13302554740001</v>
      </c>
      <c r="DA20" s="35">
        <v>127.1486756118</v>
      </c>
      <c r="DB20" s="35">
        <v>137.1330255474</v>
      </c>
      <c r="DC20" s="35">
        <v>139.1486756118</v>
      </c>
      <c r="DD20" s="35">
        <v>141.16432567620001</v>
      </c>
      <c r="DE20" s="35">
        <v>149.1330255474</v>
      </c>
      <c r="DF20" s="35">
        <v>151.1486756118</v>
      </c>
      <c r="DG20" s="35">
        <v>153.16432567620001</v>
      </c>
      <c r="DH20" s="35">
        <v>155.17997574060001</v>
      </c>
      <c r="DI20" s="35">
        <v>163.1486756118</v>
      </c>
      <c r="DJ20" s="35">
        <v>165.16432567620001</v>
      </c>
      <c r="DK20" s="35">
        <v>167.17997574060001</v>
      </c>
      <c r="DL20" s="35">
        <v>169.19562580499999</v>
      </c>
      <c r="DM20" s="35">
        <v>177.16432567620001</v>
      </c>
      <c r="DN20" s="35">
        <v>179.17997574060001</v>
      </c>
      <c r="DO20" s="35">
        <v>181.19562580499999</v>
      </c>
      <c r="DP20" s="35">
        <v>183.2112758694</v>
      </c>
      <c r="DQ20" s="35">
        <v>191.17997574060001</v>
      </c>
      <c r="DR20" s="35">
        <v>193.19562580499999</v>
      </c>
      <c r="DS20" s="35">
        <v>195.2112758694</v>
      </c>
      <c r="DT20" s="35">
        <v>197.2269259338</v>
      </c>
      <c r="DU20" s="35">
        <v>205.19562580499999</v>
      </c>
      <c r="DV20" s="35">
        <v>207.2112758694</v>
      </c>
      <c r="DW20" s="35">
        <v>209.2269259338</v>
      </c>
      <c r="DX20" s="35">
        <v>211.24257599820001</v>
      </c>
      <c r="DY20" s="35">
        <v>217.19562580499999</v>
      </c>
      <c r="DZ20" s="35">
        <v>219.2112758694</v>
      </c>
      <c r="EA20" s="35">
        <v>221.2269259338</v>
      </c>
      <c r="EB20" s="35">
        <v>223.24257599820001</v>
      </c>
      <c r="EC20" s="35">
        <v>225.25822606260002</v>
      </c>
      <c r="ED20" s="35">
        <v>231.2112758694</v>
      </c>
      <c r="EE20" s="35">
        <v>233.2269259338</v>
      </c>
      <c r="EF20" s="35">
        <v>235.24257599820001</v>
      </c>
      <c r="EG20" s="35">
        <v>237.25822606260002</v>
      </c>
      <c r="EH20" s="35">
        <v>239.27387612699999</v>
      </c>
      <c r="EI20" s="35">
        <v>245.2269259338</v>
      </c>
      <c r="EJ20" s="35">
        <v>247.24257599820001</v>
      </c>
      <c r="EK20" s="35">
        <v>249.25822606260002</v>
      </c>
      <c r="EL20" s="35">
        <v>251.27387612699999</v>
      </c>
      <c r="EM20" s="35">
        <v>253.2895261914</v>
      </c>
      <c r="EN20" s="35">
        <v>259.24257599819998</v>
      </c>
      <c r="EO20" s="35">
        <v>261.25822606259999</v>
      </c>
      <c r="EP20" s="35">
        <v>263.27387612699999</v>
      </c>
      <c r="EQ20" s="35">
        <v>265.2895261914</v>
      </c>
      <c r="ER20" s="35">
        <v>267.30517625580001</v>
      </c>
      <c r="ES20" s="35">
        <v>273.25822606259999</v>
      </c>
      <c r="ET20" s="35">
        <v>55.0547752254</v>
      </c>
      <c r="EU20" s="35">
        <v>57.070425289800006</v>
      </c>
      <c r="EV20" s="35">
        <v>69.070425289799999</v>
      </c>
      <c r="EW20" s="35">
        <v>71.086075354200005</v>
      </c>
      <c r="EX20" s="35">
        <v>81.070425289799999</v>
      </c>
      <c r="EY20" s="35">
        <v>83.086075354200005</v>
      </c>
      <c r="EZ20" s="35">
        <v>85.101725418599997</v>
      </c>
      <c r="FA20" s="35">
        <v>95.086075354200005</v>
      </c>
      <c r="FB20" s="35">
        <v>97.101725418599997</v>
      </c>
      <c r="FC20" s="35">
        <v>99.117375483000004</v>
      </c>
      <c r="FD20" s="35">
        <v>109.1017254186</v>
      </c>
      <c r="FE20" s="35">
        <v>111.117375483</v>
      </c>
      <c r="FF20" s="35">
        <v>113.13302554740001</v>
      </c>
      <c r="FG20" s="35">
        <v>123.117375483</v>
      </c>
      <c r="FH20" s="35">
        <v>125.13302554740001</v>
      </c>
      <c r="FI20" s="35">
        <v>127.1486756118</v>
      </c>
      <c r="FJ20" s="35">
        <v>137.1330255474</v>
      </c>
      <c r="FK20" s="35">
        <v>139.1486756118</v>
      </c>
      <c r="FL20" s="35">
        <v>141.16432567620001</v>
      </c>
      <c r="FM20" s="35">
        <v>149.1330255474</v>
      </c>
      <c r="FN20" s="35">
        <v>151.1486756118</v>
      </c>
      <c r="FO20" s="35">
        <v>153.16432567620001</v>
      </c>
      <c r="FP20" s="35">
        <v>155.17997574060001</v>
      </c>
      <c r="FQ20" s="35">
        <v>163.1486756118</v>
      </c>
      <c r="FR20" s="35">
        <v>165.16432567620001</v>
      </c>
      <c r="FS20" s="35">
        <v>167.17997574060001</v>
      </c>
      <c r="FT20" s="35">
        <v>169.19562580499999</v>
      </c>
      <c r="FU20" s="35">
        <v>177.16432567620001</v>
      </c>
      <c r="FV20" s="35">
        <v>179.17997574060001</v>
      </c>
      <c r="FW20" s="35">
        <v>181.19562580499999</v>
      </c>
      <c r="FX20" s="35">
        <v>183.2112758694</v>
      </c>
      <c r="FY20" s="35">
        <v>191.17997574060001</v>
      </c>
      <c r="FZ20" s="35">
        <v>193.19562580499999</v>
      </c>
      <c r="GA20" s="35">
        <v>195.2112758694</v>
      </c>
      <c r="GB20" s="35">
        <v>197.2269259338</v>
      </c>
      <c r="GC20" s="35">
        <v>205.19562580499999</v>
      </c>
      <c r="GD20" s="35">
        <v>207.2112758694</v>
      </c>
      <c r="GE20" s="35">
        <v>209.2269259338</v>
      </c>
      <c r="GF20" s="35">
        <v>211.24257599820001</v>
      </c>
      <c r="GG20" s="35">
        <v>217.19562580499999</v>
      </c>
      <c r="GH20" s="35">
        <v>219.2112758694</v>
      </c>
      <c r="GI20" s="35">
        <v>221.2269259338</v>
      </c>
      <c r="GJ20" s="35">
        <v>223.24257599820001</v>
      </c>
      <c r="GK20" s="35">
        <v>225.25822606260002</v>
      </c>
      <c r="GL20" s="35">
        <v>231.2112758694</v>
      </c>
      <c r="GM20" s="35">
        <v>233.2269259338</v>
      </c>
      <c r="GN20" s="35">
        <v>235.24257599820001</v>
      </c>
      <c r="GO20" s="35">
        <v>237.25822606260002</v>
      </c>
      <c r="GP20" s="35">
        <v>239.27387612699999</v>
      </c>
      <c r="GQ20" s="35">
        <v>245.2269259338</v>
      </c>
      <c r="GR20" s="35">
        <v>247.24257599820001</v>
      </c>
      <c r="GS20" s="35">
        <v>249.25822606260002</v>
      </c>
      <c r="GT20" s="35">
        <v>251.27387612699999</v>
      </c>
      <c r="GU20" s="35">
        <v>253.2895261914</v>
      </c>
      <c r="GV20" s="35">
        <v>259.24257599819998</v>
      </c>
      <c r="GW20" s="35">
        <v>261.25822606259999</v>
      </c>
      <c r="GX20" s="35">
        <v>263.27387612699999</v>
      </c>
      <c r="GY20" s="35">
        <v>265.2895261914</v>
      </c>
      <c r="GZ20" s="35">
        <v>267.30517625580001</v>
      </c>
      <c r="HA20" s="35">
        <v>273.25822606259999</v>
      </c>
      <c r="HB20" s="35">
        <v>111.73396737499999</v>
      </c>
      <c r="HC20" s="35">
        <v>11.173396737499999</v>
      </c>
      <c r="HD20" s="35">
        <v>11.173396737499999</v>
      </c>
      <c r="HE20" s="35">
        <v>16.760095106249999</v>
      </c>
      <c r="HF20" s="35">
        <v>25.140142659374998</v>
      </c>
      <c r="HG20" s="35">
        <v>55.866983687499996</v>
      </c>
      <c r="HH20" s="35">
        <v>6.9833729609374995</v>
      </c>
      <c r="HI20" s="35">
        <v>0.87292162011718744</v>
      </c>
      <c r="HJ20" s="35">
        <v>0.43646081005859372</v>
      </c>
      <c r="HK20" s="36">
        <v>2.5165824000000017</v>
      </c>
      <c r="HL20" s="36">
        <v>2</v>
      </c>
      <c r="HM20" s="35">
        <v>0</v>
      </c>
      <c r="HN20" s="35">
        <v>12.288000000000006</v>
      </c>
      <c r="HO20" s="35">
        <v>6.8266666666666698</v>
      </c>
      <c r="HP20" s="35">
        <v>4.7786666666666688</v>
      </c>
      <c r="HQ20" s="35">
        <v>1.5928888888888897</v>
      </c>
      <c r="HR20" s="35">
        <v>26.244000000000007</v>
      </c>
      <c r="HS20" s="35">
        <v>26.244000000000007</v>
      </c>
      <c r="HT20" s="35">
        <v>13.122000000000003</v>
      </c>
      <c r="HU20" s="35">
        <v>26.244000000000007</v>
      </c>
      <c r="HV20" s="35">
        <v>5.248800000000001</v>
      </c>
      <c r="HW20" s="35">
        <v>14.336000000000006</v>
      </c>
      <c r="HX20" s="35">
        <v>7.9644444444444478</v>
      </c>
      <c r="HY20" s="35">
        <v>5.5751111111111129</v>
      </c>
      <c r="HZ20" s="35">
        <v>1.8583703703703709</v>
      </c>
      <c r="IA20" s="35">
        <v>26.244000000000007</v>
      </c>
      <c r="IB20" s="35">
        <v>26.244000000000007</v>
      </c>
      <c r="IC20" s="35">
        <v>13.122000000000003</v>
      </c>
      <c r="ID20" s="35">
        <v>26.244000000000007</v>
      </c>
      <c r="IE20" s="35">
        <v>5.248800000000001</v>
      </c>
      <c r="IF20" s="35">
        <v>15</v>
      </c>
      <c r="IG20" s="35">
        <v>3.75</v>
      </c>
      <c r="IH20" s="35">
        <v>31.103999999999999</v>
      </c>
      <c r="II20" s="35">
        <v>15.552</v>
      </c>
      <c r="IJ20" s="35">
        <v>30.720000000000006</v>
      </c>
      <c r="IK20" s="35">
        <v>17.06666666666667</v>
      </c>
      <c r="IL20" s="35">
        <v>11.946666666666669</v>
      </c>
      <c r="IM20" s="35">
        <v>3.982222222222223</v>
      </c>
      <c r="IN20" s="35">
        <v>29.160000000000004</v>
      </c>
      <c r="IO20" s="35">
        <v>29.160000000000004</v>
      </c>
      <c r="IP20" s="35">
        <v>14.580000000000002</v>
      </c>
      <c r="IQ20" s="35">
        <v>29.160000000000004</v>
      </c>
      <c r="IR20" s="35">
        <v>5.8320000000000007</v>
      </c>
      <c r="IS20" s="35">
        <v>35.840000000000011</v>
      </c>
      <c r="IT20" s="35">
        <v>19.911111111111115</v>
      </c>
      <c r="IU20" s="35">
        <v>13.93777777777778</v>
      </c>
      <c r="IV20" s="35">
        <v>4.6459259259259271</v>
      </c>
      <c r="IW20" s="35">
        <v>29.160000000000004</v>
      </c>
      <c r="IX20" s="35">
        <v>29.160000000000004</v>
      </c>
      <c r="IY20" s="35">
        <v>14.580000000000002</v>
      </c>
      <c r="IZ20" s="35">
        <v>29.160000000000004</v>
      </c>
      <c r="JA20" s="35">
        <v>5.8320000000000007</v>
      </c>
      <c r="JB20" s="35">
        <v>15</v>
      </c>
      <c r="JC20" s="35">
        <v>3.75</v>
      </c>
      <c r="JD20" s="35">
        <v>29.859839999999998</v>
      </c>
      <c r="JE20" s="35">
        <v>14.929919999999999</v>
      </c>
      <c r="JF20" s="35">
        <v>0</v>
      </c>
      <c r="JG20" s="35">
        <v>60</v>
      </c>
      <c r="JH20" s="35">
        <v>30</v>
      </c>
      <c r="JI20" s="35">
        <v>30</v>
      </c>
      <c r="JJ20" s="35">
        <v>40</v>
      </c>
      <c r="JK20" s="35">
        <v>0.476837158203125</v>
      </c>
      <c r="JL20" s="35">
        <v>1.5708885696404189</v>
      </c>
      <c r="JM20" s="35">
        <v>1.4551915228366852</v>
      </c>
      <c r="JN20" s="35">
        <v>1.9523640191169775</v>
      </c>
      <c r="JO20" s="35">
        <v>1.0862946510314941</v>
      </c>
      <c r="JP20" s="35">
        <v>3.6209821701049805</v>
      </c>
      <c r="JQ20" s="35">
        <v>2.1848436788802914</v>
      </c>
      <c r="JR20" s="35">
        <v>2.7392292395234108</v>
      </c>
      <c r="JS20" s="35">
        <v>12.361758929757904</v>
      </c>
      <c r="JT20" s="35">
        <v>1.6436902594446974</v>
      </c>
      <c r="JU20" s="35">
        <v>6.103515625</v>
      </c>
      <c r="JV20" s="35">
        <v>15.2587890625</v>
      </c>
      <c r="JW20" s="35">
        <v>0.73551647132453335</v>
      </c>
      <c r="JX20" s="35">
        <v>4.7741965521823628</v>
      </c>
      <c r="JY20" s="35">
        <v>12.361758929757904</v>
      </c>
      <c r="JZ20" s="35">
        <v>0.83568502503413755</v>
      </c>
      <c r="KA20" s="35">
        <v>3.7011818562559</v>
      </c>
      <c r="KB20" s="35">
        <v>9.938358688094544</v>
      </c>
      <c r="KC20" s="35">
        <v>0.94455863108784721</v>
      </c>
      <c r="KD20" s="35">
        <v>2.6171307889631601</v>
      </c>
      <c r="KE20" s="35">
        <v>2.8418916187052878</v>
      </c>
      <c r="KF20" s="35">
        <v>7.9245054752358994</v>
      </c>
      <c r="KG20" s="35">
        <v>1.0625</v>
      </c>
      <c r="KH20" s="35">
        <v>2.0095208349837232</v>
      </c>
      <c r="KI20" s="35">
        <v>2.1596040642437933</v>
      </c>
      <c r="KJ20" s="35">
        <v>6.2628517863070012</v>
      </c>
      <c r="KK20" s="35">
        <v>0.94455863108784721</v>
      </c>
      <c r="KL20" s="35">
        <v>1.5270706785048145</v>
      </c>
      <c r="KM20" s="35">
        <v>1.6228290277881319</v>
      </c>
      <c r="KN20" s="35">
        <v>4.9022960214433144</v>
      </c>
      <c r="KO20" s="35">
        <v>0.83568502503413755</v>
      </c>
      <c r="KP20" s="35">
        <v>1.1475134102553601</v>
      </c>
      <c r="KQ20" s="35">
        <v>1.2047277872548898</v>
      </c>
      <c r="KR20" s="35">
        <v>3.7975115033034568</v>
      </c>
      <c r="KS20" s="35">
        <v>0.73551647132453335</v>
      </c>
      <c r="KT20" s="35">
        <v>0.85187118785179694</v>
      </c>
      <c r="KU20" s="35">
        <v>0.8825774788777353</v>
      </c>
      <c r="KV20" s="35">
        <v>2.908493964483446</v>
      </c>
      <c r="KW20" s="35">
        <v>0.64369025944469738</v>
      </c>
      <c r="KX20" s="35">
        <v>0.62407652023697346</v>
      </c>
      <c r="KY20" s="35">
        <v>2.0566158053263899</v>
      </c>
      <c r="KZ20" s="35">
        <v>0.63727831174455729</v>
      </c>
      <c r="LA20" s="35">
        <v>2.2001275048323996</v>
      </c>
      <c r="LB20" s="35">
        <v>0.5598436788802913</v>
      </c>
      <c r="LC20" s="35">
        <v>0.45062381573769106</v>
      </c>
      <c r="LD20" s="35">
        <v>1.5557250781420282</v>
      </c>
      <c r="LE20" s="35">
        <v>0.45290179825370042</v>
      </c>
      <c r="LF20" s="35">
        <v>1.6417690186696638</v>
      </c>
      <c r="LG20" s="35">
        <v>0.4836140191169776</v>
      </c>
      <c r="LH20" s="35">
        <v>0.32024993275677321</v>
      </c>
      <c r="LI20" s="35">
        <v>1.1609060062433028</v>
      </c>
      <c r="LJ20" s="35">
        <v>0.31627821718848598</v>
      </c>
      <c r="LK20" s="35">
        <v>1.2068510919034332</v>
      </c>
      <c r="LL20" s="35">
        <v>0.4146385696404189</v>
      </c>
      <c r="LM20" s="35">
        <v>0.22364247211557009</v>
      </c>
      <c r="LN20" s="35">
        <v>0.85337259096730689</v>
      </c>
      <c r="LO20" s="35">
        <v>0.21662152610917026</v>
      </c>
      <c r="LP20" s="35">
        <v>0.8725033690508246</v>
      </c>
      <c r="LQ20" s="35">
        <v>0.35255461993627668</v>
      </c>
      <c r="LR20" s="35">
        <v>0.15317455006277303</v>
      </c>
      <c r="LS20" s="35">
        <v>0.1953125</v>
      </c>
      <c r="LT20" s="35">
        <v>1.3453686845698682</v>
      </c>
      <c r="LU20" s="35">
        <v>0.59604644775390625</v>
      </c>
      <c r="LV20" s="35">
        <v>1.5495129722348657</v>
      </c>
      <c r="LW20" s="35">
        <v>0.4449462890625</v>
      </c>
      <c r="LX20" s="35">
        <v>1.483154296875</v>
      </c>
      <c r="LY20" s="35">
        <v>1.6782999544833865</v>
      </c>
      <c r="LZ20" s="35">
        <v>1.1219882965087891</v>
      </c>
      <c r="MA20" s="35">
        <v>5.0633764576288378</v>
      </c>
      <c r="MB20" s="35">
        <v>1.4119617660446062</v>
      </c>
      <c r="MC20" s="35">
        <v>2.5</v>
      </c>
      <c r="MD20" s="35">
        <v>6.25</v>
      </c>
      <c r="ME20" s="35">
        <v>0.47073054164770134</v>
      </c>
      <c r="MF20" s="35">
        <v>1.9555109077738959</v>
      </c>
      <c r="MG20" s="35">
        <v>5.0633764576288378</v>
      </c>
      <c r="MH20" s="35">
        <v>0.53483841602184801</v>
      </c>
      <c r="MI20" s="35">
        <v>1.5160040883224166</v>
      </c>
      <c r="MJ20" s="35">
        <v>4.0707517186435256</v>
      </c>
      <c r="MK20" s="35">
        <v>0.60451752389622226</v>
      </c>
      <c r="ML20" s="35">
        <v>1.0719767711593104</v>
      </c>
      <c r="MM20" s="35">
        <v>1.1640388070216858</v>
      </c>
      <c r="MN20" s="35">
        <v>3.2458774426566244</v>
      </c>
      <c r="MO20" s="35">
        <v>0.68</v>
      </c>
      <c r="MP20" s="35">
        <v>0.82309973400933301</v>
      </c>
      <c r="MQ20" s="35">
        <v>0.88457382471425772</v>
      </c>
      <c r="MR20" s="35">
        <v>2.5652640916713478</v>
      </c>
      <c r="MS20" s="35">
        <v>0.60451752389622226</v>
      </c>
      <c r="MT20" s="35">
        <v>0.625488149915572</v>
      </c>
      <c r="MU20" s="35">
        <v>0.66471076978201882</v>
      </c>
      <c r="MV20" s="35">
        <v>2.0079804503831817</v>
      </c>
      <c r="MW20" s="35">
        <v>0.53483841602184801</v>
      </c>
      <c r="MX20" s="35">
        <v>0.47002149284059552</v>
      </c>
      <c r="MY20" s="35">
        <v>0.49345650165960286</v>
      </c>
      <c r="MZ20" s="35">
        <v>1.5554607117530959</v>
      </c>
      <c r="NA20" s="35">
        <v>0.47073054164770134</v>
      </c>
      <c r="NB20" s="35">
        <v>0.348926438544096</v>
      </c>
      <c r="NC20" s="35">
        <v>0.36150373534832037</v>
      </c>
      <c r="ND20" s="35">
        <v>1.1913191278524196</v>
      </c>
      <c r="NE20" s="35">
        <v>0.41196176604460633</v>
      </c>
      <c r="NF20" s="35">
        <v>0.25562174268906435</v>
      </c>
      <c r="NG20" s="35">
        <v>0.84238983386168942</v>
      </c>
      <c r="NH20" s="35">
        <v>0.26102919649057066</v>
      </c>
      <c r="NI20" s="35">
        <v>0.90117222597935098</v>
      </c>
      <c r="NJ20" s="35">
        <v>0.35829995448338642</v>
      </c>
      <c r="NK20" s="35">
        <v>0.18457551492615826</v>
      </c>
      <c r="NL20" s="35">
        <v>0.6372249920069748</v>
      </c>
      <c r="NM20" s="35">
        <v>0.1855085765647157</v>
      </c>
      <c r="NN20" s="35">
        <v>0.67246859004709425</v>
      </c>
      <c r="NO20" s="35">
        <v>0.30951297223486568</v>
      </c>
      <c r="NP20" s="35">
        <v>0.13117437245717431</v>
      </c>
      <c r="NQ20" s="35">
        <v>0.47550710015725678</v>
      </c>
      <c r="NR20" s="35">
        <v>0.12954755776040386</v>
      </c>
      <c r="NS20" s="35">
        <v>0.49432620724364623</v>
      </c>
      <c r="NT20" s="35">
        <v>0.26536868456986812</v>
      </c>
      <c r="NU20" s="35">
        <v>9.160395657853751E-2</v>
      </c>
      <c r="NV20" s="35">
        <v>0.34954141326020888</v>
      </c>
      <c r="NW20" s="35">
        <v>8.8728177094316144E-2</v>
      </c>
      <c r="NX20" s="35">
        <v>0.35737737996321772</v>
      </c>
      <c r="NY20" s="35">
        <v>0.22563495675921708</v>
      </c>
      <c r="NZ20" s="35">
        <v>6.2740295705711838E-2</v>
      </c>
    </row>
    <row r="21" spans="1:390" s="4" customFormat="1" ht="14.25" x14ac:dyDescent="0.2">
      <c r="A21" s="4">
        <v>15</v>
      </c>
      <c r="B21" s="16" t="s">
        <v>669</v>
      </c>
      <c r="C21" s="16" t="s">
        <v>232</v>
      </c>
      <c r="D21" s="16" t="s">
        <v>124</v>
      </c>
      <c r="E21" s="16" t="s">
        <v>232</v>
      </c>
      <c r="F21" s="31" t="s">
        <v>233</v>
      </c>
      <c r="G21" s="31" t="s">
        <v>234</v>
      </c>
      <c r="H21" s="32">
        <v>-1</v>
      </c>
      <c r="I21" s="33">
        <v>29.51</v>
      </c>
      <c r="J21" s="34">
        <v>20.222000000000001</v>
      </c>
      <c r="K21" s="32" t="s">
        <v>235</v>
      </c>
      <c r="L21" s="16">
        <v>0</v>
      </c>
      <c r="M21" s="16">
        <v>2</v>
      </c>
      <c r="N21" s="16" t="s">
        <v>232</v>
      </c>
      <c r="O21" s="16">
        <v>0</v>
      </c>
      <c r="P21" s="16">
        <v>0</v>
      </c>
      <c r="Q21" s="16">
        <v>4</v>
      </c>
      <c r="R21" s="16">
        <v>4</v>
      </c>
      <c r="S21" s="16">
        <v>0</v>
      </c>
      <c r="T21" s="16">
        <v>40</v>
      </c>
      <c r="U21" s="16">
        <v>0</v>
      </c>
      <c r="V21" s="16">
        <v>40</v>
      </c>
      <c r="W21" s="16">
        <v>0</v>
      </c>
      <c r="X21" s="16" t="s">
        <v>232</v>
      </c>
      <c r="Y21" s="35">
        <v>886.61741616079996</v>
      </c>
      <c r="Z21" s="35">
        <v>868.60685616079991</v>
      </c>
      <c r="AA21" s="35">
        <v>886.61741616079996</v>
      </c>
      <c r="AB21" s="35">
        <v>868.60685616079991</v>
      </c>
      <c r="AC21" s="35">
        <v>1448.2508411607998</v>
      </c>
      <c r="AD21" s="35">
        <v>1430.2402764767999</v>
      </c>
      <c r="AE21" s="35">
        <v>1412.2297117927999</v>
      </c>
      <c r="AF21" s="35">
        <v>1394.2191471087999</v>
      </c>
      <c r="AG21" s="35">
        <v>1376.2085824247999</v>
      </c>
      <c r="AH21" s="35">
        <v>1286.1980177407997</v>
      </c>
      <c r="AI21" s="35">
        <v>1268.1874530567998</v>
      </c>
      <c r="AJ21" s="35">
        <v>1250.1768883727998</v>
      </c>
      <c r="AK21" s="35">
        <v>1232.1663236887998</v>
      </c>
      <c r="AL21" s="35">
        <v>1212.1612383083998</v>
      </c>
      <c r="AM21" s="35">
        <v>1194.1506736243998</v>
      </c>
      <c r="AN21" s="35">
        <v>1102.1033295079999</v>
      </c>
      <c r="AO21" s="35">
        <v>897.70308884239989</v>
      </c>
      <c r="AP21" s="35">
        <v>879.69252415839992</v>
      </c>
      <c r="AQ21" s="35">
        <v>861.68195947439995</v>
      </c>
      <c r="AR21" s="35">
        <v>843.67139479039997</v>
      </c>
      <c r="AS21" s="35">
        <v>823.66630940999994</v>
      </c>
      <c r="AT21" s="35">
        <v>805.65574472599997</v>
      </c>
      <c r="AU21" s="35">
        <v>787.64518004199999</v>
      </c>
      <c r="AV21" s="35">
        <v>769.63461535800002</v>
      </c>
      <c r="AW21" s="35">
        <v>751.62405067400005</v>
      </c>
      <c r="AX21" s="35">
        <v>735.6502654223998</v>
      </c>
      <c r="AY21" s="35">
        <v>717.63970073839982</v>
      </c>
      <c r="AZ21" s="35">
        <v>699.62913605439985</v>
      </c>
      <c r="BA21" s="35">
        <v>681.61857137039988</v>
      </c>
      <c r="BB21" s="35">
        <v>661.61348598999984</v>
      </c>
      <c r="BC21" s="35">
        <v>643.60292130599987</v>
      </c>
      <c r="BD21" s="35">
        <v>625.5923566219999</v>
      </c>
      <c r="BE21" s="35">
        <v>607.58179193799992</v>
      </c>
      <c r="BF21" s="35">
        <v>589.57122725399995</v>
      </c>
      <c r="BG21" s="35">
        <v>605.58727124159986</v>
      </c>
      <c r="BH21" s="35">
        <v>587.57670655759989</v>
      </c>
      <c r="BI21" s="35">
        <v>551.55557731840008</v>
      </c>
      <c r="BJ21" s="35">
        <v>569.56614200240006</v>
      </c>
      <c r="BK21" s="35">
        <v>897.70308884239989</v>
      </c>
      <c r="BL21" s="35">
        <v>879.69252415839992</v>
      </c>
      <c r="BM21" s="35">
        <v>861.68195947439995</v>
      </c>
      <c r="BN21" s="35">
        <v>843.67139479039997</v>
      </c>
      <c r="BO21" s="35">
        <v>823.66630940999994</v>
      </c>
      <c r="BP21" s="35">
        <v>805.65574472599997</v>
      </c>
      <c r="BQ21" s="35">
        <v>787.64518004199999</v>
      </c>
      <c r="BR21" s="35">
        <v>769.63461535800002</v>
      </c>
      <c r="BS21" s="35">
        <v>751.62405067400005</v>
      </c>
      <c r="BT21" s="35">
        <v>735.6502654223998</v>
      </c>
      <c r="BU21" s="35">
        <v>717.63970073839982</v>
      </c>
      <c r="BV21" s="35">
        <v>699.62913605439985</v>
      </c>
      <c r="BW21" s="35">
        <v>681.61857137039988</v>
      </c>
      <c r="BX21" s="35">
        <v>661.61348598999984</v>
      </c>
      <c r="BY21" s="35">
        <v>643.60292130599987</v>
      </c>
      <c r="BZ21" s="35">
        <v>625.5923566219999</v>
      </c>
      <c r="CA21" s="35">
        <v>607.58179193799992</v>
      </c>
      <c r="CB21" s="35">
        <v>589.57122725399995</v>
      </c>
      <c r="CC21" s="35">
        <v>605.58727124159986</v>
      </c>
      <c r="CD21" s="35">
        <v>587.57670655759989</v>
      </c>
      <c r="CE21" s="35">
        <v>549.53992731840003</v>
      </c>
      <c r="CF21" s="35">
        <v>567.55049200240001</v>
      </c>
      <c r="CG21" s="35">
        <v>163.06064842000001</v>
      </c>
      <c r="CH21" s="35">
        <v>255.10799253639999</v>
      </c>
      <c r="CI21" s="35">
        <v>237.09742785239999</v>
      </c>
      <c r="CJ21" s="35">
        <v>219.08686316839999</v>
      </c>
      <c r="CK21" s="35">
        <v>201.07629848439998</v>
      </c>
      <c r="CL21" s="35">
        <v>55.0547752254</v>
      </c>
      <c r="CM21" s="35">
        <v>57.070425289800006</v>
      </c>
      <c r="CN21" s="35">
        <v>69.070425289799999</v>
      </c>
      <c r="CO21" s="35">
        <v>71.086075354200005</v>
      </c>
      <c r="CP21" s="35">
        <v>81.070425289799999</v>
      </c>
      <c r="CQ21" s="35">
        <v>83.086075354200005</v>
      </c>
      <c r="CR21" s="35">
        <v>85.101725418599997</v>
      </c>
      <c r="CS21" s="35">
        <v>95.086075354200005</v>
      </c>
      <c r="CT21" s="35">
        <v>97.101725418599997</v>
      </c>
      <c r="CU21" s="35">
        <v>99.117375483000004</v>
      </c>
      <c r="CV21" s="35">
        <v>109.1017254186</v>
      </c>
      <c r="CW21" s="35">
        <v>111.117375483</v>
      </c>
      <c r="CX21" s="35">
        <v>113.13302554740001</v>
      </c>
      <c r="CY21" s="35">
        <v>123.117375483</v>
      </c>
      <c r="CZ21" s="35">
        <v>125.13302554740001</v>
      </c>
      <c r="DA21" s="35">
        <v>127.1486756118</v>
      </c>
      <c r="DB21" s="35">
        <v>137.1330255474</v>
      </c>
      <c r="DC21" s="35">
        <v>139.1486756118</v>
      </c>
      <c r="DD21" s="35">
        <v>141.16432567620001</v>
      </c>
      <c r="DE21" s="35">
        <v>149.1330255474</v>
      </c>
      <c r="DF21" s="35">
        <v>151.1486756118</v>
      </c>
      <c r="DG21" s="35">
        <v>153.16432567620001</v>
      </c>
      <c r="DH21" s="35">
        <v>155.17997574060001</v>
      </c>
      <c r="DI21" s="35">
        <v>163.1486756118</v>
      </c>
      <c r="DJ21" s="35">
        <v>165.16432567620001</v>
      </c>
      <c r="DK21" s="35">
        <v>167.17997574060001</v>
      </c>
      <c r="DL21" s="35">
        <v>169.19562580499999</v>
      </c>
      <c r="DM21" s="35">
        <v>177.16432567620001</v>
      </c>
      <c r="DN21" s="35">
        <v>179.17997574060001</v>
      </c>
      <c r="DO21" s="35">
        <v>181.19562580499999</v>
      </c>
      <c r="DP21" s="35">
        <v>183.2112758694</v>
      </c>
      <c r="DQ21" s="35">
        <v>191.17997574060001</v>
      </c>
      <c r="DR21" s="35">
        <v>193.19562580499999</v>
      </c>
      <c r="DS21" s="35">
        <v>195.2112758694</v>
      </c>
      <c r="DT21" s="35">
        <v>197.2269259338</v>
      </c>
      <c r="DU21" s="35">
        <v>205.19562580499999</v>
      </c>
      <c r="DV21" s="35">
        <v>207.2112758694</v>
      </c>
      <c r="DW21" s="35">
        <v>209.2269259338</v>
      </c>
      <c r="DX21" s="35">
        <v>211.24257599820001</v>
      </c>
      <c r="DY21" s="35">
        <v>217.19562580499999</v>
      </c>
      <c r="DZ21" s="35">
        <v>219.2112758694</v>
      </c>
      <c r="EA21" s="35">
        <v>221.2269259338</v>
      </c>
      <c r="EB21" s="35">
        <v>223.24257599820001</v>
      </c>
      <c r="EC21" s="35">
        <v>225.25822606260002</v>
      </c>
      <c r="ED21" s="35">
        <v>231.2112758694</v>
      </c>
      <c r="EE21" s="35">
        <v>233.2269259338</v>
      </c>
      <c r="EF21" s="35">
        <v>235.24257599820001</v>
      </c>
      <c r="EG21" s="35">
        <v>237.25822606260002</v>
      </c>
      <c r="EH21" s="35">
        <v>239.27387612699999</v>
      </c>
      <c r="EI21" s="35">
        <v>245.2269259338</v>
      </c>
      <c r="EJ21" s="35">
        <v>247.24257599820001</v>
      </c>
      <c r="EK21" s="35">
        <v>249.25822606260002</v>
      </c>
      <c r="EL21" s="35">
        <v>251.27387612699999</v>
      </c>
      <c r="EM21" s="35">
        <v>253.2895261914</v>
      </c>
      <c r="EN21" s="35">
        <v>259.24257599819998</v>
      </c>
      <c r="EO21" s="35">
        <v>261.25822606259999</v>
      </c>
      <c r="EP21" s="35">
        <v>263.27387612699999</v>
      </c>
      <c r="EQ21" s="35">
        <v>265.2895261914</v>
      </c>
      <c r="ER21" s="35">
        <v>267.30517625580001</v>
      </c>
      <c r="ES21" s="35">
        <v>273.25822606259999</v>
      </c>
      <c r="ET21" s="35">
        <v>55.0547752254</v>
      </c>
      <c r="EU21" s="35">
        <v>57.070425289800006</v>
      </c>
      <c r="EV21" s="35">
        <v>69.070425289799999</v>
      </c>
      <c r="EW21" s="35">
        <v>71.086075354200005</v>
      </c>
      <c r="EX21" s="35">
        <v>81.070425289799999</v>
      </c>
      <c r="EY21" s="35">
        <v>83.086075354200005</v>
      </c>
      <c r="EZ21" s="35">
        <v>85.101725418599997</v>
      </c>
      <c r="FA21" s="35">
        <v>95.086075354200005</v>
      </c>
      <c r="FB21" s="35">
        <v>97.101725418599997</v>
      </c>
      <c r="FC21" s="35">
        <v>99.117375483000004</v>
      </c>
      <c r="FD21" s="35">
        <v>109.1017254186</v>
      </c>
      <c r="FE21" s="35">
        <v>111.117375483</v>
      </c>
      <c r="FF21" s="35">
        <v>113.13302554740001</v>
      </c>
      <c r="FG21" s="35">
        <v>123.117375483</v>
      </c>
      <c r="FH21" s="35">
        <v>125.13302554740001</v>
      </c>
      <c r="FI21" s="35">
        <v>127.1486756118</v>
      </c>
      <c r="FJ21" s="35">
        <v>137.1330255474</v>
      </c>
      <c r="FK21" s="35">
        <v>139.1486756118</v>
      </c>
      <c r="FL21" s="35">
        <v>141.16432567620001</v>
      </c>
      <c r="FM21" s="35">
        <v>149.1330255474</v>
      </c>
      <c r="FN21" s="35">
        <v>151.1486756118</v>
      </c>
      <c r="FO21" s="35">
        <v>153.16432567620001</v>
      </c>
      <c r="FP21" s="35">
        <v>155.17997574060001</v>
      </c>
      <c r="FQ21" s="35">
        <v>163.1486756118</v>
      </c>
      <c r="FR21" s="35">
        <v>165.16432567620001</v>
      </c>
      <c r="FS21" s="35">
        <v>167.17997574060001</v>
      </c>
      <c r="FT21" s="35">
        <v>169.19562580499999</v>
      </c>
      <c r="FU21" s="35">
        <v>177.16432567620001</v>
      </c>
      <c r="FV21" s="35">
        <v>179.17997574060001</v>
      </c>
      <c r="FW21" s="35">
        <v>181.19562580499999</v>
      </c>
      <c r="FX21" s="35">
        <v>183.2112758694</v>
      </c>
      <c r="FY21" s="35">
        <v>191.17997574060001</v>
      </c>
      <c r="FZ21" s="35">
        <v>193.19562580499999</v>
      </c>
      <c r="GA21" s="35">
        <v>195.2112758694</v>
      </c>
      <c r="GB21" s="35">
        <v>197.2269259338</v>
      </c>
      <c r="GC21" s="35">
        <v>205.19562580499999</v>
      </c>
      <c r="GD21" s="35">
        <v>207.2112758694</v>
      </c>
      <c r="GE21" s="35">
        <v>209.2269259338</v>
      </c>
      <c r="GF21" s="35">
        <v>211.24257599820001</v>
      </c>
      <c r="GG21" s="35">
        <v>217.19562580499999</v>
      </c>
      <c r="GH21" s="35">
        <v>219.2112758694</v>
      </c>
      <c r="GI21" s="35">
        <v>221.2269259338</v>
      </c>
      <c r="GJ21" s="35">
        <v>223.24257599820001</v>
      </c>
      <c r="GK21" s="35">
        <v>225.25822606260002</v>
      </c>
      <c r="GL21" s="35">
        <v>231.2112758694</v>
      </c>
      <c r="GM21" s="35">
        <v>233.2269259338</v>
      </c>
      <c r="GN21" s="35">
        <v>235.24257599820001</v>
      </c>
      <c r="GO21" s="35">
        <v>237.25822606260002</v>
      </c>
      <c r="GP21" s="35">
        <v>239.27387612699999</v>
      </c>
      <c r="GQ21" s="35">
        <v>245.2269259338</v>
      </c>
      <c r="GR21" s="35">
        <v>247.24257599820001</v>
      </c>
      <c r="GS21" s="35">
        <v>249.25822606260002</v>
      </c>
      <c r="GT21" s="35">
        <v>251.27387612699999</v>
      </c>
      <c r="GU21" s="35">
        <v>253.2895261914</v>
      </c>
      <c r="GV21" s="35">
        <v>259.24257599819998</v>
      </c>
      <c r="GW21" s="35">
        <v>261.25822606259999</v>
      </c>
      <c r="GX21" s="35">
        <v>263.27387612699999</v>
      </c>
      <c r="GY21" s="35">
        <v>265.2895261914</v>
      </c>
      <c r="GZ21" s="35">
        <v>267.30517625580001</v>
      </c>
      <c r="HA21" s="35">
        <v>273.25822606259999</v>
      </c>
      <c r="HB21" s="35">
        <v>106.14726900625</v>
      </c>
      <c r="HC21" s="35">
        <v>10.614726900625</v>
      </c>
      <c r="HD21" s="35">
        <v>10.614726900625</v>
      </c>
      <c r="HE21" s="35">
        <v>15.922090350937498</v>
      </c>
      <c r="HF21" s="35">
        <v>23.883135526406249</v>
      </c>
      <c r="HG21" s="35">
        <v>53.073634503125</v>
      </c>
      <c r="HH21" s="35">
        <v>6.634204312890625</v>
      </c>
      <c r="HI21" s="35">
        <v>0.82927553911132812</v>
      </c>
      <c r="HJ21" s="35">
        <v>0.41463776955566406</v>
      </c>
      <c r="HK21" s="36">
        <v>2.0132659200000016</v>
      </c>
      <c r="HL21" s="36">
        <v>2</v>
      </c>
      <c r="HM21" s="35">
        <v>0</v>
      </c>
      <c r="HN21" s="35">
        <v>24.576000000000011</v>
      </c>
      <c r="HO21" s="35">
        <v>13.65333333333334</v>
      </c>
      <c r="HP21" s="35">
        <v>9.5573333333333377</v>
      </c>
      <c r="HQ21" s="35">
        <v>3.1857777777777794</v>
      </c>
      <c r="HR21" s="35">
        <v>26.244000000000007</v>
      </c>
      <c r="HS21" s="35">
        <v>26.244000000000007</v>
      </c>
      <c r="HT21" s="35">
        <v>13.122000000000003</v>
      </c>
      <c r="HU21" s="35">
        <v>26.244000000000007</v>
      </c>
      <c r="HV21" s="35">
        <v>5.248800000000001</v>
      </c>
      <c r="HW21" s="35">
        <v>28.672000000000011</v>
      </c>
      <c r="HX21" s="35">
        <v>15.928888888888896</v>
      </c>
      <c r="HY21" s="35">
        <v>11.150222222222226</v>
      </c>
      <c r="HZ21" s="35">
        <v>3.7167407407407418</v>
      </c>
      <c r="IA21" s="35">
        <v>26.244000000000007</v>
      </c>
      <c r="IB21" s="35">
        <v>26.244000000000007</v>
      </c>
      <c r="IC21" s="35">
        <v>13.122000000000003</v>
      </c>
      <c r="ID21" s="35">
        <v>26.244000000000007</v>
      </c>
      <c r="IE21" s="35">
        <v>5.248800000000001</v>
      </c>
      <c r="IF21" s="35">
        <v>15</v>
      </c>
      <c r="IG21" s="35">
        <v>3.75</v>
      </c>
      <c r="IH21" s="35">
        <v>37.324799999999996</v>
      </c>
      <c r="II21" s="35">
        <v>18.662399999999998</v>
      </c>
      <c r="IJ21" s="35">
        <v>24.576000000000011</v>
      </c>
      <c r="IK21" s="35">
        <v>13.65333333333334</v>
      </c>
      <c r="IL21" s="35">
        <v>9.5573333333333377</v>
      </c>
      <c r="IM21" s="35">
        <v>3.1857777777777794</v>
      </c>
      <c r="IN21" s="35">
        <v>26.244000000000007</v>
      </c>
      <c r="IO21" s="35">
        <v>26.244000000000007</v>
      </c>
      <c r="IP21" s="35">
        <v>13.122000000000003</v>
      </c>
      <c r="IQ21" s="35">
        <v>26.244000000000007</v>
      </c>
      <c r="IR21" s="35">
        <v>5.248800000000001</v>
      </c>
      <c r="IS21" s="35">
        <v>28.672000000000011</v>
      </c>
      <c r="IT21" s="35">
        <v>15.928888888888896</v>
      </c>
      <c r="IU21" s="35">
        <v>11.150222222222226</v>
      </c>
      <c r="IV21" s="35">
        <v>3.7167407407407418</v>
      </c>
      <c r="IW21" s="35">
        <v>26.244000000000007</v>
      </c>
      <c r="IX21" s="35">
        <v>26.244000000000007</v>
      </c>
      <c r="IY21" s="35">
        <v>13.122000000000003</v>
      </c>
      <c r="IZ21" s="35">
        <v>26.244000000000007</v>
      </c>
      <c r="JA21" s="35">
        <v>5.248800000000001</v>
      </c>
      <c r="JB21" s="35">
        <v>15</v>
      </c>
      <c r="JC21" s="35">
        <v>3.75</v>
      </c>
      <c r="JD21" s="35">
        <v>37.324799999999996</v>
      </c>
      <c r="JE21" s="35">
        <v>18.662399999999998</v>
      </c>
      <c r="JF21" s="35">
        <v>0</v>
      </c>
      <c r="JG21" s="35">
        <v>60</v>
      </c>
      <c r="JH21" s="35">
        <v>30</v>
      </c>
      <c r="JI21" s="35">
        <v>30</v>
      </c>
      <c r="JJ21" s="35">
        <v>40</v>
      </c>
      <c r="JK21" s="35">
        <v>0.1953125</v>
      </c>
      <c r="JL21" s="35">
        <v>1.3453686845698682</v>
      </c>
      <c r="JM21" s="35">
        <v>0.59604644775390625</v>
      </c>
      <c r="JN21" s="35">
        <v>1.5495129722348657</v>
      </c>
      <c r="JO21" s="35">
        <v>0.4449462890625</v>
      </c>
      <c r="JP21" s="35">
        <v>1.483154296875</v>
      </c>
      <c r="JQ21" s="35">
        <v>1.6782999544833865</v>
      </c>
      <c r="JR21" s="35">
        <v>1.1219882965087891</v>
      </c>
      <c r="JS21" s="35">
        <v>5.0633764576288378</v>
      </c>
      <c r="JT21" s="35">
        <v>1.4119617660446062</v>
      </c>
      <c r="JU21" s="35">
        <v>2.5</v>
      </c>
      <c r="JV21" s="35">
        <v>6.25</v>
      </c>
      <c r="JW21" s="35">
        <v>0.47073054164770134</v>
      </c>
      <c r="JX21" s="35">
        <v>1.9555109077738959</v>
      </c>
      <c r="JY21" s="35">
        <v>5.0633764576288378</v>
      </c>
      <c r="JZ21" s="35">
        <v>0.53483841602184801</v>
      </c>
      <c r="KA21" s="35">
        <v>1.5160040883224166</v>
      </c>
      <c r="KB21" s="35">
        <v>4.0707517186435256</v>
      </c>
      <c r="KC21" s="35">
        <v>0.60451752389622226</v>
      </c>
      <c r="KD21" s="35">
        <v>1.0719767711593104</v>
      </c>
      <c r="KE21" s="35">
        <v>1.1640388070216858</v>
      </c>
      <c r="KF21" s="35">
        <v>3.2458774426566244</v>
      </c>
      <c r="KG21" s="35">
        <v>0.68</v>
      </c>
      <c r="KH21" s="35">
        <v>0.82309973400933301</v>
      </c>
      <c r="KI21" s="35">
        <v>0.88457382471425772</v>
      </c>
      <c r="KJ21" s="35">
        <v>2.5652640916713478</v>
      </c>
      <c r="KK21" s="35">
        <v>0.60451752389622226</v>
      </c>
      <c r="KL21" s="35">
        <v>0.625488149915572</v>
      </c>
      <c r="KM21" s="35">
        <v>0.66471076978201882</v>
      </c>
      <c r="KN21" s="35">
        <v>2.0079804503831817</v>
      </c>
      <c r="KO21" s="35">
        <v>0.53483841602184801</v>
      </c>
      <c r="KP21" s="35">
        <v>0.47002149284059552</v>
      </c>
      <c r="KQ21" s="35">
        <v>0.49345650165960286</v>
      </c>
      <c r="KR21" s="35">
        <v>1.5554607117530959</v>
      </c>
      <c r="KS21" s="35">
        <v>0.47073054164770134</v>
      </c>
      <c r="KT21" s="35">
        <v>0.348926438544096</v>
      </c>
      <c r="KU21" s="35">
        <v>0.36150373534832037</v>
      </c>
      <c r="KV21" s="35">
        <v>1.1913191278524196</v>
      </c>
      <c r="KW21" s="35">
        <v>0.41196176604460633</v>
      </c>
      <c r="KX21" s="35">
        <v>0.25562174268906435</v>
      </c>
      <c r="KY21" s="35">
        <v>0.84238983386168942</v>
      </c>
      <c r="KZ21" s="35">
        <v>0.26102919649057066</v>
      </c>
      <c r="LA21" s="35">
        <v>0.90117222597935098</v>
      </c>
      <c r="LB21" s="35">
        <v>0.35829995448338642</v>
      </c>
      <c r="LC21" s="35">
        <v>0.18457551492615826</v>
      </c>
      <c r="LD21" s="35">
        <v>0.6372249920069748</v>
      </c>
      <c r="LE21" s="35">
        <v>0.1855085765647157</v>
      </c>
      <c r="LF21" s="35">
        <v>0.67246859004709425</v>
      </c>
      <c r="LG21" s="35">
        <v>0.30951297223486568</v>
      </c>
      <c r="LH21" s="35">
        <v>0.13117437245717431</v>
      </c>
      <c r="LI21" s="35">
        <v>0.47550710015725678</v>
      </c>
      <c r="LJ21" s="35">
        <v>0.12954755776040386</v>
      </c>
      <c r="LK21" s="35">
        <v>0.49432620724364623</v>
      </c>
      <c r="LL21" s="35">
        <v>0.26536868456986812</v>
      </c>
      <c r="LM21" s="35">
        <v>9.160395657853751E-2</v>
      </c>
      <c r="LN21" s="35">
        <v>0.34954141326020888</v>
      </c>
      <c r="LO21" s="35">
        <v>8.8728177094316144E-2</v>
      </c>
      <c r="LP21" s="35">
        <v>0.35737737996321772</v>
      </c>
      <c r="LQ21" s="35">
        <v>0.22563495675921708</v>
      </c>
      <c r="LR21" s="35">
        <v>6.2740295705711838E-2</v>
      </c>
      <c r="LS21" s="35">
        <v>0.1953125</v>
      </c>
      <c r="LT21" s="35">
        <v>1.3453686845698682</v>
      </c>
      <c r="LU21" s="35">
        <v>0.59604644775390625</v>
      </c>
      <c r="LV21" s="35">
        <v>1.5495129722348657</v>
      </c>
      <c r="LW21" s="35">
        <v>0.4449462890625</v>
      </c>
      <c r="LX21" s="35">
        <v>1.483154296875</v>
      </c>
      <c r="LY21" s="35">
        <v>1.6782999544833865</v>
      </c>
      <c r="LZ21" s="35">
        <v>1.1219882965087891</v>
      </c>
      <c r="MA21" s="35">
        <v>5.0633764576288378</v>
      </c>
      <c r="MB21" s="35">
        <v>1.4119617660446062</v>
      </c>
      <c r="MC21" s="35">
        <v>2.5</v>
      </c>
      <c r="MD21" s="35">
        <v>6.25</v>
      </c>
      <c r="ME21" s="35">
        <v>0.47073054164770134</v>
      </c>
      <c r="MF21" s="35">
        <v>1.9555109077738959</v>
      </c>
      <c r="MG21" s="35">
        <v>5.0633764576288378</v>
      </c>
      <c r="MH21" s="35">
        <v>0.53483841602184801</v>
      </c>
      <c r="MI21" s="35">
        <v>1.5160040883224166</v>
      </c>
      <c r="MJ21" s="35">
        <v>4.0707517186435256</v>
      </c>
      <c r="MK21" s="35">
        <v>0.60451752389622226</v>
      </c>
      <c r="ML21" s="35">
        <v>1.0719767711593104</v>
      </c>
      <c r="MM21" s="35">
        <v>1.1640388070216858</v>
      </c>
      <c r="MN21" s="35">
        <v>3.2458774426566244</v>
      </c>
      <c r="MO21" s="35">
        <v>0.68</v>
      </c>
      <c r="MP21" s="35">
        <v>0.82309973400933301</v>
      </c>
      <c r="MQ21" s="35">
        <v>0.88457382471425772</v>
      </c>
      <c r="MR21" s="35">
        <v>2.5652640916713478</v>
      </c>
      <c r="MS21" s="35">
        <v>0.60451752389622226</v>
      </c>
      <c r="MT21" s="35">
        <v>0.625488149915572</v>
      </c>
      <c r="MU21" s="35">
        <v>0.66471076978201882</v>
      </c>
      <c r="MV21" s="35">
        <v>2.0079804503831817</v>
      </c>
      <c r="MW21" s="35">
        <v>0.53483841602184801</v>
      </c>
      <c r="MX21" s="35">
        <v>0.47002149284059552</v>
      </c>
      <c r="MY21" s="35">
        <v>0.49345650165960286</v>
      </c>
      <c r="MZ21" s="35">
        <v>1.5554607117530959</v>
      </c>
      <c r="NA21" s="35">
        <v>0.47073054164770134</v>
      </c>
      <c r="NB21" s="35">
        <v>0.348926438544096</v>
      </c>
      <c r="NC21" s="35">
        <v>0.36150373534832037</v>
      </c>
      <c r="ND21" s="35">
        <v>1.1913191278524196</v>
      </c>
      <c r="NE21" s="35">
        <v>0.41196176604460633</v>
      </c>
      <c r="NF21" s="35">
        <v>0.25562174268906435</v>
      </c>
      <c r="NG21" s="35">
        <v>0.84238983386168942</v>
      </c>
      <c r="NH21" s="35">
        <v>0.26102919649057066</v>
      </c>
      <c r="NI21" s="35">
        <v>0.90117222597935098</v>
      </c>
      <c r="NJ21" s="35">
        <v>0.35829995448338642</v>
      </c>
      <c r="NK21" s="35">
        <v>0.18457551492615826</v>
      </c>
      <c r="NL21" s="35">
        <v>0.6372249920069748</v>
      </c>
      <c r="NM21" s="35">
        <v>0.1855085765647157</v>
      </c>
      <c r="NN21" s="35">
        <v>0.67246859004709425</v>
      </c>
      <c r="NO21" s="35">
        <v>0.30951297223486568</v>
      </c>
      <c r="NP21" s="35">
        <v>0.13117437245717431</v>
      </c>
      <c r="NQ21" s="35">
        <v>0.47550710015725678</v>
      </c>
      <c r="NR21" s="35">
        <v>0.12954755776040386</v>
      </c>
      <c r="NS21" s="35">
        <v>0.49432620724364623</v>
      </c>
      <c r="NT21" s="35">
        <v>0.26536868456986812</v>
      </c>
      <c r="NU21" s="35">
        <v>9.160395657853751E-2</v>
      </c>
      <c r="NV21" s="35">
        <v>0.34954141326020888</v>
      </c>
      <c r="NW21" s="35">
        <v>8.8728177094316144E-2</v>
      </c>
      <c r="NX21" s="35">
        <v>0.35737737996321772</v>
      </c>
      <c r="NY21" s="35">
        <v>0.22563495675921708</v>
      </c>
      <c r="NZ21" s="35">
        <v>6.2740295705711838E-2</v>
      </c>
    </row>
    <row r="22" spans="1:390" s="4" customFormat="1" ht="14.25" x14ac:dyDescent="0.2">
      <c r="A22" s="4">
        <v>16</v>
      </c>
      <c r="B22" s="16" t="s">
        <v>666</v>
      </c>
      <c r="C22" s="16" t="s">
        <v>236</v>
      </c>
      <c r="D22" s="16" t="s">
        <v>121</v>
      </c>
      <c r="E22" s="16" t="s">
        <v>236</v>
      </c>
      <c r="F22" s="31" t="s">
        <v>237</v>
      </c>
      <c r="G22" s="31" t="s">
        <v>238</v>
      </c>
      <c r="H22" s="32">
        <v>-1</v>
      </c>
      <c r="I22" s="33">
        <v>28.13</v>
      </c>
      <c r="J22" s="34">
        <v>21.5364</v>
      </c>
      <c r="K22" s="32" t="s">
        <v>239</v>
      </c>
      <c r="L22" s="16">
        <v>0</v>
      </c>
      <c r="M22" s="16">
        <v>2</v>
      </c>
      <c r="N22" s="16" t="s">
        <v>236</v>
      </c>
      <c r="O22" s="16">
        <v>0</v>
      </c>
      <c r="P22" s="16">
        <v>0</v>
      </c>
      <c r="Q22" s="16">
        <v>2</v>
      </c>
      <c r="R22" s="16">
        <v>3</v>
      </c>
      <c r="S22" s="16">
        <v>0</v>
      </c>
      <c r="T22" s="16">
        <v>40</v>
      </c>
      <c r="U22" s="16">
        <v>0</v>
      </c>
      <c r="V22" s="16">
        <v>40</v>
      </c>
      <c r="W22" s="16">
        <v>0</v>
      </c>
      <c r="X22" s="16" t="s">
        <v>236</v>
      </c>
      <c r="Y22" s="35">
        <v>892.66436635399998</v>
      </c>
      <c r="Z22" s="35">
        <v>874.65380635399993</v>
      </c>
      <c r="AA22" s="35">
        <v>892.66436635399998</v>
      </c>
      <c r="AB22" s="35">
        <v>874.65380635399993</v>
      </c>
      <c r="AC22" s="35">
        <v>1454.2977913539999</v>
      </c>
      <c r="AD22" s="35">
        <v>1436.2872266699999</v>
      </c>
      <c r="AE22" s="35">
        <v>1418.2766619859999</v>
      </c>
      <c r="AF22" s="35">
        <v>1400.2660973019999</v>
      </c>
      <c r="AG22" s="35">
        <v>1382.255532618</v>
      </c>
      <c r="AH22" s="35">
        <v>1292.2449679339998</v>
      </c>
      <c r="AI22" s="35">
        <v>1274.2344032499998</v>
      </c>
      <c r="AJ22" s="35">
        <v>1256.2238385659998</v>
      </c>
      <c r="AK22" s="35">
        <v>1238.2132738819998</v>
      </c>
      <c r="AL22" s="35">
        <v>1218.2081885015998</v>
      </c>
      <c r="AM22" s="35">
        <v>1200.1976238175998</v>
      </c>
      <c r="AN22" s="35">
        <v>1108.1502797011999</v>
      </c>
      <c r="AO22" s="35">
        <v>899.7187389067999</v>
      </c>
      <c r="AP22" s="35">
        <v>881.70817422279993</v>
      </c>
      <c r="AQ22" s="35">
        <v>863.69760953879995</v>
      </c>
      <c r="AR22" s="35">
        <v>845.68704485479998</v>
      </c>
      <c r="AS22" s="35">
        <v>825.68195947439995</v>
      </c>
      <c r="AT22" s="35">
        <v>807.67139479039997</v>
      </c>
      <c r="AU22" s="35">
        <v>789.6608301064</v>
      </c>
      <c r="AV22" s="35">
        <v>771.65026542240003</v>
      </c>
      <c r="AW22" s="35">
        <v>753.63970073840005</v>
      </c>
      <c r="AX22" s="35">
        <v>737.6659154867998</v>
      </c>
      <c r="AY22" s="35">
        <v>719.65535080279983</v>
      </c>
      <c r="AZ22" s="35">
        <v>701.64478611879986</v>
      </c>
      <c r="BA22" s="35">
        <v>683.63422143479988</v>
      </c>
      <c r="BB22" s="35">
        <v>663.62913605439985</v>
      </c>
      <c r="BC22" s="35">
        <v>645.61857137039988</v>
      </c>
      <c r="BD22" s="35">
        <v>627.6080066863999</v>
      </c>
      <c r="BE22" s="35">
        <v>609.59744200239993</v>
      </c>
      <c r="BF22" s="35">
        <v>591.58687731839996</v>
      </c>
      <c r="BG22" s="35">
        <v>607.60292130599987</v>
      </c>
      <c r="BH22" s="35">
        <v>589.5923566219999</v>
      </c>
      <c r="BI22" s="35">
        <v>553.57122744720004</v>
      </c>
      <c r="BJ22" s="35">
        <v>571.58179213120002</v>
      </c>
      <c r="BK22" s="35">
        <v>901.73438897119991</v>
      </c>
      <c r="BL22" s="35">
        <v>883.72382428719993</v>
      </c>
      <c r="BM22" s="35">
        <v>865.71325960319996</v>
      </c>
      <c r="BN22" s="35">
        <v>847.70269491919998</v>
      </c>
      <c r="BO22" s="35">
        <v>827.69760953879995</v>
      </c>
      <c r="BP22" s="35">
        <v>809.68704485479998</v>
      </c>
      <c r="BQ22" s="35">
        <v>791.6764801708</v>
      </c>
      <c r="BR22" s="35">
        <v>773.66591548680003</v>
      </c>
      <c r="BS22" s="35">
        <v>755.65535080280006</v>
      </c>
      <c r="BT22" s="35">
        <v>739.68156555119981</v>
      </c>
      <c r="BU22" s="35">
        <v>721.67100086719984</v>
      </c>
      <c r="BV22" s="35">
        <v>703.66043618319986</v>
      </c>
      <c r="BW22" s="35">
        <v>685.64987149919989</v>
      </c>
      <c r="BX22" s="35">
        <v>665.64478611879986</v>
      </c>
      <c r="BY22" s="35">
        <v>647.63422143479988</v>
      </c>
      <c r="BZ22" s="35">
        <v>629.62365675079991</v>
      </c>
      <c r="CA22" s="35">
        <v>611.61309206679994</v>
      </c>
      <c r="CB22" s="35">
        <v>593.60252738279996</v>
      </c>
      <c r="CC22" s="35">
        <v>609.61857137039988</v>
      </c>
      <c r="CD22" s="35">
        <v>591.6080066863999</v>
      </c>
      <c r="CE22" s="35">
        <v>551.55557738280004</v>
      </c>
      <c r="CF22" s="35">
        <v>569.56614206680001</v>
      </c>
      <c r="CG22" s="35">
        <v>163.06064842000001</v>
      </c>
      <c r="CH22" s="35">
        <v>255.10799253639999</v>
      </c>
      <c r="CI22" s="35">
        <v>237.09742785239999</v>
      </c>
      <c r="CJ22" s="35">
        <v>219.08686316839999</v>
      </c>
      <c r="CK22" s="35">
        <v>201.07629848439998</v>
      </c>
      <c r="CL22" s="35">
        <v>55.0547752254</v>
      </c>
      <c r="CM22" s="35">
        <v>57.070425289800006</v>
      </c>
      <c r="CN22" s="35">
        <v>69.070425289799999</v>
      </c>
      <c r="CO22" s="35">
        <v>71.086075354200005</v>
      </c>
      <c r="CP22" s="35">
        <v>81.070425289799999</v>
      </c>
      <c r="CQ22" s="35">
        <v>83.086075354200005</v>
      </c>
      <c r="CR22" s="35">
        <v>85.101725418599997</v>
      </c>
      <c r="CS22" s="35">
        <v>95.086075354200005</v>
      </c>
      <c r="CT22" s="35">
        <v>97.101725418599997</v>
      </c>
      <c r="CU22" s="35">
        <v>99.117375483000004</v>
      </c>
      <c r="CV22" s="35">
        <v>109.1017254186</v>
      </c>
      <c r="CW22" s="35">
        <v>111.117375483</v>
      </c>
      <c r="CX22" s="35">
        <v>113.13302554740001</v>
      </c>
      <c r="CY22" s="35">
        <v>123.117375483</v>
      </c>
      <c r="CZ22" s="35">
        <v>125.13302554740001</v>
      </c>
      <c r="DA22" s="35">
        <v>127.1486756118</v>
      </c>
      <c r="DB22" s="35">
        <v>137.1330255474</v>
      </c>
      <c r="DC22" s="35">
        <v>139.1486756118</v>
      </c>
      <c r="DD22" s="35">
        <v>141.16432567620001</v>
      </c>
      <c r="DE22" s="35">
        <v>149.1330255474</v>
      </c>
      <c r="DF22" s="35">
        <v>151.1486756118</v>
      </c>
      <c r="DG22" s="35">
        <v>153.16432567620001</v>
      </c>
      <c r="DH22" s="35">
        <v>155.17997574060001</v>
      </c>
      <c r="DI22" s="35">
        <v>163.1486756118</v>
      </c>
      <c r="DJ22" s="35">
        <v>165.16432567620001</v>
      </c>
      <c r="DK22" s="35">
        <v>167.17997574060001</v>
      </c>
      <c r="DL22" s="35">
        <v>169.19562580499999</v>
      </c>
      <c r="DM22" s="35">
        <v>177.16432567620001</v>
      </c>
      <c r="DN22" s="35">
        <v>179.17997574060001</v>
      </c>
      <c r="DO22" s="35">
        <v>181.19562580499999</v>
      </c>
      <c r="DP22" s="35">
        <v>183.2112758694</v>
      </c>
      <c r="DQ22" s="35">
        <v>191.17997574060001</v>
      </c>
      <c r="DR22" s="35">
        <v>193.19562580499999</v>
      </c>
      <c r="DS22" s="35">
        <v>195.2112758694</v>
      </c>
      <c r="DT22" s="35">
        <v>197.2269259338</v>
      </c>
      <c r="DU22" s="35">
        <v>205.19562580499999</v>
      </c>
      <c r="DV22" s="35">
        <v>207.2112758694</v>
      </c>
      <c r="DW22" s="35">
        <v>209.2269259338</v>
      </c>
      <c r="DX22" s="35">
        <v>211.24257599820001</v>
      </c>
      <c r="DY22" s="35">
        <v>219.2112758694</v>
      </c>
      <c r="DZ22" s="35">
        <v>221.2269259338</v>
      </c>
      <c r="EA22" s="35">
        <v>223.24257599820001</v>
      </c>
      <c r="EB22" s="35">
        <v>225.25822606260002</v>
      </c>
      <c r="EC22" s="35">
        <v>233.2269259338</v>
      </c>
      <c r="ED22" s="35">
        <v>235.24257599820001</v>
      </c>
      <c r="EE22" s="35">
        <v>237.25822606260002</v>
      </c>
      <c r="EF22" s="35">
        <v>239.27387612699999</v>
      </c>
      <c r="EG22" s="35">
        <v>247.24257599820001</v>
      </c>
      <c r="EH22" s="35">
        <v>249.25822606260002</v>
      </c>
      <c r="EI22" s="35">
        <v>251.27387612699999</v>
      </c>
      <c r="EJ22" s="35">
        <v>253.2895261914</v>
      </c>
      <c r="EK22" s="35">
        <v>261.25822606259999</v>
      </c>
      <c r="EL22" s="35">
        <v>263.27387612699999</v>
      </c>
      <c r="EM22" s="35">
        <v>265.2895261914</v>
      </c>
      <c r="EN22" s="35">
        <v>267.30517625580001</v>
      </c>
      <c r="EO22" s="35">
        <v>275.27387612699999</v>
      </c>
      <c r="EP22" s="35">
        <v>277.2895261914</v>
      </c>
      <c r="EQ22" s="35">
        <v>279.30517625580001</v>
      </c>
      <c r="ER22" s="35">
        <v>281.32082632020001</v>
      </c>
      <c r="ES22" s="35">
        <v>289.2895261914</v>
      </c>
      <c r="ET22" s="35">
        <v>55.0547752254</v>
      </c>
      <c r="EU22" s="35">
        <v>57.070425289800006</v>
      </c>
      <c r="EV22" s="35">
        <v>69.070425289799999</v>
      </c>
      <c r="EW22" s="35">
        <v>71.086075354200005</v>
      </c>
      <c r="EX22" s="35">
        <v>81.070425289799999</v>
      </c>
      <c r="EY22" s="35">
        <v>83.086075354200005</v>
      </c>
      <c r="EZ22" s="35">
        <v>85.101725418599997</v>
      </c>
      <c r="FA22" s="35">
        <v>95.086075354200005</v>
      </c>
      <c r="FB22" s="35">
        <v>97.101725418599997</v>
      </c>
      <c r="FC22" s="35">
        <v>99.117375483000004</v>
      </c>
      <c r="FD22" s="35">
        <v>109.1017254186</v>
      </c>
      <c r="FE22" s="35">
        <v>111.117375483</v>
      </c>
      <c r="FF22" s="35">
        <v>113.13302554740001</v>
      </c>
      <c r="FG22" s="35">
        <v>123.117375483</v>
      </c>
      <c r="FH22" s="35">
        <v>125.13302554740001</v>
      </c>
      <c r="FI22" s="35">
        <v>127.1486756118</v>
      </c>
      <c r="FJ22" s="35">
        <v>137.1330255474</v>
      </c>
      <c r="FK22" s="35">
        <v>139.1486756118</v>
      </c>
      <c r="FL22" s="35">
        <v>141.16432567620001</v>
      </c>
      <c r="FM22" s="35">
        <v>149.1330255474</v>
      </c>
      <c r="FN22" s="35">
        <v>151.1486756118</v>
      </c>
      <c r="FO22" s="35">
        <v>153.16432567620001</v>
      </c>
      <c r="FP22" s="35">
        <v>155.17997574060001</v>
      </c>
      <c r="FQ22" s="35">
        <v>163.1486756118</v>
      </c>
      <c r="FR22" s="35">
        <v>165.16432567620001</v>
      </c>
      <c r="FS22" s="35">
        <v>167.17997574060001</v>
      </c>
      <c r="FT22" s="35">
        <v>169.19562580499999</v>
      </c>
      <c r="FU22" s="35">
        <v>177.16432567620001</v>
      </c>
      <c r="FV22" s="35">
        <v>179.17997574060001</v>
      </c>
      <c r="FW22" s="35">
        <v>181.19562580499999</v>
      </c>
      <c r="FX22" s="35">
        <v>183.2112758694</v>
      </c>
      <c r="FY22" s="35">
        <v>191.17997574060001</v>
      </c>
      <c r="FZ22" s="35">
        <v>193.19562580499999</v>
      </c>
      <c r="GA22" s="35">
        <v>195.2112758694</v>
      </c>
      <c r="GB22" s="35">
        <v>197.2269259338</v>
      </c>
      <c r="GC22" s="35">
        <v>205.19562580499999</v>
      </c>
      <c r="GD22" s="35">
        <v>207.2112758694</v>
      </c>
      <c r="GE22" s="35">
        <v>209.2269259338</v>
      </c>
      <c r="GF22" s="35">
        <v>211.24257599820001</v>
      </c>
      <c r="GG22" s="35">
        <v>217.19562580499999</v>
      </c>
      <c r="GH22" s="35">
        <v>219.2112758694</v>
      </c>
      <c r="GI22" s="35">
        <v>221.2269259338</v>
      </c>
      <c r="GJ22" s="35">
        <v>223.24257599820001</v>
      </c>
      <c r="GK22" s="35">
        <v>225.25822606260002</v>
      </c>
      <c r="GL22" s="35">
        <v>231.2112758694</v>
      </c>
      <c r="GM22" s="35">
        <v>233.2269259338</v>
      </c>
      <c r="GN22" s="35">
        <v>235.24257599820001</v>
      </c>
      <c r="GO22" s="35">
        <v>237.25822606260002</v>
      </c>
      <c r="GP22" s="35">
        <v>239.27387612699999</v>
      </c>
      <c r="GQ22" s="35">
        <v>245.2269259338</v>
      </c>
      <c r="GR22" s="35">
        <v>247.24257599820001</v>
      </c>
      <c r="GS22" s="35">
        <v>249.25822606260002</v>
      </c>
      <c r="GT22" s="35">
        <v>251.27387612699999</v>
      </c>
      <c r="GU22" s="35">
        <v>253.2895261914</v>
      </c>
      <c r="GV22" s="35">
        <v>259.24257599819998</v>
      </c>
      <c r="GW22" s="35">
        <v>261.25822606259999</v>
      </c>
      <c r="GX22" s="35">
        <v>263.27387612699999</v>
      </c>
      <c r="GY22" s="35">
        <v>265.2895261914</v>
      </c>
      <c r="GZ22" s="35">
        <v>267.30517625580001</v>
      </c>
      <c r="HA22" s="35">
        <v>273.25822606259999</v>
      </c>
      <c r="HB22" s="35">
        <v>123.80494999999999</v>
      </c>
      <c r="HC22" s="35">
        <v>12.380495</v>
      </c>
      <c r="HD22" s="35">
        <v>12.380495</v>
      </c>
      <c r="HE22" s="35">
        <v>18.570742500000001</v>
      </c>
      <c r="HF22" s="35">
        <v>27.856113750000002</v>
      </c>
      <c r="HG22" s="35">
        <v>61.902474999999995</v>
      </c>
      <c r="HH22" s="35">
        <v>7.7378093749999994</v>
      </c>
      <c r="HI22" s="35">
        <v>0.96722617187499993</v>
      </c>
      <c r="HJ22" s="35">
        <v>0.48361308593749996</v>
      </c>
      <c r="HK22" s="36">
        <v>3.9321600000000023</v>
      </c>
      <c r="HL22" s="36">
        <v>2</v>
      </c>
      <c r="HM22" s="35">
        <v>0</v>
      </c>
      <c r="HN22" s="35">
        <v>15.360000000000003</v>
      </c>
      <c r="HO22" s="35">
        <v>8.533333333333335</v>
      </c>
      <c r="HP22" s="35">
        <v>5.9733333333333345</v>
      </c>
      <c r="HQ22" s="35">
        <v>1.9911111111111115</v>
      </c>
      <c r="HR22" s="35">
        <v>29.160000000000004</v>
      </c>
      <c r="HS22" s="35">
        <v>29.160000000000004</v>
      </c>
      <c r="HT22" s="35">
        <v>14.580000000000002</v>
      </c>
      <c r="HU22" s="35">
        <v>29.160000000000004</v>
      </c>
      <c r="HV22" s="35">
        <v>5.8320000000000007</v>
      </c>
      <c r="HW22" s="35">
        <v>17.920000000000005</v>
      </c>
      <c r="HX22" s="35">
        <v>9.9555555555555575</v>
      </c>
      <c r="HY22" s="35">
        <v>6.9688888888888902</v>
      </c>
      <c r="HZ22" s="35">
        <v>2.3229629629629636</v>
      </c>
      <c r="IA22" s="35">
        <v>29.160000000000004</v>
      </c>
      <c r="IB22" s="35">
        <v>29.160000000000004</v>
      </c>
      <c r="IC22" s="35">
        <v>14.580000000000002</v>
      </c>
      <c r="ID22" s="35">
        <v>29.160000000000004</v>
      </c>
      <c r="IE22" s="35">
        <v>5.8320000000000007</v>
      </c>
      <c r="IF22" s="35">
        <v>15</v>
      </c>
      <c r="IG22" s="35">
        <v>3.75</v>
      </c>
      <c r="IH22" s="35">
        <v>25.919999999999998</v>
      </c>
      <c r="II22" s="35">
        <v>12.959999999999999</v>
      </c>
      <c r="IJ22" s="35">
        <v>38.400000000000006</v>
      </c>
      <c r="IK22" s="35">
        <v>21.333333333333336</v>
      </c>
      <c r="IL22" s="35">
        <v>14.933333333333334</v>
      </c>
      <c r="IM22" s="35">
        <v>4.9777777777777779</v>
      </c>
      <c r="IN22" s="35">
        <v>32.400000000000006</v>
      </c>
      <c r="IO22" s="35">
        <v>32.400000000000006</v>
      </c>
      <c r="IP22" s="35">
        <v>16.200000000000003</v>
      </c>
      <c r="IQ22" s="35">
        <v>32.400000000000006</v>
      </c>
      <c r="IR22" s="35">
        <v>6.4800000000000013</v>
      </c>
      <c r="IS22" s="35">
        <v>44.800000000000011</v>
      </c>
      <c r="IT22" s="35">
        <v>24.888888888888893</v>
      </c>
      <c r="IU22" s="35">
        <v>17.422222222222224</v>
      </c>
      <c r="IV22" s="35">
        <v>5.8074074074074078</v>
      </c>
      <c r="IW22" s="35">
        <v>32.400000000000006</v>
      </c>
      <c r="IX22" s="35">
        <v>32.400000000000006</v>
      </c>
      <c r="IY22" s="35">
        <v>16.200000000000003</v>
      </c>
      <c r="IZ22" s="35">
        <v>32.400000000000006</v>
      </c>
      <c r="JA22" s="35">
        <v>6.4800000000000013</v>
      </c>
      <c r="JB22" s="35">
        <v>15</v>
      </c>
      <c r="JC22" s="35">
        <v>3.75</v>
      </c>
      <c r="JD22" s="35">
        <v>23.327999999999999</v>
      </c>
      <c r="JE22" s="35">
        <v>11.664</v>
      </c>
      <c r="JF22" s="35">
        <v>0</v>
      </c>
      <c r="JG22" s="35">
        <v>60</v>
      </c>
      <c r="JH22" s="35">
        <v>30</v>
      </c>
      <c r="JI22" s="35">
        <v>30</v>
      </c>
      <c r="JJ22" s="35">
        <v>40</v>
      </c>
      <c r="JK22" s="35">
        <v>0.98876953125</v>
      </c>
      <c r="JL22" s="35">
        <v>2.1075056052866707</v>
      </c>
      <c r="JM22" s="35">
        <v>3.0174851417541504</v>
      </c>
      <c r="JN22" s="35">
        <v>2.9708693673190716</v>
      </c>
      <c r="JO22" s="35">
        <v>2.2525405883789063</v>
      </c>
      <c r="JP22" s="35">
        <v>7.5084686279296875</v>
      </c>
      <c r="JQ22" s="35">
        <v>3.4767591328242213</v>
      </c>
      <c r="JR22" s="35">
        <v>5.6800657510757446</v>
      </c>
      <c r="JS22" s="35">
        <v>25.633343316745989</v>
      </c>
      <c r="JT22" s="35">
        <v>2.1443382390127956</v>
      </c>
      <c r="JU22" s="35">
        <v>12.65625</v>
      </c>
      <c r="JV22" s="35">
        <v>31.640625</v>
      </c>
      <c r="JW22" s="35">
        <v>1.3075848379102815</v>
      </c>
      <c r="JX22" s="35">
        <v>9.8997739706053487</v>
      </c>
      <c r="JY22" s="35">
        <v>25.633343316745989</v>
      </c>
      <c r="JZ22" s="35">
        <v>1.4856622667273556</v>
      </c>
      <c r="KA22" s="35">
        <v>7.6747706971322343</v>
      </c>
      <c r="KB22" s="35">
        <v>20.608180575632847</v>
      </c>
      <c r="KC22" s="35">
        <v>1.6792153441561728</v>
      </c>
      <c r="KD22" s="35">
        <v>5.4268824039940089</v>
      </c>
      <c r="KE22" s="35">
        <v>5.8929464605472841</v>
      </c>
      <c r="KF22" s="35">
        <v>16.432254553449162</v>
      </c>
      <c r="KG22" s="35">
        <v>1.8888888888888888</v>
      </c>
      <c r="KH22" s="35">
        <v>4.1669424034222482</v>
      </c>
      <c r="KI22" s="35">
        <v>4.4781549876159294</v>
      </c>
      <c r="KJ22" s="35">
        <v>12.986649464086197</v>
      </c>
      <c r="KK22" s="35">
        <v>1.6792153441561728</v>
      </c>
      <c r="KL22" s="35">
        <v>3.1665337589475833</v>
      </c>
      <c r="KM22" s="35">
        <v>3.3650982720214704</v>
      </c>
      <c r="KN22" s="35">
        <v>10.165401030064857</v>
      </c>
      <c r="KO22" s="35">
        <v>1.4856622667273556</v>
      </c>
      <c r="KP22" s="35">
        <v>2.3794838075055149</v>
      </c>
      <c r="KQ22" s="35">
        <v>2.4981235396517394</v>
      </c>
      <c r="KR22" s="35">
        <v>7.8745198532500478</v>
      </c>
      <c r="KS22" s="35">
        <v>1.3075848379102815</v>
      </c>
      <c r="KT22" s="35">
        <v>1.7664400951294859</v>
      </c>
      <c r="KU22" s="35">
        <v>1.8301126602008719</v>
      </c>
      <c r="KV22" s="35">
        <v>6.031053084752874</v>
      </c>
      <c r="KW22" s="35">
        <v>1.1443382390127954</v>
      </c>
      <c r="KX22" s="35">
        <v>1.2940850723633883</v>
      </c>
      <c r="KY22" s="35">
        <v>1.321460307233514</v>
      </c>
      <c r="KZ22" s="35">
        <v>4.5621843940204645</v>
      </c>
      <c r="LA22" s="35">
        <v>0.99527765134274004</v>
      </c>
      <c r="LB22" s="35">
        <v>0.93441354431367618</v>
      </c>
      <c r="LC22" s="35">
        <v>0.93913716885887322</v>
      </c>
      <c r="LD22" s="35">
        <v>3.4043722371134146</v>
      </c>
      <c r="LE22" s="35">
        <v>0.8597582562079602</v>
      </c>
      <c r="LF22" s="35">
        <v>0.66407026056444496</v>
      </c>
      <c r="LG22" s="35">
        <v>0.6558345111620445</v>
      </c>
      <c r="LH22" s="35">
        <v>2.5025264241709593</v>
      </c>
      <c r="LI22" s="35">
        <v>0.73713523491630029</v>
      </c>
      <c r="LJ22" s="35">
        <v>0.46374503017884611</v>
      </c>
      <c r="LK22" s="35">
        <v>0.4491863965399755</v>
      </c>
      <c r="LL22" s="35">
        <v>1.8092229860637898</v>
      </c>
      <c r="LM22" s="35">
        <v>0.62676376877560303</v>
      </c>
      <c r="LN22" s="35">
        <v>0.31762274701016618</v>
      </c>
      <c r="LO22" s="35">
        <v>0.3010658590894742</v>
      </c>
      <c r="LP22" s="35">
        <v>1.283957340234521</v>
      </c>
      <c r="LQ22" s="35">
        <v>0.52799903909371371</v>
      </c>
      <c r="LR22" s="35">
        <v>0.21288571054592076</v>
      </c>
      <c r="LS22" s="35">
        <v>0.476837158203125</v>
      </c>
      <c r="LT22" s="35">
        <v>1.5708885696404189</v>
      </c>
      <c r="LU22" s="35">
        <v>1.4551915228366852</v>
      </c>
      <c r="LV22" s="35">
        <v>1.9523640191169775</v>
      </c>
      <c r="LW22" s="35">
        <v>1.0862946510314941</v>
      </c>
      <c r="LX22" s="35">
        <v>3.6209821701049805</v>
      </c>
      <c r="LY22" s="35">
        <v>2.1848436788802914</v>
      </c>
      <c r="LZ22" s="35">
        <v>2.7392292395234108</v>
      </c>
      <c r="MA22" s="35">
        <v>12.361758929757904</v>
      </c>
      <c r="MB22" s="35">
        <v>1.6436902594446974</v>
      </c>
      <c r="MC22" s="35">
        <v>6.103515625</v>
      </c>
      <c r="MD22" s="35">
        <v>15.2587890625</v>
      </c>
      <c r="ME22" s="35">
        <v>0.73551647132453335</v>
      </c>
      <c r="MF22" s="35">
        <v>4.7741965521823628</v>
      </c>
      <c r="MG22" s="35">
        <v>12.361758929757904</v>
      </c>
      <c r="MH22" s="35">
        <v>0.83568502503413755</v>
      </c>
      <c r="MI22" s="35">
        <v>3.7011818562559</v>
      </c>
      <c r="MJ22" s="35">
        <v>9.938358688094544</v>
      </c>
      <c r="MK22" s="35">
        <v>0.94455863108784721</v>
      </c>
      <c r="ML22" s="35">
        <v>2.6171307889631601</v>
      </c>
      <c r="MM22" s="35">
        <v>2.8418916187052878</v>
      </c>
      <c r="MN22" s="35">
        <v>7.9245054752358994</v>
      </c>
      <c r="MO22" s="35">
        <v>1.0625</v>
      </c>
      <c r="MP22" s="35">
        <v>2.0095208349837232</v>
      </c>
      <c r="MQ22" s="35">
        <v>2.1596040642437933</v>
      </c>
      <c r="MR22" s="35">
        <v>6.2628517863070012</v>
      </c>
      <c r="MS22" s="35">
        <v>0.94455863108784721</v>
      </c>
      <c r="MT22" s="35">
        <v>1.5270706785048145</v>
      </c>
      <c r="MU22" s="35">
        <v>1.6228290277881319</v>
      </c>
      <c r="MV22" s="35">
        <v>4.9022960214433144</v>
      </c>
      <c r="MW22" s="35">
        <v>0.83568502503413755</v>
      </c>
      <c r="MX22" s="35">
        <v>1.1475134102553601</v>
      </c>
      <c r="MY22" s="35">
        <v>1.2047277872548898</v>
      </c>
      <c r="MZ22" s="35">
        <v>3.7975115033034568</v>
      </c>
      <c r="NA22" s="35">
        <v>0.73551647132453335</v>
      </c>
      <c r="NB22" s="35">
        <v>0.85187118785179694</v>
      </c>
      <c r="NC22" s="35">
        <v>0.8825774788777353</v>
      </c>
      <c r="ND22" s="35">
        <v>2.908493964483446</v>
      </c>
      <c r="NE22" s="35">
        <v>0.64369025944469738</v>
      </c>
      <c r="NF22" s="35">
        <v>0.62407652023697346</v>
      </c>
      <c r="NG22" s="35">
        <v>2.0566158053263899</v>
      </c>
      <c r="NH22" s="35">
        <v>0.63727831174455729</v>
      </c>
      <c r="NI22" s="35">
        <v>2.2001275048323996</v>
      </c>
      <c r="NJ22" s="35">
        <v>0.5598436788802913</v>
      </c>
      <c r="NK22" s="35">
        <v>0.45062381573769106</v>
      </c>
      <c r="NL22" s="35">
        <v>1.5557250781420282</v>
      </c>
      <c r="NM22" s="35">
        <v>0.45290179825370042</v>
      </c>
      <c r="NN22" s="35">
        <v>1.6417690186696638</v>
      </c>
      <c r="NO22" s="35">
        <v>0.4836140191169776</v>
      </c>
      <c r="NP22" s="35">
        <v>0.32024993275677321</v>
      </c>
      <c r="NQ22" s="35">
        <v>1.1609060062433028</v>
      </c>
      <c r="NR22" s="35">
        <v>0.31627821718848598</v>
      </c>
      <c r="NS22" s="35">
        <v>1.2068510919034332</v>
      </c>
      <c r="NT22" s="35">
        <v>0.4146385696404189</v>
      </c>
      <c r="NU22" s="35">
        <v>0.22364247211557009</v>
      </c>
      <c r="NV22" s="35">
        <v>0.85337259096730689</v>
      </c>
      <c r="NW22" s="35">
        <v>0.21662152610917026</v>
      </c>
      <c r="NX22" s="35">
        <v>0.8725033690508246</v>
      </c>
      <c r="NY22" s="35">
        <v>0.35255461993627668</v>
      </c>
      <c r="NZ22" s="35">
        <v>0.15317455006277303</v>
      </c>
    </row>
  </sheetData>
  <phoneticPr fontId="11" type="noConversion"/>
  <conditionalFormatting sqref="F5">
    <cfRule type="containsText" dxfId="0" priority="1" operator="containsText" text="T">
      <formula>NOT(ISERROR(SEARCH("T",F5)))</formula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.75" right="0.75" top="1" bottom="1" header="0.5" footer="0.5"/>
  <pageSetup orientation="portrait" r:id="rId1"/>
  <headerFooter alignWithMargins="0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C877AFA-93EC-4A70-887D-BC9345ECC1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Statistics</vt:lpstr>
      <vt:lpstr>__JChemStructureSheet</vt:lpstr>
      <vt:lpstr>ExportControl</vt:lpstr>
      <vt:lpstr>GDGT</vt:lpstr>
      <vt:lpstr>2Gly-GDGT</vt:lpstr>
      <vt:lpstr>Calditol-GDGT</vt:lpstr>
    </vt:vector>
  </TitlesOfParts>
  <Company>MSO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MSO</dc:creator>
  <cp:lastModifiedBy>文勇 姚</cp:lastModifiedBy>
  <cp:lastPrinted>2023-04-03T11:36:36Z</cp:lastPrinted>
  <dcterms:created xsi:type="dcterms:W3CDTF">2009-03-17T01:22:31Z</dcterms:created>
  <dcterms:modified xsi:type="dcterms:W3CDTF">2024-10-10T19:51:59Z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ChemExcelVersion">
    <vt:lpwstr>5.4.1</vt:lpwstr>
  </property>
  <property fmtid="{D5CDD505-2E9C-101B-9397-08002B2CF9AE}" pid="3" name="JChemExcelWorkbookGUID">
    <vt:lpwstr>c32f6394-654c-4d21-a6df-70b947e31725</vt:lpwstr>
  </property>
</Properties>
</file>